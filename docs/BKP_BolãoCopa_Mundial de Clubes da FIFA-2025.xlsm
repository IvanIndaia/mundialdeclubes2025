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B22F4ADE-AB35-4891-9B5C-1D286BF12161}" xr6:coauthVersionLast="47" xr6:coauthVersionMax="47" xr10:uidLastSave="{00000000-0000-0000-0000-000000000000}"/>
  <bookViews>
    <workbookView xWindow="-108" yWindow="-108" windowWidth="23256" windowHeight="12576" tabRatio="891" firstSheet="14" activeTab="25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0" i="66" l="1"/>
  <c r="O79" i="66"/>
  <c r="E79" i="66" s="1"/>
  <c r="N79" i="66"/>
  <c r="M79" i="66"/>
  <c r="L79" i="66"/>
  <c r="K79" i="66"/>
  <c r="A79" i="66" s="1"/>
  <c r="J78" i="66"/>
  <c r="A78" i="66"/>
  <c r="O77" i="66"/>
  <c r="N77" i="66"/>
  <c r="M77" i="66"/>
  <c r="L77" i="66"/>
  <c r="K77" i="66"/>
  <c r="J77" i="66"/>
  <c r="O76" i="66"/>
  <c r="E76" i="66" s="1"/>
  <c r="N76" i="66"/>
  <c r="M76" i="66"/>
  <c r="L76" i="66"/>
  <c r="K76" i="66"/>
  <c r="A76" i="66"/>
  <c r="O75" i="66"/>
  <c r="E75" i="66" s="1"/>
  <c r="N75" i="66"/>
  <c r="M75" i="66"/>
  <c r="L75" i="66"/>
  <c r="K75" i="66"/>
  <c r="A75" i="66" s="1"/>
  <c r="J74" i="66"/>
  <c r="A74" i="66"/>
  <c r="O73" i="66"/>
  <c r="N73" i="66"/>
  <c r="M73" i="66"/>
  <c r="L73" i="66"/>
  <c r="K73" i="66"/>
  <c r="J73" i="66"/>
  <c r="O72" i="66"/>
  <c r="N72" i="66"/>
  <c r="M72" i="66"/>
  <c r="L72" i="66"/>
  <c r="K72" i="66"/>
  <c r="A72" i="66" s="1"/>
  <c r="E72" i="66"/>
  <c r="O71" i="66"/>
  <c r="N71" i="66"/>
  <c r="M71" i="66"/>
  <c r="L71" i="66"/>
  <c r="K71" i="66"/>
  <c r="A71" i="66" s="1"/>
  <c r="E71" i="66"/>
  <c r="O70" i="66"/>
  <c r="E70" i="66" s="1"/>
  <c r="N70" i="66"/>
  <c r="M70" i="66"/>
  <c r="L70" i="66"/>
  <c r="K70" i="66"/>
  <c r="A70" i="66"/>
  <c r="O69" i="66"/>
  <c r="E69" i="66" s="1"/>
  <c r="N69" i="66"/>
  <c r="M69" i="66"/>
  <c r="L69" i="66"/>
  <c r="K69" i="66"/>
  <c r="A69" i="66" s="1"/>
  <c r="J68" i="66"/>
  <c r="A68" i="66"/>
  <c r="O66" i="66"/>
  <c r="N66" i="66"/>
  <c r="M66" i="66"/>
  <c r="L66" i="66"/>
  <c r="K66" i="66"/>
  <c r="E66" i="66"/>
  <c r="A66" i="66"/>
  <c r="O65" i="66"/>
  <c r="E65" i="66" s="1"/>
  <c r="N65" i="66"/>
  <c r="M65" i="66"/>
  <c r="L65" i="66"/>
  <c r="K65" i="66"/>
  <c r="A65" i="66" s="1"/>
  <c r="O64" i="66"/>
  <c r="N64" i="66"/>
  <c r="M64" i="66"/>
  <c r="L64" i="66"/>
  <c r="K64" i="66"/>
  <c r="E64" i="66"/>
  <c r="A64" i="66"/>
  <c r="O63" i="66"/>
  <c r="E63" i="66" s="1"/>
  <c r="N63" i="66"/>
  <c r="M63" i="66"/>
  <c r="L63" i="66"/>
  <c r="K63" i="66"/>
  <c r="A63" i="66"/>
  <c r="O62" i="66"/>
  <c r="N62" i="66"/>
  <c r="M62" i="66"/>
  <c r="L62" i="66"/>
  <c r="K62" i="66"/>
  <c r="A62" i="66" s="1"/>
  <c r="E62" i="66"/>
  <c r="O61" i="66"/>
  <c r="E61" i="66" s="1"/>
  <c r="N61" i="66"/>
  <c r="M61" i="66"/>
  <c r="L61" i="66"/>
  <c r="K61" i="66"/>
  <c r="A61" i="66" s="1"/>
  <c r="O60" i="66"/>
  <c r="N60" i="66"/>
  <c r="M60" i="66"/>
  <c r="L60" i="66"/>
  <c r="K60" i="66"/>
  <c r="A60" i="66" s="1"/>
  <c r="E60" i="66"/>
  <c r="O59" i="66"/>
  <c r="N59" i="66"/>
  <c r="M59" i="66"/>
  <c r="L59" i="66"/>
  <c r="K59" i="66"/>
  <c r="A59" i="66" s="1"/>
  <c r="E59" i="66"/>
  <c r="A58" i="66"/>
  <c r="O56" i="66"/>
  <c r="E56" i="66" s="1"/>
  <c r="N56" i="66"/>
  <c r="M56" i="66"/>
  <c r="L56" i="66"/>
  <c r="K56" i="66"/>
  <c r="A56" i="66"/>
  <c r="O55" i="66"/>
  <c r="N55" i="66"/>
  <c r="M55" i="66"/>
  <c r="L55" i="66"/>
  <c r="K55" i="66"/>
  <c r="A55" i="66" s="1"/>
  <c r="E55" i="66"/>
  <c r="O54" i="66"/>
  <c r="E54" i="66" s="1"/>
  <c r="N54" i="66"/>
  <c r="M54" i="66"/>
  <c r="L54" i="66"/>
  <c r="K54" i="66"/>
  <c r="A54" i="66" s="1"/>
  <c r="O53" i="66"/>
  <c r="N53" i="66"/>
  <c r="M53" i="66"/>
  <c r="L53" i="66"/>
  <c r="K53" i="66"/>
  <c r="A53" i="66" s="1"/>
  <c r="E53" i="66"/>
  <c r="O52" i="66"/>
  <c r="N52" i="66"/>
  <c r="M52" i="66"/>
  <c r="L52" i="66"/>
  <c r="K52" i="66"/>
  <c r="A52" i="66" s="1"/>
  <c r="E52" i="66"/>
  <c r="O51" i="66"/>
  <c r="E51" i="66" s="1"/>
  <c r="N51" i="66"/>
  <c r="M51" i="66"/>
  <c r="L51" i="66"/>
  <c r="K51" i="66"/>
  <c r="A51" i="66"/>
  <c r="J50" i="66"/>
  <c r="O49" i="66"/>
  <c r="N49" i="66"/>
  <c r="M49" i="66"/>
  <c r="L49" i="66"/>
  <c r="K49" i="66"/>
  <c r="A49" i="66" s="1"/>
  <c r="E49" i="66"/>
  <c r="O48" i="66"/>
  <c r="E48" i="66" s="1"/>
  <c r="N48" i="66"/>
  <c r="M48" i="66"/>
  <c r="L48" i="66"/>
  <c r="K48" i="66"/>
  <c r="A48" i="66" s="1"/>
  <c r="O47" i="66"/>
  <c r="N47" i="66"/>
  <c r="M47" i="66"/>
  <c r="L47" i="66"/>
  <c r="K47" i="66"/>
  <c r="A47" i="66" s="1"/>
  <c r="E47" i="66"/>
  <c r="O46" i="66"/>
  <c r="N46" i="66"/>
  <c r="M46" i="66"/>
  <c r="L46" i="66"/>
  <c r="K46" i="66"/>
  <c r="A46" i="66" s="1"/>
  <c r="E46" i="66"/>
  <c r="O45" i="66"/>
  <c r="E45" i="66" s="1"/>
  <c r="N45" i="66"/>
  <c r="M45" i="66"/>
  <c r="L45" i="66"/>
  <c r="K45" i="66"/>
  <c r="A45" i="66"/>
  <c r="O44" i="66"/>
  <c r="E44" i="66" s="1"/>
  <c r="N44" i="66"/>
  <c r="M44" i="66"/>
  <c r="L44" i="66"/>
  <c r="K44" i="66"/>
  <c r="A44" i="66"/>
  <c r="J43" i="66"/>
  <c r="O42" i="66"/>
  <c r="E42" i="66" s="1"/>
  <c r="N42" i="66"/>
  <c r="M42" i="66"/>
  <c r="L42" i="66"/>
  <c r="K42" i="66"/>
  <c r="A42" i="66" s="1"/>
  <c r="O41" i="66"/>
  <c r="N41" i="66"/>
  <c r="M41" i="66"/>
  <c r="L41" i="66"/>
  <c r="K41" i="66"/>
  <c r="A41" i="66" s="1"/>
  <c r="E41" i="66"/>
  <c r="O40" i="66"/>
  <c r="N40" i="66"/>
  <c r="M40" i="66"/>
  <c r="L40" i="66"/>
  <c r="K40" i="66"/>
  <c r="A40" i="66" s="1"/>
  <c r="E40" i="66"/>
  <c r="O39" i="66"/>
  <c r="E39" i="66" s="1"/>
  <c r="N39" i="66"/>
  <c r="M39" i="66"/>
  <c r="L39" i="66"/>
  <c r="K39" i="66"/>
  <c r="A39" i="66"/>
  <c r="O38" i="66"/>
  <c r="E38" i="66" s="1"/>
  <c r="N38" i="66"/>
  <c r="M38" i="66"/>
  <c r="L38" i="66"/>
  <c r="K38" i="66"/>
  <c r="A38" i="66"/>
  <c r="O37" i="66"/>
  <c r="N37" i="66"/>
  <c r="M37" i="66"/>
  <c r="L37" i="66"/>
  <c r="K37" i="66"/>
  <c r="A37" i="66" s="1"/>
  <c r="E37" i="66"/>
  <c r="J36" i="66"/>
  <c r="O35" i="66"/>
  <c r="N35" i="66"/>
  <c r="M35" i="66"/>
  <c r="L35" i="66"/>
  <c r="K35" i="66"/>
  <c r="A35" i="66" s="1"/>
  <c r="E35" i="66"/>
  <c r="O34" i="66"/>
  <c r="N34" i="66"/>
  <c r="M34" i="66"/>
  <c r="L34" i="66"/>
  <c r="K34" i="66"/>
  <c r="A34" i="66" s="1"/>
  <c r="E34" i="66"/>
  <c r="O33" i="66"/>
  <c r="E33" i="66" s="1"/>
  <c r="N33" i="66"/>
  <c r="M33" i="66"/>
  <c r="L33" i="66"/>
  <c r="K33" i="66"/>
  <c r="A33" i="66"/>
  <c r="O32" i="66"/>
  <c r="E32" i="66" s="1"/>
  <c r="N32" i="66"/>
  <c r="M32" i="66"/>
  <c r="L32" i="66"/>
  <c r="K32" i="66"/>
  <c r="A32" i="66"/>
  <c r="O31" i="66"/>
  <c r="N31" i="66"/>
  <c r="M31" i="66"/>
  <c r="L31" i="66"/>
  <c r="K31" i="66"/>
  <c r="A31" i="66" s="1"/>
  <c r="E31" i="66"/>
  <c r="O30" i="66"/>
  <c r="E30" i="66" s="1"/>
  <c r="N30" i="66"/>
  <c r="M30" i="66"/>
  <c r="L30" i="66"/>
  <c r="K30" i="66"/>
  <c r="A30" i="66"/>
  <c r="O28" i="66"/>
  <c r="N28" i="66"/>
  <c r="M28" i="66"/>
  <c r="L28" i="66"/>
  <c r="K28" i="66"/>
  <c r="E28" i="66"/>
  <c r="A28" i="66"/>
  <c r="O27" i="66"/>
  <c r="E27" i="66" s="1"/>
  <c r="N27" i="66"/>
  <c r="M27" i="66"/>
  <c r="L27" i="66"/>
  <c r="K27" i="66"/>
  <c r="A27" i="66" s="1"/>
  <c r="O26" i="66"/>
  <c r="N26" i="66"/>
  <c r="M26" i="66"/>
  <c r="L26" i="66"/>
  <c r="K26" i="66"/>
  <c r="E26" i="66"/>
  <c r="A26" i="66"/>
  <c r="O25" i="66"/>
  <c r="E25" i="66" s="1"/>
  <c r="N25" i="66"/>
  <c r="M25" i="66"/>
  <c r="L25" i="66"/>
  <c r="K25" i="66"/>
  <c r="A25" i="66"/>
  <c r="O24" i="66"/>
  <c r="N24" i="66"/>
  <c r="M24" i="66"/>
  <c r="L24" i="66"/>
  <c r="K24" i="66"/>
  <c r="A24" i="66" s="1"/>
  <c r="E24" i="66"/>
  <c r="O23" i="66"/>
  <c r="E23" i="66" s="1"/>
  <c r="N23" i="66"/>
  <c r="M23" i="66"/>
  <c r="L23" i="66"/>
  <c r="K23" i="66"/>
  <c r="A23" i="66" s="1"/>
  <c r="J22" i="66"/>
  <c r="O21" i="66"/>
  <c r="E21" i="66" s="1"/>
  <c r="N21" i="66"/>
  <c r="M21" i="66"/>
  <c r="L21" i="66"/>
  <c r="K21" i="66"/>
  <c r="A21" i="66" s="1"/>
  <c r="O20" i="66"/>
  <c r="N20" i="66"/>
  <c r="M20" i="66"/>
  <c r="L20" i="66"/>
  <c r="K20" i="66"/>
  <c r="E20" i="66"/>
  <c r="A20" i="66"/>
  <c r="O19" i="66"/>
  <c r="E19" i="66" s="1"/>
  <c r="N19" i="66"/>
  <c r="M19" i="66"/>
  <c r="L19" i="66"/>
  <c r="K19" i="66"/>
  <c r="A19" i="66"/>
  <c r="O18" i="66"/>
  <c r="N18" i="66"/>
  <c r="M18" i="66"/>
  <c r="L18" i="66"/>
  <c r="K18" i="66"/>
  <c r="A18" i="66" s="1"/>
  <c r="E18" i="66"/>
  <c r="O17" i="66"/>
  <c r="E17" i="66" s="1"/>
  <c r="N17" i="66"/>
  <c r="M17" i="66"/>
  <c r="L17" i="66"/>
  <c r="K17" i="66"/>
  <c r="A17" i="66" s="1"/>
  <c r="O16" i="66"/>
  <c r="N16" i="66"/>
  <c r="M16" i="66"/>
  <c r="L16" i="66"/>
  <c r="K16" i="66"/>
  <c r="A16" i="66" s="1"/>
  <c r="E16" i="66"/>
  <c r="O14" i="66"/>
  <c r="N14" i="66"/>
  <c r="M14" i="66"/>
  <c r="L14" i="66"/>
  <c r="K14" i="66"/>
  <c r="E14" i="66"/>
  <c r="A14" i="66"/>
  <c r="O13" i="66"/>
  <c r="E13" i="66" s="1"/>
  <c r="N13" i="66"/>
  <c r="M13" i="66"/>
  <c r="L13" i="66"/>
  <c r="K13" i="66"/>
  <c r="A13" i="66"/>
  <c r="O12" i="66"/>
  <c r="E12" i="66" s="1"/>
  <c r="N12" i="66"/>
  <c r="M12" i="66"/>
  <c r="L12" i="66"/>
  <c r="K12" i="66"/>
  <c r="A12" i="66" s="1"/>
  <c r="Q11" i="66"/>
  <c r="O11" i="66"/>
  <c r="E11" i="66" s="1"/>
  <c r="N11" i="66"/>
  <c r="M11" i="66"/>
  <c r="L11" i="66"/>
  <c r="K11" i="66"/>
  <c r="A11" i="66" s="1"/>
  <c r="O10" i="66"/>
  <c r="N10" i="66"/>
  <c r="M10" i="66"/>
  <c r="L10" i="66"/>
  <c r="K10" i="66"/>
  <c r="A10" i="66" s="1"/>
  <c r="E10" i="66"/>
  <c r="O9" i="66"/>
  <c r="N9" i="66"/>
  <c r="M9" i="66"/>
  <c r="L9" i="66"/>
  <c r="K9" i="66"/>
  <c r="E9" i="66"/>
  <c r="A9" i="66"/>
  <c r="J8" i="66"/>
  <c r="O7" i="66"/>
  <c r="E7" i="66" s="1"/>
  <c r="N7" i="66"/>
  <c r="M7" i="66"/>
  <c r="L7" i="66"/>
  <c r="K7" i="66"/>
  <c r="A7" i="66"/>
  <c r="O6" i="66"/>
  <c r="N6" i="66"/>
  <c r="M6" i="66"/>
  <c r="L6" i="66"/>
  <c r="K6" i="66"/>
  <c r="A6" i="66" s="1"/>
  <c r="E6" i="66"/>
  <c r="O5" i="66"/>
  <c r="E5" i="66" s="1"/>
  <c r="N5" i="66"/>
  <c r="M5" i="66"/>
  <c r="L5" i="66"/>
  <c r="K5" i="66"/>
  <c r="A5" i="66" s="1"/>
  <c r="O4" i="66"/>
  <c r="N4" i="66"/>
  <c r="M4" i="66"/>
  <c r="L4" i="66"/>
  <c r="K4" i="66"/>
  <c r="A4" i="66" s="1"/>
  <c r="E4" i="66"/>
  <c r="O3" i="66"/>
  <c r="N3" i="66"/>
  <c r="M3" i="66"/>
  <c r="L3" i="66"/>
  <c r="K3" i="66"/>
  <c r="E3" i="66"/>
  <c r="A3" i="66"/>
  <c r="O2" i="66"/>
  <c r="N2" i="66"/>
  <c r="M2" i="66"/>
  <c r="L2" i="66"/>
  <c r="K2" i="66"/>
  <c r="E2" i="66"/>
  <c r="A2" i="66"/>
  <c r="J80" i="65"/>
  <c r="O79" i="65"/>
  <c r="E79" i="65" s="1"/>
  <c r="N79" i="65"/>
  <c r="M79" i="65"/>
  <c r="L79" i="65"/>
  <c r="K79" i="65"/>
  <c r="A79" i="65" s="1"/>
  <c r="J78" i="65"/>
  <c r="A78" i="65"/>
  <c r="O77" i="65"/>
  <c r="N77" i="65"/>
  <c r="M77" i="65"/>
  <c r="L77" i="65"/>
  <c r="K77" i="65"/>
  <c r="J77" i="65"/>
  <c r="O76" i="65"/>
  <c r="N76" i="65"/>
  <c r="M76" i="65"/>
  <c r="L76" i="65"/>
  <c r="K76" i="65"/>
  <c r="E76" i="65"/>
  <c r="A76" i="65"/>
  <c r="O75" i="65"/>
  <c r="N75" i="65"/>
  <c r="M75" i="65"/>
  <c r="L75" i="65"/>
  <c r="K75" i="65"/>
  <c r="A75" i="65" s="1"/>
  <c r="E75" i="65"/>
  <c r="J74" i="65"/>
  <c r="A74" i="65"/>
  <c r="O73" i="65"/>
  <c r="N73" i="65"/>
  <c r="M73" i="65"/>
  <c r="L73" i="65"/>
  <c r="K73" i="65"/>
  <c r="J73" i="65"/>
  <c r="O72" i="65"/>
  <c r="N72" i="65"/>
  <c r="M72" i="65"/>
  <c r="L72" i="65"/>
  <c r="K72" i="65"/>
  <c r="A72" i="65" s="1"/>
  <c r="E72" i="65"/>
  <c r="O71" i="65"/>
  <c r="E71" i="65" s="1"/>
  <c r="N71" i="65"/>
  <c r="M71" i="65"/>
  <c r="L71" i="65"/>
  <c r="K71" i="65"/>
  <c r="A71" i="65" s="1"/>
  <c r="O70" i="65"/>
  <c r="N70" i="65"/>
  <c r="M70" i="65"/>
  <c r="L70" i="65"/>
  <c r="K70" i="65"/>
  <c r="A70" i="65" s="1"/>
  <c r="E70" i="65"/>
  <c r="O69" i="65"/>
  <c r="N69" i="65"/>
  <c r="M69" i="65"/>
  <c r="L69" i="65"/>
  <c r="K69" i="65"/>
  <c r="A69" i="65" s="1"/>
  <c r="E69" i="65"/>
  <c r="J68" i="65"/>
  <c r="A68" i="65"/>
  <c r="O66" i="65"/>
  <c r="N66" i="65"/>
  <c r="M66" i="65"/>
  <c r="L66" i="65"/>
  <c r="K66" i="65"/>
  <c r="E66" i="65"/>
  <c r="A66" i="65"/>
  <c r="O65" i="65"/>
  <c r="N65" i="65"/>
  <c r="M65" i="65"/>
  <c r="L65" i="65"/>
  <c r="K65" i="65"/>
  <c r="A65" i="65" s="1"/>
  <c r="E65" i="65"/>
  <c r="O64" i="65"/>
  <c r="E64" i="65" s="1"/>
  <c r="N64" i="65"/>
  <c r="M64" i="65"/>
  <c r="L64" i="65"/>
  <c r="K64" i="65"/>
  <c r="A64" i="65" s="1"/>
  <c r="O63" i="65"/>
  <c r="N63" i="65"/>
  <c r="M63" i="65"/>
  <c r="L63" i="65"/>
  <c r="K63" i="65"/>
  <c r="A63" i="65" s="1"/>
  <c r="E63" i="65"/>
  <c r="O62" i="65"/>
  <c r="N62" i="65"/>
  <c r="M62" i="65"/>
  <c r="L62" i="65"/>
  <c r="K62" i="65"/>
  <c r="A62" i="65" s="1"/>
  <c r="E62" i="65"/>
  <c r="O61" i="65"/>
  <c r="E61" i="65" s="1"/>
  <c r="N61" i="65"/>
  <c r="M61" i="65"/>
  <c r="L61" i="65"/>
  <c r="K61" i="65"/>
  <c r="A61" i="65" s="1"/>
  <c r="O60" i="65"/>
  <c r="N60" i="65"/>
  <c r="M60" i="65"/>
  <c r="L60" i="65"/>
  <c r="K60" i="65"/>
  <c r="E60" i="65"/>
  <c r="A60" i="65"/>
  <c r="O59" i="65"/>
  <c r="E59" i="65" s="1"/>
  <c r="N59" i="65"/>
  <c r="M59" i="65"/>
  <c r="L59" i="65"/>
  <c r="K59" i="65"/>
  <c r="A59" i="65" s="1"/>
  <c r="A58" i="65"/>
  <c r="O56" i="65"/>
  <c r="N56" i="65"/>
  <c r="M56" i="65"/>
  <c r="L56" i="65"/>
  <c r="K56" i="65"/>
  <c r="A56" i="65" s="1"/>
  <c r="E56" i="65"/>
  <c r="O55" i="65"/>
  <c r="N55" i="65"/>
  <c r="M55" i="65"/>
  <c r="L55" i="65"/>
  <c r="K55" i="65"/>
  <c r="A55" i="65" s="1"/>
  <c r="E55" i="65"/>
  <c r="O54" i="65"/>
  <c r="E54" i="65" s="1"/>
  <c r="N54" i="65"/>
  <c r="M54" i="65"/>
  <c r="L54" i="65"/>
  <c r="K54" i="65"/>
  <c r="A54" i="65" s="1"/>
  <c r="O53" i="65"/>
  <c r="N53" i="65"/>
  <c r="M53" i="65"/>
  <c r="L53" i="65"/>
  <c r="K53" i="65"/>
  <c r="E53" i="65"/>
  <c r="A53" i="65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J50" i="65"/>
  <c r="O49" i="65"/>
  <c r="N49" i="65"/>
  <c r="M49" i="65"/>
  <c r="L49" i="65"/>
  <c r="K49" i="65"/>
  <c r="A49" i="65" s="1"/>
  <c r="E49" i="65"/>
  <c r="O48" i="65"/>
  <c r="E48" i="65" s="1"/>
  <c r="N48" i="65"/>
  <c r="M48" i="65"/>
  <c r="L48" i="65"/>
  <c r="K48" i="65"/>
  <c r="A48" i="65" s="1"/>
  <c r="O47" i="65"/>
  <c r="N47" i="65"/>
  <c r="M47" i="65"/>
  <c r="L47" i="65"/>
  <c r="K47" i="65"/>
  <c r="E47" i="65"/>
  <c r="A47" i="65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N44" i="65"/>
  <c r="M44" i="65"/>
  <c r="L44" i="65"/>
  <c r="K44" i="65"/>
  <c r="A44" i="65" s="1"/>
  <c r="E44" i="65"/>
  <c r="J43" i="65"/>
  <c r="O42" i="65"/>
  <c r="E42" i="65" s="1"/>
  <c r="N42" i="65"/>
  <c r="M42" i="65"/>
  <c r="L42" i="65"/>
  <c r="K42" i="65"/>
  <c r="A42" i="65" s="1"/>
  <c r="O41" i="65"/>
  <c r="N41" i="65"/>
  <c r="M41" i="65"/>
  <c r="L41" i="65"/>
  <c r="K41" i="65"/>
  <c r="E41" i="65"/>
  <c r="A41" i="65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N38" i="65"/>
  <c r="M38" i="65"/>
  <c r="L38" i="65"/>
  <c r="K38" i="65"/>
  <c r="A38" i="65" s="1"/>
  <c r="E38" i="65"/>
  <c r="O37" i="65"/>
  <c r="N37" i="65"/>
  <c r="M37" i="65"/>
  <c r="L37" i="65"/>
  <c r="K37" i="65"/>
  <c r="A37" i="65" s="1"/>
  <c r="E37" i="65"/>
  <c r="J36" i="65"/>
  <c r="O35" i="65"/>
  <c r="N35" i="65"/>
  <c r="M35" i="65"/>
  <c r="L35" i="65"/>
  <c r="K35" i="65"/>
  <c r="E35" i="65"/>
  <c r="A35" i="65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N32" i="65"/>
  <c r="M32" i="65"/>
  <c r="L32" i="65"/>
  <c r="K32" i="65"/>
  <c r="A32" i="65" s="1"/>
  <c r="E32" i="65"/>
  <c r="O31" i="65"/>
  <c r="N31" i="65"/>
  <c r="M31" i="65"/>
  <c r="L31" i="65"/>
  <c r="K31" i="65"/>
  <c r="A31" i="65" s="1"/>
  <c r="E31" i="65"/>
  <c r="O30" i="65"/>
  <c r="E30" i="65" s="1"/>
  <c r="N30" i="65"/>
  <c r="M30" i="65"/>
  <c r="L30" i="65"/>
  <c r="K30" i="65"/>
  <c r="A30" i="65"/>
  <c r="O28" i="65"/>
  <c r="E28" i="65" s="1"/>
  <c r="N28" i="65"/>
  <c r="M28" i="65"/>
  <c r="L28" i="65"/>
  <c r="K28" i="65"/>
  <c r="A28" i="65"/>
  <c r="O27" i="65"/>
  <c r="N27" i="65"/>
  <c r="M27" i="65"/>
  <c r="L27" i="65"/>
  <c r="K27" i="65"/>
  <c r="A27" i="65" s="1"/>
  <c r="E27" i="65"/>
  <c r="O26" i="65"/>
  <c r="E26" i="65" s="1"/>
  <c r="N26" i="65"/>
  <c r="M26" i="65"/>
  <c r="L26" i="65"/>
  <c r="K26" i="65"/>
  <c r="A26" i="65"/>
  <c r="O25" i="65"/>
  <c r="N25" i="65"/>
  <c r="M25" i="65"/>
  <c r="L25" i="65"/>
  <c r="K25" i="65"/>
  <c r="A25" i="65" s="1"/>
  <c r="E25" i="65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J22" i="65"/>
  <c r="O21" i="65"/>
  <c r="N21" i="65"/>
  <c r="M21" i="65"/>
  <c r="L21" i="65"/>
  <c r="K21" i="65"/>
  <c r="A21" i="65" s="1"/>
  <c r="E21" i="65"/>
  <c r="O20" i="65"/>
  <c r="E20" i="65" s="1"/>
  <c r="N20" i="65"/>
  <c r="M20" i="65"/>
  <c r="L20" i="65"/>
  <c r="K20" i="65"/>
  <c r="A20" i="65"/>
  <c r="O19" i="65"/>
  <c r="N19" i="65"/>
  <c r="M19" i="65"/>
  <c r="L19" i="65"/>
  <c r="K19" i="65"/>
  <c r="A19" i="65" s="1"/>
  <c r="E19" i="65"/>
  <c r="O18" i="65"/>
  <c r="N18" i="65"/>
  <c r="M18" i="65"/>
  <c r="L18" i="65"/>
  <c r="K18" i="65"/>
  <c r="E18" i="65"/>
  <c r="A18" i="65"/>
  <c r="O17" i="65"/>
  <c r="E17" i="65" s="1"/>
  <c r="N17" i="65"/>
  <c r="M17" i="65"/>
  <c r="L17" i="65"/>
  <c r="K17" i="65"/>
  <c r="A17" i="65" s="1"/>
  <c r="O16" i="65"/>
  <c r="N16" i="65"/>
  <c r="M16" i="65"/>
  <c r="L16" i="65"/>
  <c r="K16" i="65"/>
  <c r="A16" i="65" s="1"/>
  <c r="E16" i="65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N12" i="65"/>
  <c r="M12" i="65"/>
  <c r="L12" i="65"/>
  <c r="K12" i="65"/>
  <c r="A12" i="65" s="1"/>
  <c r="E12" i="65"/>
  <c r="Q11" i="65"/>
  <c r="O11" i="65"/>
  <c r="E11" i="65" s="1"/>
  <c r="N11" i="65"/>
  <c r="M11" i="65"/>
  <c r="L11" i="65"/>
  <c r="K11" i="65"/>
  <c r="A11" i="65" s="1"/>
  <c r="O10" i="65"/>
  <c r="N10" i="65"/>
  <c r="M10" i="65"/>
  <c r="L10" i="65"/>
  <c r="K10" i="65"/>
  <c r="A10" i="65" s="1"/>
  <c r="E10" i="65"/>
  <c r="O9" i="65"/>
  <c r="E9" i="65" s="1"/>
  <c r="N9" i="65"/>
  <c r="M9" i="65"/>
  <c r="L9" i="65"/>
  <c r="K9" i="65"/>
  <c r="A9" i="65" s="1"/>
  <c r="J8" i="65"/>
  <c r="O7" i="65"/>
  <c r="N7" i="65"/>
  <c r="M7" i="65"/>
  <c r="L7" i="65"/>
  <c r="K7" i="65"/>
  <c r="A7" i="65" s="1"/>
  <c r="E7" i="65"/>
  <c r="O6" i="65"/>
  <c r="N6" i="65"/>
  <c r="M6" i="65"/>
  <c r="L6" i="65"/>
  <c r="K6" i="65"/>
  <c r="E6" i="65"/>
  <c r="A6" i="65"/>
  <c r="O5" i="65"/>
  <c r="E5" i="65" s="1"/>
  <c r="N5" i="65"/>
  <c r="M5" i="65"/>
  <c r="L5" i="65"/>
  <c r="K5" i="65"/>
  <c r="A5" i="65" s="1"/>
  <c r="O4" i="65"/>
  <c r="N4" i="65"/>
  <c r="M4" i="65"/>
  <c r="L4" i="65"/>
  <c r="K4" i="65"/>
  <c r="A4" i="65" s="1"/>
  <c r="E4" i="65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E49" i="62"/>
  <c r="J3" i="3"/>
  <c r="J4" i="3"/>
  <c r="J5" i="3"/>
  <c r="J6" i="3"/>
  <c r="J7" i="3"/>
  <c r="J2" i="3"/>
  <c r="I3" i="31"/>
  <c r="K4" i="31"/>
  <c r="K5" i="31"/>
  <c r="K6" i="31"/>
  <c r="K7" i="31"/>
  <c r="K8" i="31"/>
  <c r="K9" i="31"/>
  <c r="K10" i="31"/>
  <c r="K11" i="31"/>
  <c r="K12" i="31"/>
  <c r="K13" i="31"/>
  <c r="K14" i="31"/>
  <c r="K15" i="31"/>
  <c r="C15" i="31" s="1"/>
  <c r="K16" i="31"/>
  <c r="K17" i="31"/>
  <c r="K18" i="31"/>
  <c r="K19" i="31"/>
  <c r="K20" i="31"/>
  <c r="K21" i="31"/>
  <c r="K3" i="31"/>
  <c r="J80" i="64"/>
  <c r="O79" i="64"/>
  <c r="E79" i="64" s="1"/>
  <c r="N79" i="64"/>
  <c r="M79" i="64"/>
  <c r="L79" i="64"/>
  <c r="K79" i="64"/>
  <c r="A79" i="64" s="1"/>
  <c r="J78" i="64"/>
  <c r="A78" i="64"/>
  <c r="O77" i="64"/>
  <c r="N77" i="64"/>
  <c r="M77" i="64"/>
  <c r="L77" i="64"/>
  <c r="K77" i="64"/>
  <c r="J77" i="64"/>
  <c r="O76" i="64"/>
  <c r="N76" i="64"/>
  <c r="M76" i="64"/>
  <c r="L76" i="64"/>
  <c r="K76" i="64"/>
  <c r="E76" i="64"/>
  <c r="A76" i="64"/>
  <c r="O75" i="64"/>
  <c r="E75" i="64" s="1"/>
  <c r="N75" i="64"/>
  <c r="M75" i="64"/>
  <c r="L75" i="64"/>
  <c r="K75" i="64"/>
  <c r="A75" i="64" s="1"/>
  <c r="J74" i="64"/>
  <c r="A74" i="64"/>
  <c r="O73" i="64"/>
  <c r="N73" i="64"/>
  <c r="M73" i="64"/>
  <c r="L73" i="64"/>
  <c r="K73" i="64"/>
  <c r="J73" i="64"/>
  <c r="O72" i="64"/>
  <c r="N72" i="64"/>
  <c r="M72" i="64"/>
  <c r="L72" i="64"/>
  <c r="K72" i="64"/>
  <c r="A72" i="64" s="1"/>
  <c r="E72" i="64"/>
  <c r="O71" i="64"/>
  <c r="E71" i="64" s="1"/>
  <c r="N71" i="64"/>
  <c r="M71" i="64"/>
  <c r="L71" i="64"/>
  <c r="K71" i="64"/>
  <c r="A71" i="64" s="1"/>
  <c r="O70" i="64"/>
  <c r="N70" i="64"/>
  <c r="M70" i="64"/>
  <c r="L70" i="64"/>
  <c r="K70" i="64"/>
  <c r="E70" i="64"/>
  <c r="A70" i="64"/>
  <c r="O69" i="64"/>
  <c r="E69" i="64" s="1"/>
  <c r="N69" i="64"/>
  <c r="M69" i="64"/>
  <c r="L69" i="64"/>
  <c r="K69" i="64"/>
  <c r="A69" i="64" s="1"/>
  <c r="J68" i="64"/>
  <c r="A68" i="64"/>
  <c r="O66" i="64"/>
  <c r="N66" i="64"/>
  <c r="M66" i="64"/>
  <c r="L66" i="64"/>
  <c r="K66" i="64"/>
  <c r="A66" i="64" s="1"/>
  <c r="E66" i="64"/>
  <c r="O65" i="64"/>
  <c r="N65" i="64"/>
  <c r="M65" i="64"/>
  <c r="L65" i="64"/>
  <c r="K65" i="64"/>
  <c r="E65" i="64"/>
  <c r="A65" i="64"/>
  <c r="O64" i="64"/>
  <c r="E64" i="64" s="1"/>
  <c r="N64" i="64"/>
  <c r="M64" i="64"/>
  <c r="L64" i="64"/>
  <c r="K64" i="64"/>
  <c r="A64" i="64"/>
  <c r="O63" i="64"/>
  <c r="N63" i="64"/>
  <c r="M63" i="64"/>
  <c r="L63" i="64"/>
  <c r="K63" i="64"/>
  <c r="A63" i="64" s="1"/>
  <c r="E63" i="64"/>
  <c r="O62" i="64"/>
  <c r="E62" i="64" s="1"/>
  <c r="N62" i="64"/>
  <c r="M62" i="64"/>
  <c r="L62" i="64"/>
  <c r="K62" i="64"/>
  <c r="A62" i="64"/>
  <c r="O61" i="64"/>
  <c r="E61" i="64" s="1"/>
  <c r="N61" i="64"/>
  <c r="M61" i="64"/>
  <c r="L61" i="64"/>
  <c r="K61" i="64"/>
  <c r="A61" i="64" s="1"/>
  <c r="O60" i="64"/>
  <c r="N60" i="64"/>
  <c r="M60" i="64"/>
  <c r="L60" i="64"/>
  <c r="K60" i="64"/>
  <c r="A60" i="64" s="1"/>
  <c r="E60" i="64"/>
  <c r="O59" i="64"/>
  <c r="E59" i="64" s="1"/>
  <c r="N59" i="64"/>
  <c r="M59" i="64"/>
  <c r="L59" i="64"/>
  <c r="K59" i="64"/>
  <c r="A59" i="64" s="1"/>
  <c r="A58" i="64"/>
  <c r="O56" i="64"/>
  <c r="N56" i="64"/>
  <c r="M56" i="64"/>
  <c r="L56" i="64"/>
  <c r="K56" i="64"/>
  <c r="A56" i="64" s="1"/>
  <c r="E56" i="64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N53" i="64"/>
  <c r="M53" i="64"/>
  <c r="L53" i="64"/>
  <c r="K53" i="64"/>
  <c r="A53" i="64" s="1"/>
  <c r="E53" i="64"/>
  <c r="O52" i="64"/>
  <c r="E52" i="64" s="1"/>
  <c r="N52" i="64"/>
  <c r="M52" i="64"/>
  <c r="L52" i="64"/>
  <c r="K52" i="64"/>
  <c r="A52" i="64" s="1"/>
  <c r="O51" i="64"/>
  <c r="N51" i="64"/>
  <c r="M51" i="64"/>
  <c r="L51" i="64"/>
  <c r="K51" i="64"/>
  <c r="E51" i="64"/>
  <c r="A51" i="64"/>
  <c r="J50" i="64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N47" i="64"/>
  <c r="M47" i="64"/>
  <c r="L47" i="64"/>
  <c r="K47" i="64"/>
  <c r="A47" i="64" s="1"/>
  <c r="E47" i="64"/>
  <c r="O46" i="64"/>
  <c r="E46" i="64" s="1"/>
  <c r="N46" i="64"/>
  <c r="M46" i="64"/>
  <c r="L46" i="64"/>
  <c r="K46" i="64"/>
  <c r="A46" i="64" s="1"/>
  <c r="O45" i="64"/>
  <c r="N45" i="64"/>
  <c r="M45" i="64"/>
  <c r="L45" i="64"/>
  <c r="K45" i="64"/>
  <c r="E45" i="64"/>
  <c r="A45" i="64"/>
  <c r="O44" i="64"/>
  <c r="N44" i="64"/>
  <c r="M44" i="64"/>
  <c r="L44" i="64"/>
  <c r="K44" i="64"/>
  <c r="A44" i="64" s="1"/>
  <c r="E44" i="64"/>
  <c r="J43" i="64"/>
  <c r="O42" i="64"/>
  <c r="E42" i="64" s="1"/>
  <c r="N42" i="64"/>
  <c r="M42" i="64"/>
  <c r="L42" i="64"/>
  <c r="K42" i="64"/>
  <c r="A42" i="64" s="1"/>
  <c r="O41" i="64"/>
  <c r="N41" i="64"/>
  <c r="M41" i="64"/>
  <c r="L41" i="64"/>
  <c r="K41" i="64"/>
  <c r="A41" i="64" s="1"/>
  <c r="E41" i="64"/>
  <c r="O40" i="64"/>
  <c r="E40" i="64" s="1"/>
  <c r="N40" i="64"/>
  <c r="M40" i="64"/>
  <c r="L40" i="64"/>
  <c r="K40" i="64"/>
  <c r="A40" i="64" s="1"/>
  <c r="O39" i="64"/>
  <c r="N39" i="64"/>
  <c r="M39" i="64"/>
  <c r="L39" i="64"/>
  <c r="K39" i="64"/>
  <c r="E39" i="64"/>
  <c r="A39" i="64"/>
  <c r="O38" i="64"/>
  <c r="N38" i="64"/>
  <c r="M38" i="64"/>
  <c r="L38" i="64"/>
  <c r="K38" i="64"/>
  <c r="A38" i="64" s="1"/>
  <c r="E38" i="64"/>
  <c r="O37" i="64"/>
  <c r="E37" i="64" s="1"/>
  <c r="N37" i="64"/>
  <c r="M37" i="64"/>
  <c r="L37" i="64"/>
  <c r="K37" i="64"/>
  <c r="A37" i="64" s="1"/>
  <c r="J36" i="64"/>
  <c r="O35" i="64"/>
  <c r="N35" i="64"/>
  <c r="M35" i="64"/>
  <c r="L35" i="64"/>
  <c r="K35" i="64"/>
  <c r="A35" i="64" s="1"/>
  <c r="E35" i="64"/>
  <c r="O34" i="64"/>
  <c r="E34" i="64" s="1"/>
  <c r="N34" i="64"/>
  <c r="M34" i="64"/>
  <c r="L34" i="64"/>
  <c r="K34" i="64"/>
  <c r="A34" i="64" s="1"/>
  <c r="O33" i="64"/>
  <c r="N33" i="64"/>
  <c r="M33" i="64"/>
  <c r="L33" i="64"/>
  <c r="K33" i="64"/>
  <c r="E33" i="64"/>
  <c r="A33" i="64"/>
  <c r="O32" i="64"/>
  <c r="N32" i="64"/>
  <c r="M32" i="64"/>
  <c r="L32" i="64"/>
  <c r="K32" i="64"/>
  <c r="A32" i="64" s="1"/>
  <c r="E32" i="64"/>
  <c r="O31" i="64"/>
  <c r="E31" i="64" s="1"/>
  <c r="N31" i="64"/>
  <c r="M31" i="64"/>
  <c r="L31" i="64"/>
  <c r="K31" i="64"/>
  <c r="A31" i="64" s="1"/>
  <c r="O30" i="64"/>
  <c r="N30" i="64"/>
  <c r="M30" i="64"/>
  <c r="L30" i="64"/>
  <c r="K30" i="64"/>
  <c r="E30" i="64"/>
  <c r="A30" i="64"/>
  <c r="O28" i="64"/>
  <c r="N28" i="64"/>
  <c r="M28" i="64"/>
  <c r="L28" i="64"/>
  <c r="K28" i="64"/>
  <c r="A28" i="64" s="1"/>
  <c r="E28" i="64"/>
  <c r="O27" i="64"/>
  <c r="N27" i="64"/>
  <c r="M27" i="64"/>
  <c r="L27" i="64"/>
  <c r="K27" i="64"/>
  <c r="E27" i="64"/>
  <c r="A27" i="64"/>
  <c r="O26" i="64"/>
  <c r="E26" i="64" s="1"/>
  <c r="N26" i="64"/>
  <c r="M26" i="64"/>
  <c r="L26" i="64"/>
  <c r="K26" i="64"/>
  <c r="A26" i="64"/>
  <c r="O25" i="64"/>
  <c r="N25" i="64"/>
  <c r="M25" i="64"/>
  <c r="L25" i="64"/>
  <c r="K25" i="64"/>
  <c r="A25" i="64" s="1"/>
  <c r="E25" i="64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/>
  <c r="J22" i="64"/>
  <c r="O21" i="64"/>
  <c r="E21" i="64" s="1"/>
  <c r="N21" i="64"/>
  <c r="M21" i="64"/>
  <c r="L21" i="64"/>
  <c r="K21" i="64"/>
  <c r="A21" i="64"/>
  <c r="O20" i="64"/>
  <c r="E20" i="64" s="1"/>
  <c r="N20" i="64"/>
  <c r="M20" i="64"/>
  <c r="L20" i="64"/>
  <c r="K20" i="64"/>
  <c r="A20" i="64"/>
  <c r="O19" i="64"/>
  <c r="N19" i="64"/>
  <c r="M19" i="64"/>
  <c r="L19" i="64"/>
  <c r="K19" i="64"/>
  <c r="A19" i="64" s="1"/>
  <c r="E19" i="64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/>
  <c r="O16" i="64"/>
  <c r="N16" i="64"/>
  <c r="M16" i="64"/>
  <c r="L16" i="64"/>
  <c r="K16" i="64"/>
  <c r="A16" i="64" s="1"/>
  <c r="E16" i="64"/>
  <c r="O14" i="64"/>
  <c r="E14" i="64" s="1"/>
  <c r="N14" i="64"/>
  <c r="M14" i="64"/>
  <c r="L14" i="64"/>
  <c r="K14" i="64"/>
  <c r="A14" i="64" s="1"/>
  <c r="O13" i="64"/>
  <c r="N13" i="64"/>
  <c r="M13" i="64"/>
  <c r="L13" i="64"/>
  <c r="K13" i="64"/>
  <c r="E13" i="64"/>
  <c r="A13" i="64"/>
  <c r="O12" i="64"/>
  <c r="N12" i="64"/>
  <c r="M12" i="64"/>
  <c r="L12" i="64"/>
  <c r="K12" i="64"/>
  <c r="A12" i="64" s="1"/>
  <c r="E12" i="64"/>
  <c r="Q11" i="64"/>
  <c r="P21" i="31" s="1"/>
  <c r="O11" i="64"/>
  <c r="E11" i="64" s="1"/>
  <c r="N11" i="64"/>
  <c r="M11" i="64"/>
  <c r="L11" i="64"/>
  <c r="K11" i="64"/>
  <c r="A11" i="64"/>
  <c r="O10" i="64"/>
  <c r="N10" i="64"/>
  <c r="M10" i="64"/>
  <c r="L10" i="64"/>
  <c r="K10" i="64"/>
  <c r="A10" i="64" s="1"/>
  <c r="E10" i="64"/>
  <c r="O9" i="64"/>
  <c r="E9" i="64" s="1"/>
  <c r="N9" i="64"/>
  <c r="M9" i="64"/>
  <c r="L9" i="64"/>
  <c r="K9" i="64"/>
  <c r="A9" i="64" s="1"/>
  <c r="J8" i="64"/>
  <c r="O7" i="64"/>
  <c r="N7" i="64"/>
  <c r="M7" i="64"/>
  <c r="L7" i="64"/>
  <c r="K7" i="64"/>
  <c r="A7" i="64" s="1"/>
  <c r="E7" i="64"/>
  <c r="O6" i="64"/>
  <c r="E6" i="64" s="1"/>
  <c r="N6" i="64"/>
  <c r="M6" i="64"/>
  <c r="L6" i="64"/>
  <c r="K6" i="64"/>
  <c r="A6" i="64"/>
  <c r="O5" i="64"/>
  <c r="E5" i="64" s="1"/>
  <c r="N5" i="64"/>
  <c r="M5" i="64"/>
  <c r="L5" i="64"/>
  <c r="K5" i="64"/>
  <c r="A5" i="64"/>
  <c r="O4" i="64"/>
  <c r="N4" i="64"/>
  <c r="M4" i="64"/>
  <c r="L4" i="64"/>
  <c r="K4" i="64"/>
  <c r="A4" i="64" s="1"/>
  <c r="E4" i="64"/>
  <c r="O3" i="64"/>
  <c r="E3" i="64" s="1"/>
  <c r="N3" i="64"/>
  <c r="M3" i="64"/>
  <c r="L3" i="64"/>
  <c r="K3" i="64"/>
  <c r="A3" i="64" s="1"/>
  <c r="O2" i="64"/>
  <c r="N2" i="64"/>
  <c r="M2" i="64"/>
  <c r="L2" i="64"/>
  <c r="K2" i="64"/>
  <c r="J2" i="64"/>
  <c r="E2" i="64"/>
  <c r="A2" i="64"/>
  <c r="J80" i="63"/>
  <c r="O79" i="63"/>
  <c r="E79" i="63" s="1"/>
  <c r="N79" i="63"/>
  <c r="M79" i="63"/>
  <c r="L79" i="63"/>
  <c r="K79" i="63"/>
  <c r="A79" i="63" s="1"/>
  <c r="J78" i="63"/>
  <c r="A78" i="63"/>
  <c r="O77" i="63"/>
  <c r="N77" i="63"/>
  <c r="M77" i="63"/>
  <c r="L77" i="63"/>
  <c r="K77" i="63"/>
  <c r="J77" i="63"/>
  <c r="O76" i="63"/>
  <c r="N76" i="63"/>
  <c r="M76" i="63"/>
  <c r="L76" i="63"/>
  <c r="K76" i="63"/>
  <c r="E76" i="63"/>
  <c r="A76" i="63"/>
  <c r="O75" i="63"/>
  <c r="N75" i="63"/>
  <c r="M75" i="63"/>
  <c r="L75" i="63"/>
  <c r="K75" i="63"/>
  <c r="E75" i="63"/>
  <c r="A75" i="63"/>
  <c r="J74" i="63"/>
  <c r="A74" i="63"/>
  <c r="O73" i="63"/>
  <c r="N73" i="63"/>
  <c r="M73" i="63"/>
  <c r="L73" i="63"/>
  <c r="K73" i="63"/>
  <c r="J73" i="63"/>
  <c r="O72" i="63"/>
  <c r="N72" i="63"/>
  <c r="M72" i="63"/>
  <c r="L72" i="63"/>
  <c r="K72" i="63"/>
  <c r="E72" i="63"/>
  <c r="A72" i="63"/>
  <c r="O71" i="63"/>
  <c r="E71" i="63" s="1"/>
  <c r="N71" i="63"/>
  <c r="M71" i="63"/>
  <c r="L71" i="63"/>
  <c r="K71" i="63"/>
  <c r="A71" i="63"/>
  <c r="O70" i="63"/>
  <c r="N70" i="63"/>
  <c r="M70" i="63"/>
  <c r="L70" i="63"/>
  <c r="K70" i="63"/>
  <c r="E70" i="63"/>
  <c r="A70" i="63"/>
  <c r="O69" i="63"/>
  <c r="N69" i="63"/>
  <c r="M69" i="63"/>
  <c r="L69" i="63"/>
  <c r="K69" i="63"/>
  <c r="E69" i="63"/>
  <c r="A69" i="63"/>
  <c r="J68" i="63"/>
  <c r="A68" i="63"/>
  <c r="O66" i="63"/>
  <c r="E66" i="63" s="1"/>
  <c r="N66" i="63"/>
  <c r="M66" i="63"/>
  <c r="L66" i="63"/>
  <c r="K66" i="63"/>
  <c r="A66" i="63"/>
  <c r="O65" i="63"/>
  <c r="N65" i="63"/>
  <c r="M65" i="63"/>
  <c r="L65" i="63"/>
  <c r="K65" i="63"/>
  <c r="E65" i="63"/>
  <c r="A65" i="63"/>
  <c r="O64" i="63"/>
  <c r="E64" i="63" s="1"/>
  <c r="N64" i="63"/>
  <c r="M64" i="63"/>
  <c r="L64" i="63"/>
  <c r="K64" i="63"/>
  <c r="A64" i="63"/>
  <c r="O63" i="63"/>
  <c r="N63" i="63"/>
  <c r="M63" i="63"/>
  <c r="L63" i="63"/>
  <c r="K63" i="63"/>
  <c r="A63" i="63" s="1"/>
  <c r="E63" i="63"/>
  <c r="O62" i="63"/>
  <c r="N62" i="63"/>
  <c r="M62" i="63"/>
  <c r="L62" i="63"/>
  <c r="K62" i="63"/>
  <c r="A62" i="63" s="1"/>
  <c r="E62" i="63"/>
  <c r="O61" i="63"/>
  <c r="E61" i="63" s="1"/>
  <c r="N61" i="63"/>
  <c r="M61" i="63"/>
  <c r="L61" i="63"/>
  <c r="K61" i="63"/>
  <c r="A61" i="63"/>
  <c r="O60" i="63"/>
  <c r="N60" i="63"/>
  <c r="M60" i="63"/>
  <c r="L60" i="63"/>
  <c r="K60" i="63"/>
  <c r="E60" i="63"/>
  <c r="A60" i="63"/>
  <c r="O59" i="63"/>
  <c r="E59" i="63" s="1"/>
  <c r="N59" i="63"/>
  <c r="M59" i="63"/>
  <c r="L59" i="63"/>
  <c r="K59" i="63"/>
  <c r="A59" i="63"/>
  <c r="A58" i="63"/>
  <c r="O56" i="63"/>
  <c r="N56" i="63"/>
  <c r="M56" i="63"/>
  <c r="L56" i="63"/>
  <c r="K56" i="63"/>
  <c r="A56" i="63" s="1"/>
  <c r="E56" i="63"/>
  <c r="O55" i="63"/>
  <c r="N55" i="63"/>
  <c r="M55" i="63"/>
  <c r="L55" i="63"/>
  <c r="K55" i="63"/>
  <c r="A55" i="63" s="1"/>
  <c r="E55" i="63"/>
  <c r="O54" i="63"/>
  <c r="E54" i="63" s="1"/>
  <c r="N54" i="63"/>
  <c r="M54" i="63"/>
  <c r="L54" i="63"/>
  <c r="K54" i="63"/>
  <c r="A54" i="63"/>
  <c r="O53" i="63"/>
  <c r="N53" i="63"/>
  <c r="M53" i="63"/>
  <c r="L53" i="63"/>
  <c r="K53" i="63"/>
  <c r="E53" i="63"/>
  <c r="A53" i="63"/>
  <c r="O52" i="63"/>
  <c r="E52" i="63" s="1"/>
  <c r="N52" i="63"/>
  <c r="M52" i="63"/>
  <c r="L52" i="63"/>
  <c r="K52" i="63"/>
  <c r="A52" i="63"/>
  <c r="O51" i="63"/>
  <c r="N51" i="63"/>
  <c r="M51" i="63"/>
  <c r="L51" i="63"/>
  <c r="K51" i="63"/>
  <c r="E51" i="63"/>
  <c r="A51" i="63"/>
  <c r="J50" i="63"/>
  <c r="O49" i="63"/>
  <c r="N49" i="63"/>
  <c r="M49" i="63"/>
  <c r="L49" i="63"/>
  <c r="K49" i="63"/>
  <c r="A49" i="63" s="1"/>
  <c r="E49" i="63"/>
  <c r="O48" i="63"/>
  <c r="E48" i="63" s="1"/>
  <c r="N48" i="63"/>
  <c r="M48" i="63"/>
  <c r="L48" i="63"/>
  <c r="K48" i="63"/>
  <c r="A48" i="63"/>
  <c r="O47" i="63"/>
  <c r="N47" i="63"/>
  <c r="M47" i="63"/>
  <c r="L47" i="63"/>
  <c r="K47" i="63"/>
  <c r="E47" i="63"/>
  <c r="A47" i="63"/>
  <c r="O46" i="63"/>
  <c r="E46" i="63" s="1"/>
  <c r="N46" i="63"/>
  <c r="M46" i="63"/>
  <c r="L46" i="63"/>
  <c r="K46" i="63"/>
  <c r="A46" i="63"/>
  <c r="O45" i="63"/>
  <c r="N45" i="63"/>
  <c r="M45" i="63"/>
  <c r="L45" i="63"/>
  <c r="K45" i="63"/>
  <c r="E45" i="63"/>
  <c r="A45" i="63"/>
  <c r="O44" i="63"/>
  <c r="N44" i="63"/>
  <c r="M44" i="63"/>
  <c r="L44" i="63"/>
  <c r="K44" i="63"/>
  <c r="E44" i="63"/>
  <c r="A44" i="63"/>
  <c r="J43" i="63"/>
  <c r="O42" i="63"/>
  <c r="E42" i="63" s="1"/>
  <c r="N42" i="63"/>
  <c r="M42" i="63"/>
  <c r="L42" i="63"/>
  <c r="K42" i="63"/>
  <c r="A42" i="63"/>
  <c r="O41" i="63"/>
  <c r="N41" i="63"/>
  <c r="M41" i="63"/>
  <c r="L41" i="63"/>
  <c r="K41" i="63"/>
  <c r="E41" i="63"/>
  <c r="A41" i="63"/>
  <c r="O40" i="63"/>
  <c r="E40" i="63" s="1"/>
  <c r="N40" i="63"/>
  <c r="M40" i="63"/>
  <c r="L40" i="63"/>
  <c r="K40" i="63"/>
  <c r="A40" i="63"/>
  <c r="O39" i="63"/>
  <c r="N39" i="63"/>
  <c r="M39" i="63"/>
  <c r="L39" i="63"/>
  <c r="K39" i="63"/>
  <c r="E39" i="63"/>
  <c r="A39" i="63"/>
  <c r="O38" i="63"/>
  <c r="N38" i="63"/>
  <c r="M38" i="63"/>
  <c r="L38" i="63"/>
  <c r="K38" i="63"/>
  <c r="E38" i="63"/>
  <c r="A38" i="63"/>
  <c r="O37" i="63"/>
  <c r="E37" i="63" s="1"/>
  <c r="N37" i="63"/>
  <c r="M37" i="63"/>
  <c r="L37" i="63"/>
  <c r="K37" i="63"/>
  <c r="A37" i="63" s="1"/>
  <c r="J36" i="63"/>
  <c r="O35" i="63"/>
  <c r="N35" i="63"/>
  <c r="M35" i="63"/>
  <c r="L35" i="63"/>
  <c r="K35" i="63"/>
  <c r="E35" i="63"/>
  <c r="A35" i="63"/>
  <c r="O34" i="63"/>
  <c r="E34" i="63" s="1"/>
  <c r="N34" i="63"/>
  <c r="M34" i="63"/>
  <c r="L34" i="63"/>
  <c r="K34" i="63"/>
  <c r="A34" i="63"/>
  <c r="O33" i="63"/>
  <c r="N33" i="63"/>
  <c r="M33" i="63"/>
  <c r="L33" i="63"/>
  <c r="K33" i="63"/>
  <c r="E33" i="63"/>
  <c r="A33" i="63"/>
  <c r="O32" i="63"/>
  <c r="N32" i="63"/>
  <c r="M32" i="63"/>
  <c r="L32" i="63"/>
  <c r="K32" i="63"/>
  <c r="E32" i="63"/>
  <c r="A32" i="63"/>
  <c r="O31" i="63"/>
  <c r="N31" i="63"/>
  <c r="M31" i="63"/>
  <c r="L31" i="63"/>
  <c r="K31" i="63"/>
  <c r="A31" i="63" s="1"/>
  <c r="E31" i="63"/>
  <c r="O30" i="63"/>
  <c r="E30" i="63" s="1"/>
  <c r="N30" i="63"/>
  <c r="M30" i="63"/>
  <c r="L30" i="63"/>
  <c r="K30" i="63"/>
  <c r="A30" i="63"/>
  <c r="O28" i="63"/>
  <c r="E28" i="63" s="1"/>
  <c r="N28" i="63"/>
  <c r="M28" i="63"/>
  <c r="L28" i="63"/>
  <c r="K28" i="63"/>
  <c r="A28" i="63"/>
  <c r="O27" i="63"/>
  <c r="N27" i="63"/>
  <c r="M27" i="63"/>
  <c r="L27" i="63"/>
  <c r="K27" i="63"/>
  <c r="E27" i="63"/>
  <c r="A27" i="63"/>
  <c r="O26" i="63"/>
  <c r="E26" i="63" s="1"/>
  <c r="N26" i="63"/>
  <c r="M26" i="63"/>
  <c r="L26" i="63"/>
  <c r="K26" i="63"/>
  <c r="A26" i="63"/>
  <c r="O25" i="63"/>
  <c r="N25" i="63"/>
  <c r="M25" i="63"/>
  <c r="L25" i="63"/>
  <c r="K25" i="63"/>
  <c r="A25" i="63" s="1"/>
  <c r="E25" i="63"/>
  <c r="O24" i="63"/>
  <c r="N24" i="63"/>
  <c r="M24" i="63"/>
  <c r="L24" i="63"/>
  <c r="K24" i="63"/>
  <c r="A24" i="63" s="1"/>
  <c r="E24" i="63"/>
  <c r="O23" i="63"/>
  <c r="E23" i="63" s="1"/>
  <c r="N23" i="63"/>
  <c r="M23" i="63"/>
  <c r="L23" i="63"/>
  <c r="K23" i="63"/>
  <c r="A23" i="63"/>
  <c r="J22" i="63"/>
  <c r="O21" i="63"/>
  <c r="N21" i="63"/>
  <c r="M21" i="63"/>
  <c r="L21" i="63"/>
  <c r="K21" i="63"/>
  <c r="E21" i="63"/>
  <c r="A21" i="63"/>
  <c r="O20" i="63"/>
  <c r="E20" i="63" s="1"/>
  <c r="N20" i="63"/>
  <c r="M20" i="63"/>
  <c r="L20" i="63"/>
  <c r="K20" i="63"/>
  <c r="A20" i="63"/>
  <c r="O19" i="63"/>
  <c r="N19" i="63"/>
  <c r="M19" i="63"/>
  <c r="L19" i="63"/>
  <c r="K19" i="63"/>
  <c r="A19" i="63" s="1"/>
  <c r="E19" i="63"/>
  <c r="O18" i="63"/>
  <c r="N18" i="63"/>
  <c r="M18" i="63"/>
  <c r="L18" i="63"/>
  <c r="K18" i="63"/>
  <c r="A18" i="63" s="1"/>
  <c r="E18" i="63"/>
  <c r="O17" i="63"/>
  <c r="E17" i="63" s="1"/>
  <c r="N17" i="63"/>
  <c r="M17" i="63"/>
  <c r="L17" i="63"/>
  <c r="K17" i="63"/>
  <c r="A17" i="63"/>
  <c r="O16" i="63"/>
  <c r="N16" i="63"/>
  <c r="M16" i="63"/>
  <c r="L16" i="63"/>
  <c r="K16" i="63"/>
  <c r="E16" i="63"/>
  <c r="A16" i="63"/>
  <c r="O14" i="63"/>
  <c r="E14" i="63" s="1"/>
  <c r="N14" i="63"/>
  <c r="M14" i="63"/>
  <c r="L14" i="63"/>
  <c r="K14" i="63"/>
  <c r="A14" i="63"/>
  <c r="O13" i="63"/>
  <c r="N13" i="63"/>
  <c r="M13" i="63"/>
  <c r="L13" i="63"/>
  <c r="K13" i="63"/>
  <c r="E13" i="63"/>
  <c r="A13" i="63"/>
  <c r="O12" i="63"/>
  <c r="N12" i="63"/>
  <c r="M12" i="63"/>
  <c r="L12" i="63"/>
  <c r="K12" i="63"/>
  <c r="E12" i="63"/>
  <c r="A12" i="63"/>
  <c r="Q11" i="63"/>
  <c r="P9" i="31" s="1"/>
  <c r="O11" i="63"/>
  <c r="E11" i="63" s="1"/>
  <c r="N11" i="63"/>
  <c r="M11" i="63"/>
  <c r="L11" i="63"/>
  <c r="K11" i="63"/>
  <c r="A11" i="63"/>
  <c r="O10" i="63"/>
  <c r="N10" i="63"/>
  <c r="M10" i="63"/>
  <c r="L10" i="63"/>
  <c r="K10" i="63"/>
  <c r="E10" i="63"/>
  <c r="A10" i="63"/>
  <c r="O9" i="63"/>
  <c r="E9" i="63" s="1"/>
  <c r="N9" i="63"/>
  <c r="M9" i="63"/>
  <c r="L9" i="63"/>
  <c r="K9" i="63"/>
  <c r="A9" i="63"/>
  <c r="J8" i="63"/>
  <c r="O7" i="63"/>
  <c r="N7" i="63"/>
  <c r="M7" i="63"/>
  <c r="L7" i="63"/>
  <c r="K7" i="63"/>
  <c r="A7" i="63" s="1"/>
  <c r="E7" i="63"/>
  <c r="O6" i="63"/>
  <c r="N6" i="63"/>
  <c r="M6" i="63"/>
  <c r="L6" i="63"/>
  <c r="K6" i="63"/>
  <c r="A6" i="63" s="1"/>
  <c r="E6" i="63"/>
  <c r="O5" i="63"/>
  <c r="E5" i="63" s="1"/>
  <c r="N5" i="63"/>
  <c r="M5" i="63"/>
  <c r="L5" i="63"/>
  <c r="K5" i="63"/>
  <c r="A5" i="63"/>
  <c r="O4" i="63"/>
  <c r="N4" i="63"/>
  <c r="M4" i="63"/>
  <c r="L4" i="63"/>
  <c r="K4" i="63"/>
  <c r="E4" i="63"/>
  <c r="A4" i="63"/>
  <c r="O3" i="63"/>
  <c r="E3" i="63" s="1"/>
  <c r="N3" i="63"/>
  <c r="M3" i="63"/>
  <c r="L3" i="63"/>
  <c r="K3" i="63"/>
  <c r="A3" i="63"/>
  <c r="O2" i="63"/>
  <c r="N2" i="63"/>
  <c r="M2" i="63"/>
  <c r="L2" i="63"/>
  <c r="K2" i="63"/>
  <c r="A2" i="63" s="1"/>
  <c r="J2" i="63"/>
  <c r="E2" i="63"/>
  <c r="J80" i="62"/>
  <c r="O79" i="62"/>
  <c r="N79" i="62"/>
  <c r="M79" i="62"/>
  <c r="L79" i="62"/>
  <c r="K79" i="62"/>
  <c r="A79" i="62" s="1"/>
  <c r="E79" i="62"/>
  <c r="J78" i="62"/>
  <c r="A78" i="62"/>
  <c r="O77" i="62"/>
  <c r="N77" i="62"/>
  <c r="M77" i="62"/>
  <c r="L77" i="62"/>
  <c r="K77" i="62"/>
  <c r="J77" i="62"/>
  <c r="O76" i="62"/>
  <c r="E76" i="62" s="1"/>
  <c r="N76" i="62"/>
  <c r="M76" i="62"/>
  <c r="L76" i="62"/>
  <c r="K76" i="62"/>
  <c r="A76" i="62"/>
  <c r="O75" i="62"/>
  <c r="E75" i="62" s="1"/>
  <c r="N75" i="62"/>
  <c r="M75" i="62"/>
  <c r="L75" i="62"/>
  <c r="K75" i="62"/>
  <c r="A75" i="62" s="1"/>
  <c r="J74" i="62"/>
  <c r="A74" i="62"/>
  <c r="O73" i="62"/>
  <c r="N73" i="62"/>
  <c r="M73" i="62"/>
  <c r="L73" i="62"/>
  <c r="K73" i="62"/>
  <c r="J73" i="62"/>
  <c r="O72" i="62"/>
  <c r="E72" i="62" s="1"/>
  <c r="N72" i="62"/>
  <c r="M72" i="62"/>
  <c r="L72" i="62"/>
  <c r="K72" i="62"/>
  <c r="A72" i="62"/>
  <c r="O71" i="62"/>
  <c r="N71" i="62"/>
  <c r="M71" i="62"/>
  <c r="L71" i="62"/>
  <c r="K71" i="62"/>
  <c r="E71" i="62"/>
  <c r="A71" i="62"/>
  <c r="O70" i="62"/>
  <c r="E70" i="62" s="1"/>
  <c r="N70" i="62"/>
  <c r="M70" i="62"/>
  <c r="L70" i="62"/>
  <c r="K70" i="62"/>
  <c r="A70" i="62"/>
  <c r="O69" i="62"/>
  <c r="E69" i="62" s="1"/>
  <c r="N69" i="62"/>
  <c r="M69" i="62"/>
  <c r="L69" i="62"/>
  <c r="K69" i="62"/>
  <c r="A69" i="62" s="1"/>
  <c r="J68" i="62"/>
  <c r="A68" i="62"/>
  <c r="O66" i="62"/>
  <c r="E66" i="62" s="1"/>
  <c r="N66" i="62"/>
  <c r="M66" i="62"/>
  <c r="L66" i="62"/>
  <c r="K66" i="62"/>
  <c r="A66" i="62"/>
  <c r="O65" i="62"/>
  <c r="N65" i="62"/>
  <c r="M65" i="62"/>
  <c r="L65" i="62"/>
  <c r="K65" i="62"/>
  <c r="A65" i="62" s="1"/>
  <c r="E65" i="62"/>
  <c r="O64" i="62"/>
  <c r="E64" i="62" s="1"/>
  <c r="N64" i="62"/>
  <c r="M64" i="62"/>
  <c r="L64" i="62"/>
  <c r="K64" i="62"/>
  <c r="A64" i="62"/>
  <c r="O63" i="62"/>
  <c r="N63" i="62"/>
  <c r="M63" i="62"/>
  <c r="L63" i="62"/>
  <c r="K63" i="62"/>
  <c r="E63" i="62"/>
  <c r="A63" i="62"/>
  <c r="O62" i="62"/>
  <c r="E62" i="62" s="1"/>
  <c r="N62" i="62"/>
  <c r="M62" i="62"/>
  <c r="L62" i="62"/>
  <c r="K62" i="62"/>
  <c r="A62" i="62" s="1"/>
  <c r="O61" i="62"/>
  <c r="N61" i="62"/>
  <c r="M61" i="62"/>
  <c r="L61" i="62"/>
  <c r="K61" i="62"/>
  <c r="A61" i="62" s="1"/>
  <c r="E61" i="62"/>
  <c r="O60" i="62"/>
  <c r="E60" i="62" s="1"/>
  <c r="N60" i="62"/>
  <c r="M60" i="62"/>
  <c r="L60" i="62"/>
  <c r="K60" i="62"/>
  <c r="A60" i="62"/>
  <c r="O59" i="62"/>
  <c r="N59" i="62"/>
  <c r="M59" i="62"/>
  <c r="L59" i="62"/>
  <c r="K59" i="62"/>
  <c r="E59" i="62"/>
  <c r="A59" i="62"/>
  <c r="A58" i="62"/>
  <c r="O56" i="62"/>
  <c r="N56" i="62"/>
  <c r="M56" i="62"/>
  <c r="L56" i="62"/>
  <c r="K56" i="62"/>
  <c r="E56" i="62"/>
  <c r="A56" i="62"/>
  <c r="O55" i="62"/>
  <c r="E55" i="62" s="1"/>
  <c r="N55" i="62"/>
  <c r="M55" i="62"/>
  <c r="L55" i="62"/>
  <c r="K55" i="62"/>
  <c r="A55" i="62" s="1"/>
  <c r="O54" i="62"/>
  <c r="N54" i="62"/>
  <c r="M54" i="62"/>
  <c r="L54" i="62"/>
  <c r="K54" i="62"/>
  <c r="A54" i="62" s="1"/>
  <c r="E54" i="62"/>
  <c r="O53" i="62"/>
  <c r="E53" i="62" s="1"/>
  <c r="N53" i="62"/>
  <c r="M53" i="62"/>
  <c r="L53" i="62"/>
  <c r="K53" i="62"/>
  <c r="A53" i="62"/>
  <c r="O52" i="62"/>
  <c r="N52" i="62"/>
  <c r="M52" i="62"/>
  <c r="L52" i="62"/>
  <c r="K52" i="62"/>
  <c r="E52" i="62"/>
  <c r="A52" i="62"/>
  <c r="O51" i="62"/>
  <c r="E51" i="62" s="1"/>
  <c r="N51" i="62"/>
  <c r="M51" i="62"/>
  <c r="L51" i="62"/>
  <c r="K51" i="62"/>
  <c r="A51" i="62"/>
  <c r="J50" i="62"/>
  <c r="O49" i="62"/>
  <c r="N49" i="62"/>
  <c r="M49" i="62"/>
  <c r="L49" i="62"/>
  <c r="K49" i="62"/>
  <c r="A49" i="62" s="1"/>
  <c r="O48" i="62"/>
  <c r="N48" i="62"/>
  <c r="M48" i="62"/>
  <c r="L48" i="62"/>
  <c r="K48" i="62"/>
  <c r="A48" i="62" s="1"/>
  <c r="E48" i="62"/>
  <c r="O47" i="62"/>
  <c r="E47" i="62" s="1"/>
  <c r="N47" i="62"/>
  <c r="M47" i="62"/>
  <c r="L47" i="62"/>
  <c r="K47" i="62"/>
  <c r="A47" i="62"/>
  <c r="O46" i="62"/>
  <c r="N46" i="62"/>
  <c r="M46" i="62"/>
  <c r="L46" i="62"/>
  <c r="K46" i="62"/>
  <c r="E46" i="62"/>
  <c r="A46" i="62"/>
  <c r="O45" i="62"/>
  <c r="E45" i="62" s="1"/>
  <c r="N45" i="62"/>
  <c r="M45" i="62"/>
  <c r="L45" i="62"/>
  <c r="K45" i="62"/>
  <c r="A45" i="62"/>
  <c r="O44" i="62"/>
  <c r="E44" i="62" s="1"/>
  <c r="N44" i="62"/>
  <c r="M44" i="62"/>
  <c r="L44" i="62"/>
  <c r="K44" i="62"/>
  <c r="A44" i="62" s="1"/>
  <c r="J43" i="62"/>
  <c r="O42" i="62"/>
  <c r="N42" i="62"/>
  <c r="M42" i="62"/>
  <c r="L42" i="62"/>
  <c r="K42" i="62"/>
  <c r="A42" i="62" s="1"/>
  <c r="E42" i="62"/>
  <c r="O41" i="62"/>
  <c r="E41" i="62" s="1"/>
  <c r="N41" i="62"/>
  <c r="M41" i="62"/>
  <c r="L41" i="62"/>
  <c r="K41" i="62"/>
  <c r="A41" i="62"/>
  <c r="O40" i="62"/>
  <c r="N40" i="62"/>
  <c r="M40" i="62"/>
  <c r="L40" i="62"/>
  <c r="K40" i="62"/>
  <c r="E40" i="62"/>
  <c r="A40" i="62"/>
  <c r="O39" i="62"/>
  <c r="E39" i="62" s="1"/>
  <c r="N39" i="62"/>
  <c r="M39" i="62"/>
  <c r="L39" i="62"/>
  <c r="K39" i="62"/>
  <c r="A39" i="62"/>
  <c r="O38" i="62"/>
  <c r="E38" i="62" s="1"/>
  <c r="N38" i="62"/>
  <c r="M38" i="62"/>
  <c r="L38" i="62"/>
  <c r="K38" i="62"/>
  <c r="A38" i="62" s="1"/>
  <c r="O37" i="62"/>
  <c r="N37" i="62"/>
  <c r="M37" i="62"/>
  <c r="L37" i="62"/>
  <c r="K37" i="62"/>
  <c r="A37" i="62" s="1"/>
  <c r="E37" i="62"/>
  <c r="J36" i="62"/>
  <c r="O35" i="62"/>
  <c r="E35" i="62" s="1"/>
  <c r="N35" i="62"/>
  <c r="M35" i="62"/>
  <c r="L35" i="62"/>
  <c r="K35" i="62"/>
  <c r="A35" i="62"/>
  <c r="O34" i="62"/>
  <c r="N34" i="62"/>
  <c r="M34" i="62"/>
  <c r="L34" i="62"/>
  <c r="K34" i="62"/>
  <c r="E34" i="62"/>
  <c r="A34" i="62"/>
  <c r="O33" i="62"/>
  <c r="E33" i="62" s="1"/>
  <c r="N33" i="62"/>
  <c r="M33" i="62"/>
  <c r="L33" i="62"/>
  <c r="K33" i="62"/>
  <c r="A33" i="62"/>
  <c r="O32" i="62"/>
  <c r="E32" i="62" s="1"/>
  <c r="N32" i="62"/>
  <c r="M32" i="62"/>
  <c r="L32" i="62"/>
  <c r="K32" i="62"/>
  <c r="A32" i="62" s="1"/>
  <c r="O31" i="62"/>
  <c r="N31" i="62"/>
  <c r="M31" i="62"/>
  <c r="L31" i="62"/>
  <c r="K31" i="62"/>
  <c r="A31" i="62" s="1"/>
  <c r="E31" i="62"/>
  <c r="O30" i="62"/>
  <c r="N30" i="62"/>
  <c r="M30" i="62"/>
  <c r="L30" i="62"/>
  <c r="K30" i="62"/>
  <c r="A30" i="62" s="1"/>
  <c r="E30" i="62"/>
  <c r="O28" i="62"/>
  <c r="E28" i="62" s="1"/>
  <c r="N28" i="62"/>
  <c r="M28" i="62"/>
  <c r="L28" i="62"/>
  <c r="K28" i="62"/>
  <c r="A28" i="62"/>
  <c r="O27" i="62"/>
  <c r="N27" i="62"/>
  <c r="M27" i="62"/>
  <c r="L27" i="62"/>
  <c r="K27" i="62"/>
  <c r="A27" i="62" s="1"/>
  <c r="E27" i="62"/>
  <c r="O26" i="62"/>
  <c r="E26" i="62" s="1"/>
  <c r="N26" i="62"/>
  <c r="M26" i="62"/>
  <c r="L26" i="62"/>
  <c r="K26" i="62"/>
  <c r="A26" i="62"/>
  <c r="O25" i="62"/>
  <c r="N25" i="62"/>
  <c r="M25" i="62"/>
  <c r="L25" i="62"/>
  <c r="K25" i="62"/>
  <c r="E25" i="62"/>
  <c r="A25" i="62"/>
  <c r="O24" i="62"/>
  <c r="E24" i="62" s="1"/>
  <c r="N24" i="62"/>
  <c r="M24" i="62"/>
  <c r="L24" i="62"/>
  <c r="K24" i="62"/>
  <c r="A24" i="62" s="1"/>
  <c r="O23" i="62"/>
  <c r="N23" i="62"/>
  <c r="M23" i="62"/>
  <c r="L23" i="62"/>
  <c r="K23" i="62"/>
  <c r="A23" i="62" s="1"/>
  <c r="E23" i="62"/>
  <c r="J22" i="62"/>
  <c r="O21" i="62"/>
  <c r="N21" i="62"/>
  <c r="M21" i="62"/>
  <c r="L21" i="62"/>
  <c r="K21" i="62"/>
  <c r="A21" i="62" s="1"/>
  <c r="E21" i="62"/>
  <c r="O20" i="62"/>
  <c r="E20" i="62" s="1"/>
  <c r="N20" i="62"/>
  <c r="M20" i="62"/>
  <c r="L20" i="62"/>
  <c r="K20" i="62"/>
  <c r="A20" i="62"/>
  <c r="O19" i="62"/>
  <c r="N19" i="62"/>
  <c r="M19" i="62"/>
  <c r="L19" i="62"/>
  <c r="K19" i="62"/>
  <c r="E19" i="62"/>
  <c r="A19" i="62"/>
  <c r="O18" i="62"/>
  <c r="E18" i="62" s="1"/>
  <c r="N18" i="62"/>
  <c r="M18" i="62"/>
  <c r="L18" i="62"/>
  <c r="K18" i="62"/>
  <c r="A18" i="62" s="1"/>
  <c r="O17" i="62"/>
  <c r="N17" i="62"/>
  <c r="M17" i="62"/>
  <c r="L17" i="62"/>
  <c r="K17" i="62"/>
  <c r="A17" i="62" s="1"/>
  <c r="E17" i="62"/>
  <c r="O16" i="62"/>
  <c r="E16" i="62" s="1"/>
  <c r="N16" i="62"/>
  <c r="M16" i="62"/>
  <c r="L16" i="62"/>
  <c r="K16" i="62"/>
  <c r="A16" i="62"/>
  <c r="O14" i="62"/>
  <c r="N14" i="62"/>
  <c r="M14" i="62"/>
  <c r="L14" i="62"/>
  <c r="K14" i="62"/>
  <c r="E14" i="62"/>
  <c r="A14" i="62"/>
  <c r="O13" i="62"/>
  <c r="E13" i="62" s="1"/>
  <c r="N13" i="62"/>
  <c r="M13" i="62"/>
  <c r="L13" i="62"/>
  <c r="K13" i="62"/>
  <c r="A13" i="62"/>
  <c r="O12" i="62"/>
  <c r="E12" i="62" s="1"/>
  <c r="N12" i="62"/>
  <c r="M12" i="62"/>
  <c r="L12" i="62"/>
  <c r="K12" i="62"/>
  <c r="A12" i="62" s="1"/>
  <c r="Q11" i="62"/>
  <c r="P20" i="31" s="1"/>
  <c r="O11" i="62"/>
  <c r="N11" i="62"/>
  <c r="M11" i="62"/>
  <c r="L11" i="62"/>
  <c r="K11" i="62"/>
  <c r="A11" i="62" s="1"/>
  <c r="E11" i="62"/>
  <c r="O10" i="62"/>
  <c r="E10" i="62" s="1"/>
  <c r="N10" i="62"/>
  <c r="M10" i="62"/>
  <c r="L10" i="62"/>
  <c r="K10" i="62"/>
  <c r="A10" i="62"/>
  <c r="O9" i="62"/>
  <c r="N9" i="62"/>
  <c r="M9" i="62"/>
  <c r="L9" i="62"/>
  <c r="K9" i="62"/>
  <c r="E9" i="62"/>
  <c r="A9" i="62"/>
  <c r="J8" i="62"/>
  <c r="O7" i="62"/>
  <c r="N7" i="62"/>
  <c r="M7" i="62"/>
  <c r="L7" i="62"/>
  <c r="K7" i="62"/>
  <c r="E7" i="62"/>
  <c r="A7" i="62"/>
  <c r="O6" i="62"/>
  <c r="E6" i="62" s="1"/>
  <c r="N6" i="62"/>
  <c r="M6" i="62"/>
  <c r="L6" i="62"/>
  <c r="K6" i="62"/>
  <c r="A6" i="62" s="1"/>
  <c r="O5" i="62"/>
  <c r="N5" i="62"/>
  <c r="M5" i="62"/>
  <c r="L5" i="62"/>
  <c r="K5" i="62"/>
  <c r="A5" i="62" s="1"/>
  <c r="E5" i="62"/>
  <c r="O4" i="62"/>
  <c r="E4" i="62" s="1"/>
  <c r="N4" i="62"/>
  <c r="M4" i="62"/>
  <c r="L4" i="62"/>
  <c r="K4" i="62"/>
  <c r="A4" i="62"/>
  <c r="O3" i="62"/>
  <c r="N3" i="62"/>
  <c r="M3" i="62"/>
  <c r="L3" i="62"/>
  <c r="K3" i="62"/>
  <c r="E3" i="62"/>
  <c r="A3" i="62"/>
  <c r="O2" i="62"/>
  <c r="N2" i="62"/>
  <c r="M2" i="62"/>
  <c r="L2" i="62"/>
  <c r="K2" i="62"/>
  <c r="J2" i="62"/>
  <c r="E2" i="62"/>
  <c r="A2" i="62"/>
  <c r="J80" i="61"/>
  <c r="O79" i="61"/>
  <c r="E79" i="61" s="1"/>
  <c r="N79" i="61"/>
  <c r="M79" i="61"/>
  <c r="L79" i="61"/>
  <c r="K79" i="61"/>
  <c r="A79" i="61"/>
  <c r="J78" i="61"/>
  <c r="A78" i="61"/>
  <c r="O77" i="61"/>
  <c r="N77" i="61"/>
  <c r="M77" i="61"/>
  <c r="L77" i="61"/>
  <c r="K77" i="61"/>
  <c r="J77" i="61"/>
  <c r="O76" i="61"/>
  <c r="E76" i="61" s="1"/>
  <c r="N76" i="61"/>
  <c r="M76" i="61"/>
  <c r="L76" i="61"/>
  <c r="K76" i="61"/>
  <c r="A76" i="61"/>
  <c r="O75" i="61"/>
  <c r="E75" i="61" s="1"/>
  <c r="N75" i="61"/>
  <c r="M75" i="61"/>
  <c r="L75" i="61"/>
  <c r="K75" i="61"/>
  <c r="A75" i="61" s="1"/>
  <c r="J74" i="61"/>
  <c r="A74" i="61"/>
  <c r="O73" i="61"/>
  <c r="N73" i="61"/>
  <c r="M73" i="61"/>
  <c r="L73" i="61"/>
  <c r="K73" i="61"/>
  <c r="J73" i="61"/>
  <c r="O72" i="61"/>
  <c r="N72" i="61"/>
  <c r="M72" i="61"/>
  <c r="L72" i="61"/>
  <c r="K72" i="61"/>
  <c r="E72" i="61"/>
  <c r="A72" i="61"/>
  <c r="O71" i="61"/>
  <c r="N71" i="61"/>
  <c r="M71" i="61"/>
  <c r="L71" i="61"/>
  <c r="K71" i="61"/>
  <c r="A71" i="61" s="1"/>
  <c r="E71" i="61"/>
  <c r="O70" i="61"/>
  <c r="E70" i="61" s="1"/>
  <c r="N70" i="61"/>
  <c r="M70" i="61"/>
  <c r="L70" i="61"/>
  <c r="K70" i="61"/>
  <c r="A70" i="61"/>
  <c r="O69" i="61"/>
  <c r="E69" i="61" s="1"/>
  <c r="N69" i="61"/>
  <c r="M69" i="61"/>
  <c r="L69" i="61"/>
  <c r="K69" i="61"/>
  <c r="A69" i="61" s="1"/>
  <c r="J68" i="61"/>
  <c r="A68" i="61"/>
  <c r="O66" i="61"/>
  <c r="E66" i="61" s="1"/>
  <c r="N66" i="61"/>
  <c r="M66" i="61"/>
  <c r="L66" i="61"/>
  <c r="K66" i="61"/>
  <c r="A66" i="61" s="1"/>
  <c r="O65" i="61"/>
  <c r="N65" i="61"/>
  <c r="M65" i="61"/>
  <c r="L65" i="61"/>
  <c r="K65" i="61"/>
  <c r="A65" i="61" s="1"/>
  <c r="E65" i="61"/>
  <c r="O64" i="61"/>
  <c r="E64" i="61" s="1"/>
  <c r="N64" i="61"/>
  <c r="M64" i="61"/>
  <c r="L64" i="61"/>
  <c r="K64" i="61"/>
  <c r="A64" i="61"/>
  <c r="O63" i="61"/>
  <c r="N63" i="61"/>
  <c r="M63" i="61"/>
  <c r="L63" i="61"/>
  <c r="K63" i="61"/>
  <c r="E63" i="61"/>
  <c r="A63" i="61"/>
  <c r="O62" i="61"/>
  <c r="E62" i="61" s="1"/>
  <c r="N62" i="61"/>
  <c r="M62" i="61"/>
  <c r="L62" i="61"/>
  <c r="K62" i="61"/>
  <c r="A62" i="61"/>
  <c r="O61" i="61"/>
  <c r="N61" i="61"/>
  <c r="M61" i="61"/>
  <c r="L61" i="61"/>
  <c r="K61" i="61"/>
  <c r="A61" i="61" s="1"/>
  <c r="E61" i="61"/>
  <c r="O60" i="61"/>
  <c r="N60" i="61"/>
  <c r="M60" i="61"/>
  <c r="L60" i="61"/>
  <c r="K60" i="61"/>
  <c r="E60" i="61"/>
  <c r="A60" i="61"/>
  <c r="O59" i="61"/>
  <c r="N59" i="61"/>
  <c r="M59" i="61"/>
  <c r="L59" i="61"/>
  <c r="K59" i="61"/>
  <c r="A59" i="61" s="1"/>
  <c r="E59" i="61"/>
  <c r="A58" i="61"/>
  <c r="O56" i="61"/>
  <c r="N56" i="61"/>
  <c r="M56" i="61"/>
  <c r="L56" i="61"/>
  <c r="K56" i="61"/>
  <c r="E56" i="61"/>
  <c r="A56" i="61"/>
  <c r="O55" i="61"/>
  <c r="E55" i="61" s="1"/>
  <c r="N55" i="61"/>
  <c r="M55" i="61"/>
  <c r="L55" i="61"/>
  <c r="K55" i="61"/>
  <c r="A55" i="61"/>
  <c r="O54" i="61"/>
  <c r="N54" i="61"/>
  <c r="M54" i="61"/>
  <c r="L54" i="61"/>
  <c r="K54" i="61"/>
  <c r="A54" i="61" s="1"/>
  <c r="E54" i="61"/>
  <c r="O53" i="61"/>
  <c r="N53" i="61"/>
  <c r="M53" i="61"/>
  <c r="L53" i="61"/>
  <c r="K53" i="61"/>
  <c r="E53" i="61"/>
  <c r="A53" i="61"/>
  <c r="O52" i="61"/>
  <c r="N52" i="61"/>
  <c r="M52" i="61"/>
  <c r="L52" i="61"/>
  <c r="K52" i="61"/>
  <c r="A52" i="61" s="1"/>
  <c r="E52" i="61"/>
  <c r="O51" i="61"/>
  <c r="E51" i="61" s="1"/>
  <c r="N51" i="61"/>
  <c r="M51" i="61"/>
  <c r="L51" i="61"/>
  <c r="K51" i="61"/>
  <c r="A51" i="61"/>
  <c r="J50" i="61"/>
  <c r="O49" i="61"/>
  <c r="E49" i="61" s="1"/>
  <c r="N49" i="61"/>
  <c r="M49" i="61"/>
  <c r="L49" i="61"/>
  <c r="K49" i="61"/>
  <c r="A49" i="61"/>
  <c r="O48" i="61"/>
  <c r="N48" i="61"/>
  <c r="M48" i="61"/>
  <c r="L48" i="61"/>
  <c r="K48" i="61"/>
  <c r="A48" i="61" s="1"/>
  <c r="E48" i="61"/>
  <c r="O47" i="61"/>
  <c r="N47" i="61"/>
  <c r="M47" i="61"/>
  <c r="L47" i="61"/>
  <c r="K47" i="61"/>
  <c r="E47" i="61"/>
  <c r="A47" i="61"/>
  <c r="O46" i="61"/>
  <c r="N46" i="61"/>
  <c r="M46" i="61"/>
  <c r="L46" i="61"/>
  <c r="K46" i="61"/>
  <c r="A46" i="61" s="1"/>
  <c r="E46" i="61"/>
  <c r="O45" i="61"/>
  <c r="E45" i="61" s="1"/>
  <c r="N45" i="61"/>
  <c r="M45" i="61"/>
  <c r="L45" i="61"/>
  <c r="K45" i="61"/>
  <c r="A45" i="61"/>
  <c r="O44" i="61"/>
  <c r="E44" i="61" s="1"/>
  <c r="N44" i="61"/>
  <c r="M44" i="61"/>
  <c r="L44" i="61"/>
  <c r="K44" i="61"/>
  <c r="A44" i="61" s="1"/>
  <c r="J43" i="61"/>
  <c r="O42" i="61"/>
  <c r="N42" i="61"/>
  <c r="M42" i="61"/>
  <c r="L42" i="61"/>
  <c r="K42" i="61"/>
  <c r="A42" i="61" s="1"/>
  <c r="E42" i="61"/>
  <c r="O41" i="61"/>
  <c r="N41" i="61"/>
  <c r="M41" i="61"/>
  <c r="L41" i="61"/>
  <c r="K41" i="61"/>
  <c r="E41" i="61"/>
  <c r="A41" i="61"/>
  <c r="O40" i="61"/>
  <c r="N40" i="61"/>
  <c r="M40" i="61"/>
  <c r="L40" i="61"/>
  <c r="K40" i="61"/>
  <c r="A40" i="61" s="1"/>
  <c r="E40" i="61"/>
  <c r="O39" i="61"/>
  <c r="E39" i="61" s="1"/>
  <c r="N39" i="61"/>
  <c r="M39" i="61"/>
  <c r="L39" i="61"/>
  <c r="K39" i="61"/>
  <c r="A39" i="61"/>
  <c r="O38" i="61"/>
  <c r="E38" i="61" s="1"/>
  <c r="N38" i="61"/>
  <c r="M38" i="61"/>
  <c r="L38" i="61"/>
  <c r="K38" i="61"/>
  <c r="A38" i="61" s="1"/>
  <c r="O37" i="61"/>
  <c r="N37" i="61"/>
  <c r="M37" i="61"/>
  <c r="L37" i="61"/>
  <c r="K37" i="61"/>
  <c r="A37" i="61" s="1"/>
  <c r="E37" i="61"/>
  <c r="J36" i="61"/>
  <c r="O35" i="61"/>
  <c r="N35" i="61"/>
  <c r="M35" i="61"/>
  <c r="L35" i="61"/>
  <c r="K35" i="61"/>
  <c r="E35" i="61"/>
  <c r="A35" i="61"/>
  <c r="O34" i="61"/>
  <c r="N34" i="61"/>
  <c r="M34" i="61"/>
  <c r="L34" i="61"/>
  <c r="K34" i="61"/>
  <c r="A34" i="61" s="1"/>
  <c r="E34" i="61"/>
  <c r="O33" i="61"/>
  <c r="E33" i="61" s="1"/>
  <c r="N33" i="61"/>
  <c r="M33" i="61"/>
  <c r="L33" i="61"/>
  <c r="K33" i="61"/>
  <c r="A33" i="61"/>
  <c r="O32" i="61"/>
  <c r="E32" i="61" s="1"/>
  <c r="N32" i="61"/>
  <c r="M32" i="61"/>
  <c r="L32" i="61"/>
  <c r="K32" i="61"/>
  <c r="A32" i="61" s="1"/>
  <c r="O31" i="61"/>
  <c r="N31" i="61"/>
  <c r="M31" i="61"/>
  <c r="L31" i="61"/>
  <c r="K31" i="61"/>
  <c r="A31" i="61" s="1"/>
  <c r="E31" i="61"/>
  <c r="O30" i="61"/>
  <c r="E30" i="61" s="1"/>
  <c r="N30" i="61"/>
  <c r="M30" i="61"/>
  <c r="L30" i="61"/>
  <c r="K30" i="61"/>
  <c r="A30" i="61"/>
  <c r="O28" i="61"/>
  <c r="E28" i="61" s="1"/>
  <c r="N28" i="61"/>
  <c r="M28" i="61"/>
  <c r="L28" i="61"/>
  <c r="K28" i="61"/>
  <c r="A28" i="61" s="1"/>
  <c r="O27" i="61"/>
  <c r="N27" i="61"/>
  <c r="M27" i="61"/>
  <c r="L27" i="61"/>
  <c r="K27" i="61"/>
  <c r="A27" i="61" s="1"/>
  <c r="E27" i="61"/>
  <c r="O26" i="61"/>
  <c r="E26" i="61" s="1"/>
  <c r="N26" i="61"/>
  <c r="M26" i="61"/>
  <c r="L26" i="61"/>
  <c r="K26" i="61"/>
  <c r="A26" i="61"/>
  <c r="O25" i="61"/>
  <c r="N25" i="61"/>
  <c r="M25" i="61"/>
  <c r="L25" i="61"/>
  <c r="K25" i="61"/>
  <c r="E25" i="61"/>
  <c r="A25" i="61"/>
  <c r="O24" i="61"/>
  <c r="E24" i="61" s="1"/>
  <c r="N24" i="61"/>
  <c r="M24" i="61"/>
  <c r="L24" i="61"/>
  <c r="K24" i="61"/>
  <c r="A24" i="61"/>
  <c r="O23" i="61"/>
  <c r="N23" i="61"/>
  <c r="M23" i="61"/>
  <c r="L23" i="61"/>
  <c r="K23" i="61"/>
  <c r="A23" i="61" s="1"/>
  <c r="E23" i="61"/>
  <c r="J22" i="61"/>
  <c r="O21" i="61"/>
  <c r="N21" i="61"/>
  <c r="M21" i="61"/>
  <c r="L21" i="61"/>
  <c r="K21" i="61"/>
  <c r="A21" i="61" s="1"/>
  <c r="E21" i="61"/>
  <c r="O20" i="61"/>
  <c r="E20" i="61" s="1"/>
  <c r="N20" i="61"/>
  <c r="M20" i="61"/>
  <c r="L20" i="61"/>
  <c r="K20" i="61"/>
  <c r="A20" i="61"/>
  <c r="O19" i="61"/>
  <c r="N19" i="61"/>
  <c r="M19" i="61"/>
  <c r="L19" i="61"/>
  <c r="K19" i="61"/>
  <c r="E19" i="61"/>
  <c r="A19" i="61"/>
  <c r="O18" i="61"/>
  <c r="E18" i="61" s="1"/>
  <c r="N18" i="61"/>
  <c r="M18" i="61"/>
  <c r="L18" i="61"/>
  <c r="K18" i="61"/>
  <c r="A18" i="61"/>
  <c r="O17" i="61"/>
  <c r="N17" i="61"/>
  <c r="M17" i="61"/>
  <c r="L17" i="61"/>
  <c r="K17" i="61"/>
  <c r="A17" i="61" s="1"/>
  <c r="E17" i="61"/>
  <c r="O16" i="61"/>
  <c r="N16" i="61"/>
  <c r="M16" i="61"/>
  <c r="L16" i="61"/>
  <c r="K16" i="61"/>
  <c r="E16" i="61"/>
  <c r="A16" i="61"/>
  <c r="O14" i="61"/>
  <c r="N14" i="61"/>
  <c r="M14" i="61"/>
  <c r="L14" i="61"/>
  <c r="K14" i="61"/>
  <c r="A14" i="61" s="1"/>
  <c r="E14" i="61"/>
  <c r="O13" i="61"/>
  <c r="E13" i="61" s="1"/>
  <c r="N13" i="61"/>
  <c r="M13" i="61"/>
  <c r="L13" i="61"/>
  <c r="K13" i="61"/>
  <c r="A13" i="61"/>
  <c r="O12" i="61"/>
  <c r="E12" i="61" s="1"/>
  <c r="N12" i="61"/>
  <c r="M12" i="61"/>
  <c r="L12" i="61"/>
  <c r="K12" i="61"/>
  <c r="A12" i="61" s="1"/>
  <c r="Q11" i="61"/>
  <c r="P19" i="31" s="1"/>
  <c r="O11" i="61"/>
  <c r="N11" i="61"/>
  <c r="M11" i="61"/>
  <c r="L11" i="61"/>
  <c r="K11" i="61"/>
  <c r="A11" i="61" s="1"/>
  <c r="E11" i="61"/>
  <c r="O10" i="61"/>
  <c r="N10" i="61"/>
  <c r="M10" i="61"/>
  <c r="L10" i="61"/>
  <c r="K10" i="61"/>
  <c r="E10" i="61"/>
  <c r="A10" i="61"/>
  <c r="O9" i="61"/>
  <c r="N9" i="61"/>
  <c r="M9" i="61"/>
  <c r="L9" i="61"/>
  <c r="K9" i="61"/>
  <c r="A9" i="61" s="1"/>
  <c r="E9" i="61"/>
  <c r="J8" i="61"/>
  <c r="O7" i="61"/>
  <c r="N7" i="61"/>
  <c r="M7" i="61"/>
  <c r="L7" i="61"/>
  <c r="K7" i="61"/>
  <c r="E7" i="61"/>
  <c r="A7" i="61"/>
  <c r="O6" i="61"/>
  <c r="E6" i="61" s="1"/>
  <c r="N6" i="61"/>
  <c r="M6" i="61"/>
  <c r="L6" i="61"/>
  <c r="K6" i="61"/>
  <c r="A6" i="61"/>
  <c r="O5" i="61"/>
  <c r="N5" i="61"/>
  <c r="M5" i="61"/>
  <c r="L5" i="61"/>
  <c r="K5" i="61"/>
  <c r="A5" i="61" s="1"/>
  <c r="E5" i="61"/>
  <c r="O4" i="61"/>
  <c r="N4" i="61"/>
  <c r="M4" i="61"/>
  <c r="L4" i="61"/>
  <c r="K4" i="61"/>
  <c r="E4" i="61"/>
  <c r="A4" i="61"/>
  <c r="O3" i="61"/>
  <c r="N3" i="61"/>
  <c r="M3" i="61"/>
  <c r="L3" i="61"/>
  <c r="K3" i="61"/>
  <c r="A3" i="61" s="1"/>
  <c r="E3" i="61"/>
  <c r="O2" i="61"/>
  <c r="N2" i="61"/>
  <c r="M2" i="61"/>
  <c r="L2" i="61"/>
  <c r="K2" i="61"/>
  <c r="J2" i="61"/>
  <c r="E2" i="61"/>
  <c r="A2" i="61"/>
  <c r="J80" i="60"/>
  <c r="O79" i="60"/>
  <c r="E79" i="60" s="1"/>
  <c r="N79" i="60"/>
  <c r="M79" i="60"/>
  <c r="L79" i="60"/>
  <c r="K79" i="60"/>
  <c r="A79" i="60" s="1"/>
  <c r="J78" i="60"/>
  <c r="A78" i="60"/>
  <c r="O77" i="60"/>
  <c r="N77" i="60"/>
  <c r="M77" i="60"/>
  <c r="L77" i="60"/>
  <c r="K77" i="60"/>
  <c r="J77" i="60"/>
  <c r="O76" i="60"/>
  <c r="E76" i="60" s="1"/>
  <c r="N76" i="60"/>
  <c r="M76" i="60"/>
  <c r="L76" i="60"/>
  <c r="K76" i="60"/>
  <c r="A76" i="60" s="1"/>
  <c r="O75" i="60"/>
  <c r="N75" i="60"/>
  <c r="M75" i="60"/>
  <c r="L75" i="60"/>
  <c r="K75" i="60"/>
  <c r="E75" i="60"/>
  <c r="A75" i="60"/>
  <c r="J74" i="60"/>
  <c r="A74" i="60"/>
  <c r="O73" i="60"/>
  <c r="N73" i="60"/>
  <c r="M73" i="60"/>
  <c r="L73" i="60"/>
  <c r="K73" i="60"/>
  <c r="J73" i="60"/>
  <c r="O72" i="60"/>
  <c r="E72" i="60" s="1"/>
  <c r="N72" i="60"/>
  <c r="M72" i="60"/>
  <c r="L72" i="60"/>
  <c r="K72" i="60"/>
  <c r="A72" i="60" s="1"/>
  <c r="O71" i="60"/>
  <c r="N71" i="60"/>
  <c r="M71" i="60"/>
  <c r="L71" i="60"/>
  <c r="K71" i="60"/>
  <c r="A71" i="60" s="1"/>
  <c r="E71" i="60"/>
  <c r="O70" i="60"/>
  <c r="E70" i="60" s="1"/>
  <c r="N70" i="60"/>
  <c r="M70" i="60"/>
  <c r="L70" i="60"/>
  <c r="K70" i="60"/>
  <c r="A70" i="60" s="1"/>
  <c r="O69" i="60"/>
  <c r="N69" i="60"/>
  <c r="M69" i="60"/>
  <c r="L69" i="60"/>
  <c r="K69" i="60"/>
  <c r="E69" i="60"/>
  <c r="A69" i="60"/>
  <c r="J68" i="60"/>
  <c r="A68" i="60"/>
  <c r="O66" i="60"/>
  <c r="N66" i="60"/>
  <c r="M66" i="60"/>
  <c r="L66" i="60"/>
  <c r="K66" i="60"/>
  <c r="A66" i="60" s="1"/>
  <c r="E66" i="60"/>
  <c r="O65" i="60"/>
  <c r="E65" i="60" s="1"/>
  <c r="N65" i="60"/>
  <c r="M65" i="60"/>
  <c r="L65" i="60"/>
  <c r="K65" i="60"/>
  <c r="A65" i="60" s="1"/>
  <c r="O64" i="60"/>
  <c r="N64" i="60"/>
  <c r="M64" i="60"/>
  <c r="L64" i="60"/>
  <c r="K64" i="60"/>
  <c r="A64" i="60" s="1"/>
  <c r="E64" i="60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/>
  <c r="O61" i="60"/>
  <c r="N61" i="60"/>
  <c r="M61" i="60"/>
  <c r="L61" i="60"/>
  <c r="K61" i="60"/>
  <c r="E61" i="60"/>
  <c r="A61" i="60"/>
  <c r="O60" i="60"/>
  <c r="E60" i="60" s="1"/>
  <c r="N60" i="60"/>
  <c r="M60" i="60"/>
  <c r="L60" i="60"/>
  <c r="K60" i="60"/>
  <c r="A60" i="60" s="1"/>
  <c r="O59" i="60"/>
  <c r="N59" i="60"/>
  <c r="M59" i="60"/>
  <c r="L59" i="60"/>
  <c r="K59" i="60"/>
  <c r="A59" i="60" s="1"/>
  <c r="E59" i="60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N54" i="60"/>
  <c r="M54" i="60"/>
  <c r="L54" i="60"/>
  <c r="K54" i="60"/>
  <c r="E54" i="60"/>
  <c r="A54" i="60"/>
  <c r="O53" i="60"/>
  <c r="E53" i="60" s="1"/>
  <c r="N53" i="60"/>
  <c r="M53" i="60"/>
  <c r="L53" i="60"/>
  <c r="K53" i="60"/>
  <c r="A53" i="60" s="1"/>
  <c r="O52" i="60"/>
  <c r="N52" i="60"/>
  <c r="M52" i="60"/>
  <c r="L52" i="60"/>
  <c r="K52" i="60"/>
  <c r="A52" i="60" s="1"/>
  <c r="E52" i="60"/>
  <c r="O51" i="60"/>
  <c r="E51" i="60" s="1"/>
  <c r="N51" i="60"/>
  <c r="M51" i="60"/>
  <c r="L51" i="60"/>
  <c r="K51" i="60"/>
  <c r="A51" i="60" s="1"/>
  <c r="J50" i="60"/>
  <c r="O49" i="60"/>
  <c r="E49" i="60" s="1"/>
  <c r="N49" i="60"/>
  <c r="M49" i="60"/>
  <c r="L49" i="60"/>
  <c r="K49" i="60"/>
  <c r="A49" i="60" s="1"/>
  <c r="O48" i="60"/>
  <c r="N48" i="60"/>
  <c r="M48" i="60"/>
  <c r="L48" i="60"/>
  <c r="K48" i="60"/>
  <c r="E48" i="60"/>
  <c r="A48" i="60"/>
  <c r="O47" i="60"/>
  <c r="E47" i="60" s="1"/>
  <c r="N47" i="60"/>
  <c r="M47" i="60"/>
  <c r="L47" i="60"/>
  <c r="K47" i="60"/>
  <c r="A47" i="60" s="1"/>
  <c r="O46" i="60"/>
  <c r="N46" i="60"/>
  <c r="M46" i="60"/>
  <c r="L46" i="60"/>
  <c r="K46" i="60"/>
  <c r="A46" i="60" s="1"/>
  <c r="E46" i="60"/>
  <c r="O45" i="60"/>
  <c r="E45" i="60" s="1"/>
  <c r="N45" i="60"/>
  <c r="M45" i="60"/>
  <c r="L45" i="60"/>
  <c r="K45" i="60"/>
  <c r="A45" i="60" s="1"/>
  <c r="O44" i="60"/>
  <c r="N44" i="60"/>
  <c r="M44" i="60"/>
  <c r="L44" i="60"/>
  <c r="K44" i="60"/>
  <c r="E44" i="60"/>
  <c r="A44" i="60"/>
  <c r="J43" i="60"/>
  <c r="O42" i="60"/>
  <c r="N42" i="60"/>
  <c r="M42" i="60"/>
  <c r="L42" i="60"/>
  <c r="K42" i="60"/>
  <c r="E42" i="60"/>
  <c r="A42" i="60"/>
  <c r="O41" i="60"/>
  <c r="E41" i="60" s="1"/>
  <c r="N41" i="60"/>
  <c r="M41" i="60"/>
  <c r="L41" i="60"/>
  <c r="K41" i="60"/>
  <c r="A41" i="60" s="1"/>
  <c r="O40" i="60"/>
  <c r="N40" i="60"/>
  <c r="M40" i="60"/>
  <c r="L40" i="60"/>
  <c r="K40" i="60"/>
  <c r="A40" i="60" s="1"/>
  <c r="E40" i="60"/>
  <c r="O39" i="60"/>
  <c r="E39" i="60" s="1"/>
  <c r="N39" i="60"/>
  <c r="M39" i="60"/>
  <c r="L39" i="60"/>
  <c r="K39" i="60"/>
  <c r="A39" i="60" s="1"/>
  <c r="O38" i="60"/>
  <c r="N38" i="60"/>
  <c r="M38" i="60"/>
  <c r="L38" i="60"/>
  <c r="K38" i="60"/>
  <c r="E38" i="60"/>
  <c r="A38" i="60"/>
  <c r="O37" i="60"/>
  <c r="E37" i="60" s="1"/>
  <c r="N37" i="60"/>
  <c r="M37" i="60"/>
  <c r="L37" i="60"/>
  <c r="K37" i="60"/>
  <c r="A37" i="60"/>
  <c r="J36" i="60"/>
  <c r="O35" i="60"/>
  <c r="E35" i="60" s="1"/>
  <c r="N35" i="60"/>
  <c r="M35" i="60"/>
  <c r="L35" i="60"/>
  <c r="K35" i="60"/>
  <c r="A35" i="60" s="1"/>
  <c r="O34" i="60"/>
  <c r="N34" i="60"/>
  <c r="M34" i="60"/>
  <c r="L34" i="60"/>
  <c r="K34" i="60"/>
  <c r="A34" i="60" s="1"/>
  <c r="E34" i="60"/>
  <c r="O33" i="60"/>
  <c r="E33" i="60" s="1"/>
  <c r="N33" i="60"/>
  <c r="M33" i="60"/>
  <c r="L33" i="60"/>
  <c r="K33" i="60"/>
  <c r="A33" i="60" s="1"/>
  <c r="O32" i="60"/>
  <c r="N32" i="60"/>
  <c r="M32" i="60"/>
  <c r="L32" i="60"/>
  <c r="K32" i="60"/>
  <c r="E32" i="60"/>
  <c r="A32" i="60"/>
  <c r="O31" i="60"/>
  <c r="E31" i="60" s="1"/>
  <c r="N31" i="60"/>
  <c r="M31" i="60"/>
  <c r="L31" i="60"/>
  <c r="K31" i="60"/>
  <c r="A31" i="60"/>
  <c r="O30" i="60"/>
  <c r="E30" i="60" s="1"/>
  <c r="N30" i="60"/>
  <c r="M30" i="60"/>
  <c r="L30" i="60"/>
  <c r="K30" i="60"/>
  <c r="A30" i="60" s="1"/>
  <c r="O28" i="60"/>
  <c r="N28" i="60"/>
  <c r="M28" i="60"/>
  <c r="L28" i="60"/>
  <c r="K28" i="60"/>
  <c r="A28" i="60" s="1"/>
  <c r="E28" i="60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N23" i="60"/>
  <c r="M23" i="60"/>
  <c r="L23" i="60"/>
  <c r="K23" i="60"/>
  <c r="E23" i="60"/>
  <c r="A23" i="60"/>
  <c r="J22" i="60"/>
  <c r="O21" i="60"/>
  <c r="E21" i="60" s="1"/>
  <c r="N21" i="60"/>
  <c r="M21" i="60"/>
  <c r="L21" i="60"/>
  <c r="K21" i="60"/>
  <c r="A21" i="60" s="1"/>
  <c r="O20" i="60"/>
  <c r="N20" i="60"/>
  <c r="M20" i="60"/>
  <c r="L20" i="60"/>
  <c r="K20" i="60"/>
  <c r="A20" i="60" s="1"/>
  <c r="E20" i="60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N17" i="60"/>
  <c r="M17" i="60"/>
  <c r="L17" i="60"/>
  <c r="K17" i="60"/>
  <c r="E17" i="60"/>
  <c r="A17" i="60"/>
  <c r="O16" i="60"/>
  <c r="E16" i="60" s="1"/>
  <c r="N16" i="60"/>
  <c r="M16" i="60"/>
  <c r="L16" i="60"/>
  <c r="K16" i="60"/>
  <c r="A16" i="60" s="1"/>
  <c r="O14" i="60"/>
  <c r="N14" i="60"/>
  <c r="M14" i="60"/>
  <c r="L14" i="60"/>
  <c r="K14" i="60"/>
  <c r="A14" i="60" s="1"/>
  <c r="E14" i="60"/>
  <c r="O13" i="60"/>
  <c r="E13" i="60" s="1"/>
  <c r="N13" i="60"/>
  <c r="M13" i="60"/>
  <c r="L13" i="60"/>
  <c r="K13" i="60"/>
  <c r="A13" i="60"/>
  <c r="O12" i="60"/>
  <c r="N12" i="60"/>
  <c r="M12" i="60"/>
  <c r="L12" i="60"/>
  <c r="K12" i="60"/>
  <c r="E12" i="60"/>
  <c r="A12" i="60"/>
  <c r="Q11" i="60"/>
  <c r="P18" i="31" s="1"/>
  <c r="O11" i="60"/>
  <c r="N11" i="60"/>
  <c r="M11" i="60"/>
  <c r="L11" i="60"/>
  <c r="K11" i="60"/>
  <c r="E11" i="60"/>
  <c r="A11" i="60"/>
  <c r="O10" i="60"/>
  <c r="E10" i="60" s="1"/>
  <c r="N10" i="60"/>
  <c r="M10" i="60"/>
  <c r="L10" i="60"/>
  <c r="K10" i="60"/>
  <c r="A10" i="60" s="1"/>
  <c r="O9" i="60"/>
  <c r="N9" i="60"/>
  <c r="M9" i="60"/>
  <c r="L9" i="60"/>
  <c r="K9" i="60"/>
  <c r="A9" i="60" s="1"/>
  <c r="E9" i="60"/>
  <c r="J8" i="60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N5" i="60"/>
  <c r="M5" i="60"/>
  <c r="L5" i="60"/>
  <c r="K5" i="60"/>
  <c r="E5" i="60"/>
  <c r="A5" i="60"/>
  <c r="O4" i="60"/>
  <c r="E4" i="60" s="1"/>
  <c r="N4" i="60"/>
  <c r="M4" i="60"/>
  <c r="L4" i="60"/>
  <c r="K4" i="60"/>
  <c r="A4" i="60" s="1"/>
  <c r="O3" i="60"/>
  <c r="N3" i="60"/>
  <c r="M3" i="60"/>
  <c r="L3" i="60"/>
  <c r="K3" i="60"/>
  <c r="A3" i="60" s="1"/>
  <c r="E3" i="60"/>
  <c r="O2" i="60"/>
  <c r="E2" i="60" s="1"/>
  <c r="N2" i="60"/>
  <c r="M2" i="60"/>
  <c r="L2" i="60"/>
  <c r="K2" i="60"/>
  <c r="A2" i="60" s="1"/>
  <c r="J2" i="60"/>
  <c r="J80" i="56"/>
  <c r="O79" i="56"/>
  <c r="E79" i="56" s="1"/>
  <c r="N79" i="56"/>
  <c r="M79" i="56"/>
  <c r="L79" i="56"/>
  <c r="K79" i="56"/>
  <c r="A79" i="56" s="1"/>
  <c r="J78" i="56"/>
  <c r="A78" i="56"/>
  <c r="O77" i="56"/>
  <c r="N77" i="56"/>
  <c r="M77" i="56"/>
  <c r="L77" i="56"/>
  <c r="K77" i="56"/>
  <c r="J77" i="56"/>
  <c r="O76" i="56"/>
  <c r="E76" i="56" s="1"/>
  <c r="N76" i="56"/>
  <c r="M76" i="56"/>
  <c r="L76" i="56"/>
  <c r="K76" i="56"/>
  <c r="A76" i="56" s="1"/>
  <c r="O75" i="56"/>
  <c r="N75" i="56"/>
  <c r="M75" i="56"/>
  <c r="L75" i="56"/>
  <c r="K75" i="56"/>
  <c r="E75" i="56"/>
  <c r="A75" i="56"/>
  <c r="J74" i="56"/>
  <c r="A74" i="56"/>
  <c r="O73" i="56"/>
  <c r="N73" i="56"/>
  <c r="M73" i="56"/>
  <c r="L73" i="56"/>
  <c r="K73" i="56"/>
  <c r="J73" i="56"/>
  <c r="O72" i="56"/>
  <c r="N72" i="56"/>
  <c r="M72" i="56"/>
  <c r="L72" i="56"/>
  <c r="K72" i="56"/>
  <c r="A72" i="56" s="1"/>
  <c r="E72" i="56"/>
  <c r="O71" i="56"/>
  <c r="N71" i="56"/>
  <c r="M71" i="56"/>
  <c r="L71" i="56"/>
  <c r="K71" i="56"/>
  <c r="A71" i="56" s="1"/>
  <c r="E71" i="56"/>
  <c r="O70" i="56"/>
  <c r="E70" i="56" s="1"/>
  <c r="N70" i="56"/>
  <c r="M70" i="56"/>
  <c r="L70" i="56"/>
  <c r="K70" i="56"/>
  <c r="A70" i="56" s="1"/>
  <c r="O69" i="56"/>
  <c r="N69" i="56"/>
  <c r="M69" i="56"/>
  <c r="L69" i="56"/>
  <c r="K69" i="56"/>
  <c r="E69" i="56"/>
  <c r="A69" i="56"/>
  <c r="J68" i="56"/>
  <c r="A68" i="56"/>
  <c r="O66" i="56"/>
  <c r="N66" i="56"/>
  <c r="M66" i="56"/>
  <c r="L66" i="56"/>
  <c r="K66" i="56"/>
  <c r="A66" i="56" s="1"/>
  <c r="E66" i="56"/>
  <c r="O65" i="56"/>
  <c r="E65" i="56" s="1"/>
  <c r="N65" i="56"/>
  <c r="M65" i="56"/>
  <c r="L65" i="56"/>
  <c r="K65" i="56"/>
  <c r="A65" i="56" s="1"/>
  <c r="O64" i="56"/>
  <c r="N64" i="56"/>
  <c r="M64" i="56"/>
  <c r="L64" i="56"/>
  <c r="K64" i="56"/>
  <c r="E64" i="56"/>
  <c r="A64" i="56"/>
  <c r="O63" i="56"/>
  <c r="E63" i="56" s="1"/>
  <c r="N63" i="56"/>
  <c r="M63" i="56"/>
  <c r="L63" i="56"/>
  <c r="K63" i="56"/>
  <c r="A63" i="56"/>
  <c r="O62" i="56"/>
  <c r="N62" i="56"/>
  <c r="M62" i="56"/>
  <c r="L62" i="56"/>
  <c r="K62" i="56"/>
  <c r="A62" i="56" s="1"/>
  <c r="E62" i="56"/>
  <c r="O61" i="56"/>
  <c r="E61" i="56" s="1"/>
  <c r="N61" i="56"/>
  <c r="M61" i="56"/>
  <c r="L61" i="56"/>
  <c r="K61" i="56"/>
  <c r="A61" i="56"/>
  <c r="O60" i="56"/>
  <c r="N60" i="56"/>
  <c r="M60" i="56"/>
  <c r="L60" i="56"/>
  <c r="K60" i="56"/>
  <c r="A60" i="56" s="1"/>
  <c r="E60" i="56"/>
  <c r="O59" i="56"/>
  <c r="N59" i="56"/>
  <c r="M59" i="56"/>
  <c r="L59" i="56"/>
  <c r="K59" i="56"/>
  <c r="E59" i="56"/>
  <c r="A59" i="56"/>
  <c r="A58" i="56"/>
  <c r="O56" i="56"/>
  <c r="E56" i="56" s="1"/>
  <c r="N56" i="56"/>
  <c r="M56" i="56"/>
  <c r="L56" i="56"/>
  <c r="K56" i="56"/>
  <c r="A56" i="56"/>
  <c r="O55" i="56"/>
  <c r="N55" i="56"/>
  <c r="M55" i="56"/>
  <c r="L55" i="56"/>
  <c r="K55" i="56"/>
  <c r="A55" i="56" s="1"/>
  <c r="E55" i="56"/>
  <c r="O54" i="56"/>
  <c r="E54" i="56" s="1"/>
  <c r="N54" i="56"/>
  <c r="M54" i="56"/>
  <c r="L54" i="56"/>
  <c r="K54" i="56"/>
  <c r="A54" i="56"/>
  <c r="O53" i="56"/>
  <c r="N53" i="56"/>
  <c r="M53" i="56"/>
  <c r="L53" i="56"/>
  <c r="K53" i="56"/>
  <c r="A53" i="56" s="1"/>
  <c r="E53" i="56"/>
  <c r="O52" i="56"/>
  <c r="N52" i="56"/>
  <c r="M52" i="56"/>
  <c r="L52" i="56"/>
  <c r="K52" i="56"/>
  <c r="E52" i="56"/>
  <c r="A52" i="56"/>
  <c r="O51" i="56"/>
  <c r="E51" i="56" s="1"/>
  <c r="N51" i="56"/>
  <c r="M51" i="56"/>
  <c r="L51" i="56"/>
  <c r="K51" i="56"/>
  <c r="A51" i="56" s="1"/>
  <c r="J50" i="56"/>
  <c r="O49" i="56"/>
  <c r="N49" i="56"/>
  <c r="M49" i="56"/>
  <c r="L49" i="56"/>
  <c r="K49" i="56"/>
  <c r="A49" i="56" s="1"/>
  <c r="E49" i="56"/>
  <c r="O48" i="56"/>
  <c r="E48" i="56" s="1"/>
  <c r="N48" i="56"/>
  <c r="M48" i="56"/>
  <c r="L48" i="56"/>
  <c r="K48" i="56"/>
  <c r="A48" i="56"/>
  <c r="O47" i="56"/>
  <c r="N47" i="56"/>
  <c r="M47" i="56"/>
  <c r="L47" i="56"/>
  <c r="K47" i="56"/>
  <c r="A47" i="56" s="1"/>
  <c r="E47" i="56"/>
  <c r="O46" i="56"/>
  <c r="N46" i="56"/>
  <c r="M46" i="56"/>
  <c r="L46" i="56"/>
  <c r="K46" i="56"/>
  <c r="E46" i="56"/>
  <c r="A46" i="56"/>
  <c r="O45" i="56"/>
  <c r="E45" i="56" s="1"/>
  <c r="N45" i="56"/>
  <c r="M45" i="56"/>
  <c r="L45" i="56"/>
  <c r="K45" i="56"/>
  <c r="A45" i="56" s="1"/>
  <c r="O44" i="56"/>
  <c r="N44" i="56"/>
  <c r="M44" i="56"/>
  <c r="L44" i="56"/>
  <c r="K44" i="56"/>
  <c r="E44" i="56"/>
  <c r="A44" i="56"/>
  <c r="J43" i="56"/>
  <c r="O42" i="56"/>
  <c r="E42" i="56" s="1"/>
  <c r="N42" i="56"/>
  <c r="M42" i="56"/>
  <c r="L42" i="56"/>
  <c r="K42" i="56"/>
  <c r="A42" i="56"/>
  <c r="O41" i="56"/>
  <c r="N41" i="56"/>
  <c r="M41" i="56"/>
  <c r="L41" i="56"/>
  <c r="K41" i="56"/>
  <c r="A41" i="56" s="1"/>
  <c r="E41" i="56"/>
  <c r="O40" i="56"/>
  <c r="N40" i="56"/>
  <c r="M40" i="56"/>
  <c r="L40" i="56"/>
  <c r="K40" i="56"/>
  <c r="E40" i="56"/>
  <c r="A40" i="56"/>
  <c r="O39" i="56"/>
  <c r="E39" i="56" s="1"/>
  <c r="N39" i="56"/>
  <c r="M39" i="56"/>
  <c r="L39" i="56"/>
  <c r="K39" i="56"/>
  <c r="A39" i="56" s="1"/>
  <c r="O38" i="56"/>
  <c r="N38" i="56"/>
  <c r="M38" i="56"/>
  <c r="L38" i="56"/>
  <c r="K38" i="56"/>
  <c r="E38" i="56"/>
  <c r="A38" i="56"/>
  <c r="O37" i="56"/>
  <c r="E37" i="56" s="1"/>
  <c r="N37" i="56"/>
  <c r="M37" i="56"/>
  <c r="L37" i="56"/>
  <c r="K37" i="56"/>
  <c r="A37" i="56"/>
  <c r="J36" i="56"/>
  <c r="O35" i="56"/>
  <c r="N35" i="56"/>
  <c r="M35" i="56"/>
  <c r="L35" i="56"/>
  <c r="K35" i="56"/>
  <c r="A35" i="56" s="1"/>
  <c r="E35" i="56"/>
  <c r="O34" i="56"/>
  <c r="N34" i="56"/>
  <c r="M34" i="56"/>
  <c r="L34" i="56"/>
  <c r="K34" i="56"/>
  <c r="E34" i="56"/>
  <c r="A34" i="56"/>
  <c r="O33" i="56"/>
  <c r="E33" i="56" s="1"/>
  <c r="N33" i="56"/>
  <c r="M33" i="56"/>
  <c r="L33" i="56"/>
  <c r="K33" i="56"/>
  <c r="A33" i="56" s="1"/>
  <c r="O32" i="56"/>
  <c r="N32" i="56"/>
  <c r="M32" i="56"/>
  <c r="L32" i="56"/>
  <c r="K32" i="56"/>
  <c r="A32" i="56" s="1"/>
  <c r="E32" i="56"/>
  <c r="O31" i="56"/>
  <c r="E31" i="56" s="1"/>
  <c r="N31" i="56"/>
  <c r="M31" i="56"/>
  <c r="L31" i="56"/>
  <c r="K31" i="56"/>
  <c r="A31" i="56"/>
  <c r="O30" i="56"/>
  <c r="E30" i="56" s="1"/>
  <c r="N30" i="56"/>
  <c r="M30" i="56"/>
  <c r="L30" i="56"/>
  <c r="K30" i="56"/>
  <c r="A30" i="56" s="1"/>
  <c r="O28" i="56"/>
  <c r="N28" i="56"/>
  <c r="M28" i="56"/>
  <c r="L28" i="56"/>
  <c r="K28" i="56"/>
  <c r="E28" i="56"/>
  <c r="A28" i="56"/>
  <c r="O27" i="56"/>
  <c r="E27" i="56" s="1"/>
  <c r="N27" i="56"/>
  <c r="M27" i="56"/>
  <c r="L27" i="56"/>
  <c r="K27" i="56"/>
  <c r="A27" i="56" s="1"/>
  <c r="O26" i="56"/>
  <c r="N26" i="56"/>
  <c r="M26" i="56"/>
  <c r="L26" i="56"/>
  <c r="K26" i="56"/>
  <c r="E26" i="56"/>
  <c r="A26" i="56"/>
  <c r="O25" i="56"/>
  <c r="E25" i="56" s="1"/>
  <c r="N25" i="56"/>
  <c r="M25" i="56"/>
  <c r="L25" i="56"/>
  <c r="K25" i="56"/>
  <c r="A25" i="56"/>
  <c r="O24" i="56"/>
  <c r="N24" i="56"/>
  <c r="M24" i="56"/>
  <c r="L24" i="56"/>
  <c r="K24" i="56"/>
  <c r="A24" i="56" s="1"/>
  <c r="E24" i="56"/>
  <c r="O23" i="56"/>
  <c r="E23" i="56" s="1"/>
  <c r="N23" i="56"/>
  <c r="M23" i="56"/>
  <c r="L23" i="56"/>
  <c r="K23" i="56"/>
  <c r="A23" i="56"/>
  <c r="J22" i="56"/>
  <c r="O21" i="56"/>
  <c r="E21" i="56" s="1"/>
  <c r="N21" i="56"/>
  <c r="M21" i="56"/>
  <c r="L21" i="56"/>
  <c r="K21" i="56"/>
  <c r="A21" i="56" s="1"/>
  <c r="O20" i="56"/>
  <c r="N20" i="56"/>
  <c r="M20" i="56"/>
  <c r="L20" i="56"/>
  <c r="K20" i="56"/>
  <c r="E20" i="56"/>
  <c r="A20" i="56"/>
  <c r="O19" i="56"/>
  <c r="E19" i="56" s="1"/>
  <c r="N19" i="56"/>
  <c r="M19" i="56"/>
  <c r="L19" i="56"/>
  <c r="K19" i="56"/>
  <c r="A19" i="56"/>
  <c r="O18" i="56"/>
  <c r="N18" i="56"/>
  <c r="M18" i="56"/>
  <c r="L18" i="56"/>
  <c r="K18" i="56"/>
  <c r="A18" i="56" s="1"/>
  <c r="E18" i="56"/>
  <c r="O17" i="56"/>
  <c r="E17" i="56" s="1"/>
  <c r="N17" i="56"/>
  <c r="M17" i="56"/>
  <c r="L17" i="56"/>
  <c r="K17" i="56"/>
  <c r="A17" i="56"/>
  <c r="O16" i="56"/>
  <c r="N16" i="56"/>
  <c r="M16" i="56"/>
  <c r="L16" i="56"/>
  <c r="K16" i="56"/>
  <c r="A16" i="56" s="1"/>
  <c r="E16" i="56"/>
  <c r="O14" i="56"/>
  <c r="N14" i="56"/>
  <c r="M14" i="56"/>
  <c r="L14" i="56"/>
  <c r="K14" i="56"/>
  <c r="E14" i="56"/>
  <c r="A14" i="56"/>
  <c r="O13" i="56"/>
  <c r="E13" i="56" s="1"/>
  <c r="N13" i="56"/>
  <c r="M13" i="56"/>
  <c r="L13" i="56"/>
  <c r="K13" i="56"/>
  <c r="A13" i="56" s="1"/>
  <c r="O12" i="56"/>
  <c r="N12" i="56"/>
  <c r="M12" i="56"/>
  <c r="L12" i="56"/>
  <c r="K12" i="56"/>
  <c r="E12" i="56"/>
  <c r="A12" i="56"/>
  <c r="Q11" i="56"/>
  <c r="P17" i="31" s="1"/>
  <c r="O11" i="56"/>
  <c r="E11" i="56" s="1"/>
  <c r="N11" i="56"/>
  <c r="M11" i="56"/>
  <c r="L11" i="56"/>
  <c r="K11" i="56"/>
  <c r="A11" i="56"/>
  <c r="O10" i="56"/>
  <c r="N10" i="56"/>
  <c r="M10" i="56"/>
  <c r="L10" i="56"/>
  <c r="K10" i="56"/>
  <c r="A10" i="56" s="1"/>
  <c r="E10" i="56"/>
  <c r="O9" i="56"/>
  <c r="N9" i="56"/>
  <c r="M9" i="56"/>
  <c r="L9" i="56"/>
  <c r="K9" i="56"/>
  <c r="E9" i="56"/>
  <c r="A9" i="56"/>
  <c r="J8" i="56"/>
  <c r="O7" i="56"/>
  <c r="E7" i="56" s="1"/>
  <c r="N7" i="56"/>
  <c r="M7" i="56"/>
  <c r="L7" i="56"/>
  <c r="K7" i="56"/>
  <c r="A7" i="56"/>
  <c r="O6" i="56"/>
  <c r="N6" i="56"/>
  <c r="M6" i="56"/>
  <c r="L6" i="56"/>
  <c r="K6" i="56"/>
  <c r="A6" i="56" s="1"/>
  <c r="E6" i="56"/>
  <c r="O5" i="56"/>
  <c r="E5" i="56" s="1"/>
  <c r="N5" i="56"/>
  <c r="M5" i="56"/>
  <c r="L5" i="56"/>
  <c r="K5" i="56"/>
  <c r="A5" i="56"/>
  <c r="O4" i="56"/>
  <c r="N4" i="56"/>
  <c r="M4" i="56"/>
  <c r="L4" i="56"/>
  <c r="K4" i="56"/>
  <c r="A4" i="56" s="1"/>
  <c r="E4" i="56"/>
  <c r="O3" i="56"/>
  <c r="N3" i="56"/>
  <c r="M3" i="56"/>
  <c r="L3" i="56"/>
  <c r="K3" i="56"/>
  <c r="E3" i="56"/>
  <c r="A3" i="56"/>
  <c r="O2" i="56"/>
  <c r="E2" i="56" s="1"/>
  <c r="N2" i="56"/>
  <c r="M2" i="56"/>
  <c r="L2" i="56"/>
  <c r="K2" i="56"/>
  <c r="J2" i="56"/>
  <c r="A2" i="56"/>
  <c r="J80" i="55"/>
  <c r="O79" i="55"/>
  <c r="N79" i="55"/>
  <c r="M79" i="55"/>
  <c r="L79" i="55"/>
  <c r="K79" i="55"/>
  <c r="A79" i="55" s="1"/>
  <c r="E79" i="55"/>
  <c r="J78" i="55"/>
  <c r="A78" i="55"/>
  <c r="O77" i="55"/>
  <c r="N77" i="55"/>
  <c r="M77" i="55"/>
  <c r="L77" i="55"/>
  <c r="K77" i="55"/>
  <c r="J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/>
  <c r="J74" i="55"/>
  <c r="A74" i="55"/>
  <c r="O73" i="55"/>
  <c r="N73" i="55"/>
  <c r="M73" i="55"/>
  <c r="L73" i="55"/>
  <c r="K73" i="55"/>
  <c r="J73" i="55"/>
  <c r="O72" i="55"/>
  <c r="N72" i="55"/>
  <c r="M72" i="55"/>
  <c r="L72" i="55"/>
  <c r="K72" i="55"/>
  <c r="A72" i="55" s="1"/>
  <c r="E72" i="55"/>
  <c r="O71" i="55"/>
  <c r="N71" i="55"/>
  <c r="M71" i="55"/>
  <c r="L71" i="55"/>
  <c r="K71" i="55"/>
  <c r="E71" i="55"/>
  <c r="A71" i="55"/>
  <c r="O70" i="55"/>
  <c r="E70" i="55" s="1"/>
  <c r="N70" i="55"/>
  <c r="M70" i="55"/>
  <c r="L70" i="55"/>
  <c r="K70" i="55"/>
  <c r="A70" i="55"/>
  <c r="O69" i="55"/>
  <c r="E69" i="55" s="1"/>
  <c r="N69" i="55"/>
  <c r="M69" i="55"/>
  <c r="L69" i="55"/>
  <c r="K69" i="55"/>
  <c r="A69" i="55"/>
  <c r="J68" i="55"/>
  <c r="A68" i="55"/>
  <c r="O66" i="55"/>
  <c r="N66" i="55"/>
  <c r="M66" i="55"/>
  <c r="L66" i="55"/>
  <c r="K66" i="55"/>
  <c r="E66" i="55"/>
  <c r="A66" i="55"/>
  <c r="O65" i="55"/>
  <c r="E65" i="55" s="1"/>
  <c r="N65" i="55"/>
  <c r="M65" i="55"/>
  <c r="L65" i="55"/>
  <c r="K65" i="55"/>
  <c r="A65" i="55" s="1"/>
  <c r="O64" i="55"/>
  <c r="N64" i="55"/>
  <c r="M64" i="55"/>
  <c r="L64" i="55"/>
  <c r="K64" i="55"/>
  <c r="E64" i="55"/>
  <c r="A64" i="55"/>
  <c r="O63" i="55"/>
  <c r="E63" i="55" s="1"/>
  <c r="N63" i="55"/>
  <c r="M63" i="55"/>
  <c r="L63" i="55"/>
  <c r="K63" i="55"/>
  <c r="A63" i="55"/>
  <c r="O62" i="55"/>
  <c r="N62" i="55"/>
  <c r="M62" i="55"/>
  <c r="L62" i="55"/>
  <c r="K62" i="55"/>
  <c r="A62" i="55" s="1"/>
  <c r="E62" i="55"/>
  <c r="O61" i="55"/>
  <c r="E61" i="55" s="1"/>
  <c r="N61" i="55"/>
  <c r="M61" i="55"/>
  <c r="L61" i="55"/>
  <c r="K61" i="55"/>
  <c r="A61" i="55" s="1"/>
  <c r="O60" i="55"/>
  <c r="N60" i="55"/>
  <c r="M60" i="55"/>
  <c r="L60" i="55"/>
  <c r="K60" i="55"/>
  <c r="A60" i="55" s="1"/>
  <c r="E60" i="55"/>
  <c r="O59" i="55"/>
  <c r="N59" i="55"/>
  <c r="M59" i="55"/>
  <c r="L59" i="55"/>
  <c r="K59" i="55"/>
  <c r="E59" i="55"/>
  <c r="A59" i="55"/>
  <c r="A58" i="55"/>
  <c r="O56" i="55"/>
  <c r="E56" i="55" s="1"/>
  <c r="N56" i="55"/>
  <c r="M56" i="55"/>
  <c r="L56" i="55"/>
  <c r="K56" i="55"/>
  <c r="A56" i="55"/>
  <c r="O55" i="55"/>
  <c r="N55" i="55"/>
  <c r="M55" i="55"/>
  <c r="L55" i="55"/>
  <c r="K55" i="55"/>
  <c r="A55" i="55" s="1"/>
  <c r="E55" i="55"/>
  <c r="O54" i="55"/>
  <c r="E54" i="55" s="1"/>
  <c r="N54" i="55"/>
  <c r="M54" i="55"/>
  <c r="L54" i="55"/>
  <c r="K54" i="55"/>
  <c r="A54" i="55" s="1"/>
  <c r="O53" i="55"/>
  <c r="N53" i="55"/>
  <c r="M53" i="55"/>
  <c r="L53" i="55"/>
  <c r="K53" i="55"/>
  <c r="A53" i="55" s="1"/>
  <c r="E53" i="55"/>
  <c r="O52" i="55"/>
  <c r="N52" i="55"/>
  <c r="M52" i="55"/>
  <c r="L52" i="55"/>
  <c r="K52" i="55"/>
  <c r="E52" i="55"/>
  <c r="A52" i="55"/>
  <c r="O51" i="55"/>
  <c r="E51" i="55" s="1"/>
  <c r="N51" i="55"/>
  <c r="M51" i="55"/>
  <c r="L51" i="55"/>
  <c r="K51" i="55"/>
  <c r="A51" i="55"/>
  <c r="J50" i="55"/>
  <c r="O49" i="55"/>
  <c r="N49" i="55"/>
  <c r="M49" i="55"/>
  <c r="L49" i="55"/>
  <c r="K49" i="55"/>
  <c r="A49" i="55" s="1"/>
  <c r="E49" i="55"/>
  <c r="O48" i="55"/>
  <c r="E48" i="55" s="1"/>
  <c r="N48" i="55"/>
  <c r="M48" i="55"/>
  <c r="L48" i="55"/>
  <c r="K48" i="55"/>
  <c r="A48" i="55" s="1"/>
  <c r="O47" i="55"/>
  <c r="N47" i="55"/>
  <c r="M47" i="55"/>
  <c r="L47" i="55"/>
  <c r="K47" i="55"/>
  <c r="A47" i="55" s="1"/>
  <c r="E47" i="55"/>
  <c r="O46" i="55"/>
  <c r="N46" i="55"/>
  <c r="M46" i="55"/>
  <c r="L46" i="55"/>
  <c r="K46" i="55"/>
  <c r="E46" i="55"/>
  <c r="A46" i="55"/>
  <c r="O45" i="55"/>
  <c r="E45" i="55" s="1"/>
  <c r="N45" i="55"/>
  <c r="M45" i="55"/>
  <c r="L45" i="55"/>
  <c r="K45" i="55"/>
  <c r="A45" i="55"/>
  <c r="O44" i="55"/>
  <c r="E44" i="55" s="1"/>
  <c r="N44" i="55"/>
  <c r="M44" i="55"/>
  <c r="L44" i="55"/>
  <c r="K44" i="55"/>
  <c r="A44" i="55"/>
  <c r="J43" i="55"/>
  <c r="O42" i="55"/>
  <c r="E42" i="55" s="1"/>
  <c r="N42" i="55"/>
  <c r="M42" i="55"/>
  <c r="L42" i="55"/>
  <c r="K42" i="55"/>
  <c r="A42" i="55" s="1"/>
  <c r="O41" i="55"/>
  <c r="N41" i="55"/>
  <c r="M41" i="55"/>
  <c r="L41" i="55"/>
  <c r="K41" i="55"/>
  <c r="A41" i="55" s="1"/>
  <c r="E41" i="55"/>
  <c r="O40" i="55"/>
  <c r="N40" i="55"/>
  <c r="M40" i="55"/>
  <c r="L40" i="55"/>
  <c r="K40" i="55"/>
  <c r="E40" i="55"/>
  <c r="A40" i="55"/>
  <c r="O39" i="55"/>
  <c r="E39" i="55" s="1"/>
  <c r="N39" i="55"/>
  <c r="M39" i="55"/>
  <c r="L39" i="55"/>
  <c r="K39" i="55"/>
  <c r="A39" i="55" s="1"/>
  <c r="O38" i="55"/>
  <c r="N38" i="55"/>
  <c r="M38" i="55"/>
  <c r="L38" i="55"/>
  <c r="K38" i="55"/>
  <c r="E38" i="55"/>
  <c r="A38" i="55"/>
  <c r="O37" i="55"/>
  <c r="N37" i="55"/>
  <c r="M37" i="55"/>
  <c r="L37" i="55"/>
  <c r="K37" i="55"/>
  <c r="E37" i="55"/>
  <c r="A37" i="55"/>
  <c r="J36" i="55"/>
  <c r="O35" i="55"/>
  <c r="N35" i="55"/>
  <c r="M35" i="55"/>
  <c r="L35" i="55"/>
  <c r="K35" i="55"/>
  <c r="A35" i="55" s="1"/>
  <c r="E35" i="55"/>
  <c r="O34" i="55"/>
  <c r="N34" i="55"/>
  <c r="M34" i="55"/>
  <c r="L34" i="55"/>
  <c r="K34" i="55"/>
  <c r="E34" i="55"/>
  <c r="A34" i="55"/>
  <c r="O33" i="55"/>
  <c r="E33" i="55" s="1"/>
  <c r="N33" i="55"/>
  <c r="M33" i="55"/>
  <c r="L33" i="55"/>
  <c r="K33" i="55"/>
  <c r="A33" i="55" s="1"/>
  <c r="O32" i="55"/>
  <c r="N32" i="55"/>
  <c r="M32" i="55"/>
  <c r="L32" i="55"/>
  <c r="K32" i="55"/>
  <c r="A32" i="55" s="1"/>
  <c r="E32" i="55"/>
  <c r="O31" i="55"/>
  <c r="N31" i="55"/>
  <c r="M31" i="55"/>
  <c r="L31" i="55"/>
  <c r="K31" i="55"/>
  <c r="E31" i="55"/>
  <c r="A31" i="55"/>
  <c r="O30" i="55"/>
  <c r="N30" i="55"/>
  <c r="M30" i="55"/>
  <c r="L30" i="55"/>
  <c r="K30" i="55"/>
  <c r="E30" i="55"/>
  <c r="A30" i="55"/>
  <c r="O28" i="55"/>
  <c r="N28" i="55"/>
  <c r="M28" i="55"/>
  <c r="L28" i="55"/>
  <c r="K28" i="55"/>
  <c r="E28" i="55"/>
  <c r="A28" i="55"/>
  <c r="O27" i="55"/>
  <c r="E27" i="55" s="1"/>
  <c r="N27" i="55"/>
  <c r="M27" i="55"/>
  <c r="L27" i="55"/>
  <c r="K27" i="55"/>
  <c r="A27" i="55" s="1"/>
  <c r="O26" i="55"/>
  <c r="N26" i="55"/>
  <c r="M26" i="55"/>
  <c r="L26" i="55"/>
  <c r="K26" i="55"/>
  <c r="E26" i="55"/>
  <c r="A26" i="55"/>
  <c r="O25" i="55"/>
  <c r="E25" i="55" s="1"/>
  <c r="N25" i="55"/>
  <c r="M25" i="55"/>
  <c r="L25" i="55"/>
  <c r="K25" i="55"/>
  <c r="A25" i="55"/>
  <c r="O24" i="55"/>
  <c r="N24" i="55"/>
  <c r="M24" i="55"/>
  <c r="L24" i="55"/>
  <c r="K24" i="55"/>
  <c r="A24" i="55" s="1"/>
  <c r="E24" i="55"/>
  <c r="O23" i="55"/>
  <c r="E23" i="55" s="1"/>
  <c r="N23" i="55"/>
  <c r="M23" i="55"/>
  <c r="L23" i="55"/>
  <c r="K23" i="55"/>
  <c r="A23" i="55" s="1"/>
  <c r="J22" i="55"/>
  <c r="O21" i="55"/>
  <c r="E21" i="55" s="1"/>
  <c r="N21" i="55"/>
  <c r="M21" i="55"/>
  <c r="L21" i="55"/>
  <c r="K21" i="55"/>
  <c r="A21" i="55" s="1"/>
  <c r="O20" i="55"/>
  <c r="N20" i="55"/>
  <c r="M20" i="55"/>
  <c r="L20" i="55"/>
  <c r="K20" i="55"/>
  <c r="E20" i="55"/>
  <c r="A20" i="55"/>
  <c r="O19" i="55"/>
  <c r="E19" i="55" s="1"/>
  <c r="N19" i="55"/>
  <c r="M19" i="55"/>
  <c r="L19" i="55"/>
  <c r="K19" i="55"/>
  <c r="A19" i="55"/>
  <c r="O18" i="55"/>
  <c r="N18" i="55"/>
  <c r="M18" i="55"/>
  <c r="L18" i="55"/>
  <c r="K18" i="55"/>
  <c r="A18" i="55" s="1"/>
  <c r="E18" i="55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N14" i="55"/>
  <c r="M14" i="55"/>
  <c r="L14" i="55"/>
  <c r="K14" i="55"/>
  <c r="E14" i="55"/>
  <c r="A14" i="55"/>
  <c r="O13" i="55"/>
  <c r="E13" i="55" s="1"/>
  <c r="N13" i="55"/>
  <c r="M13" i="55"/>
  <c r="L13" i="55"/>
  <c r="K13" i="55"/>
  <c r="A13" i="55" s="1"/>
  <c r="O12" i="55"/>
  <c r="N12" i="55"/>
  <c r="M12" i="55"/>
  <c r="L12" i="55"/>
  <c r="K12" i="55"/>
  <c r="E12" i="55"/>
  <c r="A12" i="55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N9" i="55"/>
  <c r="M9" i="55"/>
  <c r="L9" i="55"/>
  <c r="K9" i="55"/>
  <c r="E9" i="55"/>
  <c r="A9" i="55"/>
  <c r="J8" i="55"/>
  <c r="O7" i="55"/>
  <c r="E7" i="55" s="1"/>
  <c r="N7" i="55"/>
  <c r="M7" i="55"/>
  <c r="L7" i="55"/>
  <c r="K7" i="55"/>
  <c r="A7" i="55"/>
  <c r="O6" i="55"/>
  <c r="N6" i="55"/>
  <c r="M6" i="55"/>
  <c r="L6" i="55"/>
  <c r="K6" i="55"/>
  <c r="A6" i="55" s="1"/>
  <c r="E6" i="55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N3" i="55"/>
  <c r="M3" i="55"/>
  <c r="L3" i="55"/>
  <c r="K3" i="55"/>
  <c r="E3" i="55"/>
  <c r="A3" i="55"/>
  <c r="O2" i="55"/>
  <c r="E2" i="55" s="1"/>
  <c r="N2" i="55"/>
  <c r="M2" i="55"/>
  <c r="L2" i="55"/>
  <c r="K2" i="55"/>
  <c r="J2" i="55"/>
  <c r="A2" i="55"/>
  <c r="J80" i="54"/>
  <c r="O79" i="54"/>
  <c r="N79" i="54"/>
  <c r="M79" i="54"/>
  <c r="L79" i="54"/>
  <c r="K79" i="54"/>
  <c r="A79" i="54" s="1"/>
  <c r="E79" i="54"/>
  <c r="J78" i="54"/>
  <c r="A78" i="54"/>
  <c r="O77" i="54"/>
  <c r="N77" i="54"/>
  <c r="M77" i="54"/>
  <c r="L77" i="54"/>
  <c r="K77" i="54"/>
  <c r="J77" i="54"/>
  <c r="O76" i="54"/>
  <c r="E76" i="54" s="1"/>
  <c r="N76" i="54"/>
  <c r="M76" i="54"/>
  <c r="L76" i="54"/>
  <c r="K76" i="54"/>
  <c r="A76" i="54" s="1"/>
  <c r="O75" i="54"/>
  <c r="N75" i="54"/>
  <c r="M75" i="54"/>
  <c r="L75" i="54"/>
  <c r="K75" i="54"/>
  <c r="A75" i="54" s="1"/>
  <c r="E75" i="54"/>
  <c r="J74" i="54"/>
  <c r="A74" i="54"/>
  <c r="O73" i="54"/>
  <c r="N73" i="54"/>
  <c r="M73" i="54"/>
  <c r="L73" i="54"/>
  <c r="K73" i="54"/>
  <c r="J73" i="54"/>
  <c r="O72" i="54"/>
  <c r="E72" i="54" s="1"/>
  <c r="N72" i="54"/>
  <c r="M72" i="54"/>
  <c r="L72" i="54"/>
  <c r="K72" i="54"/>
  <c r="A72" i="54" s="1"/>
  <c r="O71" i="54"/>
  <c r="N71" i="54"/>
  <c r="M71" i="54"/>
  <c r="L71" i="54"/>
  <c r="K71" i="54"/>
  <c r="E71" i="54"/>
  <c r="A71" i="54"/>
  <c r="O70" i="54"/>
  <c r="E70" i="54" s="1"/>
  <c r="N70" i="54"/>
  <c r="M70" i="54"/>
  <c r="L70" i="54"/>
  <c r="K70" i="54"/>
  <c r="A70" i="54"/>
  <c r="O69" i="54"/>
  <c r="N69" i="54"/>
  <c r="M69" i="54"/>
  <c r="L69" i="54"/>
  <c r="K69" i="54"/>
  <c r="A69" i="54" s="1"/>
  <c r="E69" i="54"/>
  <c r="J68" i="54"/>
  <c r="A68" i="54"/>
  <c r="O66" i="54"/>
  <c r="N66" i="54"/>
  <c r="M66" i="54"/>
  <c r="L66" i="54"/>
  <c r="K66" i="54"/>
  <c r="E66" i="54"/>
  <c r="A66" i="54"/>
  <c r="O65" i="54"/>
  <c r="E65" i="54" s="1"/>
  <c r="N65" i="54"/>
  <c r="M65" i="54"/>
  <c r="L65" i="54"/>
  <c r="K65" i="54"/>
  <c r="A65" i="54" s="1"/>
  <c r="O64" i="54"/>
  <c r="N64" i="54"/>
  <c r="M64" i="54"/>
  <c r="L64" i="54"/>
  <c r="K64" i="54"/>
  <c r="E64" i="54"/>
  <c r="A64" i="54"/>
  <c r="O63" i="54"/>
  <c r="E63" i="54" s="1"/>
  <c r="N63" i="54"/>
  <c r="M63" i="54"/>
  <c r="L63" i="54"/>
  <c r="K63" i="54"/>
  <c r="A63" i="54"/>
  <c r="O62" i="54"/>
  <c r="E62" i="54" s="1"/>
  <c r="N62" i="54"/>
  <c r="M62" i="54"/>
  <c r="L62" i="54"/>
  <c r="K62" i="54"/>
  <c r="A62" i="54" s="1"/>
  <c r="O61" i="54"/>
  <c r="N61" i="54"/>
  <c r="M61" i="54"/>
  <c r="L61" i="54"/>
  <c r="K61" i="54"/>
  <c r="E61" i="54"/>
  <c r="A61" i="54"/>
  <c r="O60" i="54"/>
  <c r="E60" i="54" s="1"/>
  <c r="N60" i="54"/>
  <c r="M60" i="54"/>
  <c r="L60" i="54"/>
  <c r="K60" i="54"/>
  <c r="A60" i="54" s="1"/>
  <c r="O59" i="54"/>
  <c r="N59" i="54"/>
  <c r="M59" i="54"/>
  <c r="L59" i="54"/>
  <c r="K59" i="54"/>
  <c r="E59" i="54"/>
  <c r="A59" i="54"/>
  <c r="A58" i="54"/>
  <c r="O56" i="54"/>
  <c r="E56" i="54" s="1"/>
  <c r="N56" i="54"/>
  <c r="M56" i="54"/>
  <c r="L56" i="54"/>
  <c r="K56" i="54"/>
  <c r="A56" i="54"/>
  <c r="O55" i="54"/>
  <c r="E55" i="54" s="1"/>
  <c r="N55" i="54"/>
  <c r="M55" i="54"/>
  <c r="L55" i="54"/>
  <c r="K55" i="54"/>
  <c r="A55" i="54" s="1"/>
  <c r="O54" i="54"/>
  <c r="N54" i="54"/>
  <c r="M54" i="54"/>
  <c r="L54" i="54"/>
  <c r="K54" i="54"/>
  <c r="E54" i="54"/>
  <c r="A54" i="54"/>
  <c r="O53" i="54"/>
  <c r="E53" i="54" s="1"/>
  <c r="N53" i="54"/>
  <c r="M53" i="54"/>
  <c r="L53" i="54"/>
  <c r="K53" i="54"/>
  <c r="A53" i="54" s="1"/>
  <c r="O52" i="54"/>
  <c r="N52" i="54"/>
  <c r="M52" i="54"/>
  <c r="L52" i="54"/>
  <c r="K52" i="54"/>
  <c r="A52" i="54" s="1"/>
  <c r="E52" i="54"/>
  <c r="O51" i="54"/>
  <c r="E51" i="54" s="1"/>
  <c r="N51" i="54"/>
  <c r="M51" i="54"/>
  <c r="L51" i="54"/>
  <c r="K51" i="54"/>
  <c r="A51" i="54"/>
  <c r="J50" i="54"/>
  <c r="O49" i="54"/>
  <c r="E49" i="54" s="1"/>
  <c r="N49" i="54"/>
  <c r="M49" i="54"/>
  <c r="L49" i="54"/>
  <c r="K49" i="54"/>
  <c r="A49" i="54" s="1"/>
  <c r="O48" i="54"/>
  <c r="N48" i="54"/>
  <c r="M48" i="54"/>
  <c r="L48" i="54"/>
  <c r="K48" i="54"/>
  <c r="E48" i="54"/>
  <c r="A48" i="54"/>
  <c r="O47" i="54"/>
  <c r="E47" i="54" s="1"/>
  <c r="N47" i="54"/>
  <c r="M47" i="54"/>
  <c r="L47" i="54"/>
  <c r="K47" i="54"/>
  <c r="A47" i="54" s="1"/>
  <c r="O46" i="54"/>
  <c r="N46" i="54"/>
  <c r="M46" i="54"/>
  <c r="L46" i="54"/>
  <c r="K46" i="54"/>
  <c r="A46" i="54" s="1"/>
  <c r="E46" i="54"/>
  <c r="O45" i="54"/>
  <c r="E45" i="54" s="1"/>
  <c r="N45" i="54"/>
  <c r="M45" i="54"/>
  <c r="L45" i="54"/>
  <c r="K45" i="54"/>
  <c r="A45" i="54" s="1"/>
  <c r="O44" i="54"/>
  <c r="N44" i="54"/>
  <c r="M44" i="54"/>
  <c r="L44" i="54"/>
  <c r="K44" i="54"/>
  <c r="A44" i="54" s="1"/>
  <c r="E44" i="54"/>
  <c r="J43" i="54"/>
  <c r="O42" i="54"/>
  <c r="N42" i="54"/>
  <c r="M42" i="54"/>
  <c r="L42" i="54"/>
  <c r="K42" i="54"/>
  <c r="E42" i="54"/>
  <c r="A42" i="54"/>
  <c r="O41" i="54"/>
  <c r="E41" i="54" s="1"/>
  <c r="N41" i="54"/>
  <c r="M41" i="54"/>
  <c r="L41" i="54"/>
  <c r="K41" i="54"/>
  <c r="A41" i="54" s="1"/>
  <c r="O40" i="54"/>
  <c r="N40" i="54"/>
  <c r="M40" i="54"/>
  <c r="L40" i="54"/>
  <c r="K40" i="54"/>
  <c r="A40" i="54" s="1"/>
  <c r="E40" i="54"/>
  <c r="O39" i="54"/>
  <c r="E39" i="54" s="1"/>
  <c r="N39" i="54"/>
  <c r="M39" i="54"/>
  <c r="L39" i="54"/>
  <c r="K39" i="54"/>
  <c r="A39" i="54" s="1"/>
  <c r="O38" i="54"/>
  <c r="N38" i="54"/>
  <c r="M38" i="54"/>
  <c r="L38" i="54"/>
  <c r="K38" i="54"/>
  <c r="A38" i="54" s="1"/>
  <c r="E38" i="54"/>
  <c r="O37" i="54"/>
  <c r="E37" i="54" s="1"/>
  <c r="N37" i="54"/>
  <c r="M37" i="54"/>
  <c r="L37" i="54"/>
  <c r="K37" i="54"/>
  <c r="A37" i="54"/>
  <c r="J36" i="54"/>
  <c r="O35" i="54"/>
  <c r="E35" i="54" s="1"/>
  <c r="N35" i="54"/>
  <c r="M35" i="54"/>
  <c r="L35" i="54"/>
  <c r="K35" i="54"/>
  <c r="A35" i="54" s="1"/>
  <c r="O34" i="54"/>
  <c r="N34" i="54"/>
  <c r="M34" i="54"/>
  <c r="L34" i="54"/>
  <c r="K34" i="54"/>
  <c r="A34" i="54" s="1"/>
  <c r="E34" i="54"/>
  <c r="O33" i="54"/>
  <c r="E33" i="54" s="1"/>
  <c r="N33" i="54"/>
  <c r="M33" i="54"/>
  <c r="L33" i="54"/>
  <c r="K33" i="54"/>
  <c r="A33" i="54" s="1"/>
  <c r="O32" i="54"/>
  <c r="N32" i="54"/>
  <c r="M32" i="54"/>
  <c r="L32" i="54"/>
  <c r="K32" i="54"/>
  <c r="A32" i="54" s="1"/>
  <c r="E32" i="54"/>
  <c r="O31" i="54"/>
  <c r="E31" i="54" s="1"/>
  <c r="N31" i="54"/>
  <c r="M31" i="54"/>
  <c r="L31" i="54"/>
  <c r="K31" i="54"/>
  <c r="A31" i="54"/>
  <c r="O30" i="54"/>
  <c r="N30" i="54"/>
  <c r="M30" i="54"/>
  <c r="L30" i="54"/>
  <c r="K30" i="54"/>
  <c r="E30" i="54"/>
  <c r="A30" i="54"/>
  <c r="O28" i="54"/>
  <c r="N28" i="54"/>
  <c r="M28" i="54"/>
  <c r="L28" i="54"/>
  <c r="K28" i="54"/>
  <c r="E28" i="54"/>
  <c r="A28" i="54"/>
  <c r="O27" i="54"/>
  <c r="E27" i="54" s="1"/>
  <c r="N27" i="54"/>
  <c r="M27" i="54"/>
  <c r="L27" i="54"/>
  <c r="K27" i="54"/>
  <c r="A27" i="54" s="1"/>
  <c r="O26" i="54"/>
  <c r="N26" i="54"/>
  <c r="M26" i="54"/>
  <c r="L26" i="54"/>
  <c r="K26" i="54"/>
  <c r="E26" i="54"/>
  <c r="A26" i="54"/>
  <c r="O25" i="54"/>
  <c r="E25" i="54" s="1"/>
  <c r="N25" i="54"/>
  <c r="M25" i="54"/>
  <c r="L25" i="54"/>
  <c r="K25" i="54"/>
  <c r="A25" i="54"/>
  <c r="O24" i="54"/>
  <c r="E24" i="54" s="1"/>
  <c r="N24" i="54"/>
  <c r="M24" i="54"/>
  <c r="L24" i="54"/>
  <c r="K24" i="54"/>
  <c r="A24" i="54" s="1"/>
  <c r="O23" i="54"/>
  <c r="N23" i="54"/>
  <c r="M23" i="54"/>
  <c r="L23" i="54"/>
  <c r="K23" i="54"/>
  <c r="E23" i="54"/>
  <c r="A23" i="54"/>
  <c r="J22" i="54"/>
  <c r="O21" i="54"/>
  <c r="E21" i="54" s="1"/>
  <c r="N21" i="54"/>
  <c r="M21" i="54"/>
  <c r="L21" i="54"/>
  <c r="K21" i="54"/>
  <c r="A21" i="54" s="1"/>
  <c r="O20" i="54"/>
  <c r="N20" i="54"/>
  <c r="M20" i="54"/>
  <c r="L20" i="54"/>
  <c r="K20" i="54"/>
  <c r="E20" i="54"/>
  <c r="A20" i="54"/>
  <c r="O19" i="54"/>
  <c r="E19" i="54" s="1"/>
  <c r="N19" i="54"/>
  <c r="M19" i="54"/>
  <c r="L19" i="54"/>
  <c r="K19" i="54"/>
  <c r="A19" i="54"/>
  <c r="O18" i="54"/>
  <c r="E18" i="54" s="1"/>
  <c r="N18" i="54"/>
  <c r="M18" i="54"/>
  <c r="L18" i="54"/>
  <c r="K18" i="54"/>
  <c r="A18" i="54" s="1"/>
  <c r="O17" i="54"/>
  <c r="N17" i="54"/>
  <c r="M17" i="54"/>
  <c r="L17" i="54"/>
  <c r="K17" i="54"/>
  <c r="E17" i="54"/>
  <c r="A17" i="54"/>
  <c r="O16" i="54"/>
  <c r="E16" i="54" s="1"/>
  <c r="N16" i="54"/>
  <c r="M16" i="54"/>
  <c r="L16" i="54"/>
  <c r="K16" i="54"/>
  <c r="A16" i="54" s="1"/>
  <c r="O14" i="54"/>
  <c r="N14" i="54"/>
  <c r="M14" i="54"/>
  <c r="L14" i="54"/>
  <c r="K14" i="54"/>
  <c r="A14" i="54" s="1"/>
  <c r="E14" i="54"/>
  <c r="O13" i="54"/>
  <c r="E13" i="54" s="1"/>
  <c r="N13" i="54"/>
  <c r="M13" i="54"/>
  <c r="L13" i="54"/>
  <c r="K13" i="54"/>
  <c r="A13" i="54" s="1"/>
  <c r="O12" i="54"/>
  <c r="N12" i="54"/>
  <c r="M12" i="54"/>
  <c r="L12" i="54"/>
  <c r="K12" i="54"/>
  <c r="A12" i="54" s="1"/>
  <c r="E12" i="54"/>
  <c r="Q11" i="54"/>
  <c r="P14" i="31" s="1"/>
  <c r="O11" i="54"/>
  <c r="N11" i="54"/>
  <c r="M11" i="54"/>
  <c r="L11" i="54"/>
  <c r="K11" i="54"/>
  <c r="E11" i="54"/>
  <c r="A11" i="54"/>
  <c r="O10" i="54"/>
  <c r="E10" i="54" s="1"/>
  <c r="N10" i="54"/>
  <c r="M10" i="54"/>
  <c r="L10" i="54"/>
  <c r="K10" i="54"/>
  <c r="A10" i="54" s="1"/>
  <c r="O9" i="54"/>
  <c r="N9" i="54"/>
  <c r="M9" i="54"/>
  <c r="L9" i="54"/>
  <c r="K9" i="54"/>
  <c r="A9" i="54" s="1"/>
  <c r="E9" i="54"/>
  <c r="J8" i="54"/>
  <c r="O7" i="54"/>
  <c r="E7" i="54" s="1"/>
  <c r="N7" i="54"/>
  <c r="M7" i="54"/>
  <c r="L7" i="54"/>
  <c r="K7" i="54"/>
  <c r="A7" i="54"/>
  <c r="O6" i="54"/>
  <c r="E6" i="54" s="1"/>
  <c r="N6" i="54"/>
  <c r="M6" i="54"/>
  <c r="L6" i="54"/>
  <c r="K6" i="54"/>
  <c r="A6" i="54" s="1"/>
  <c r="O5" i="54"/>
  <c r="N5" i="54"/>
  <c r="M5" i="54"/>
  <c r="L5" i="54"/>
  <c r="K5" i="54"/>
  <c r="E5" i="54"/>
  <c r="A5" i="54"/>
  <c r="O4" i="54"/>
  <c r="E4" i="54" s="1"/>
  <c r="N4" i="54"/>
  <c r="M4" i="54"/>
  <c r="L4" i="54"/>
  <c r="K4" i="54"/>
  <c r="A4" i="54" s="1"/>
  <c r="O3" i="54"/>
  <c r="N3" i="54"/>
  <c r="M3" i="54"/>
  <c r="L3" i="54"/>
  <c r="K3" i="54"/>
  <c r="A3" i="54" s="1"/>
  <c r="E3" i="54"/>
  <c r="O2" i="54"/>
  <c r="E2" i="54" s="1"/>
  <c r="N2" i="54"/>
  <c r="M2" i="54"/>
  <c r="L2" i="54"/>
  <c r="K2" i="54"/>
  <c r="J2" i="54"/>
  <c r="A2" i="54"/>
  <c r="J80" i="53"/>
  <c r="O79" i="53"/>
  <c r="E79" i="53" s="1"/>
  <c r="N79" i="53"/>
  <c r="M79" i="53"/>
  <c r="L79" i="53"/>
  <c r="K79" i="53"/>
  <c r="A79" i="53" s="1"/>
  <c r="J78" i="53"/>
  <c r="A78" i="53"/>
  <c r="O77" i="53"/>
  <c r="N77" i="53"/>
  <c r="M77" i="53"/>
  <c r="L77" i="53"/>
  <c r="K77" i="53"/>
  <c r="J77" i="53"/>
  <c r="O76" i="53"/>
  <c r="N76" i="53"/>
  <c r="M76" i="53"/>
  <c r="L76" i="53"/>
  <c r="K76" i="53"/>
  <c r="E76" i="53"/>
  <c r="A76" i="53"/>
  <c r="O75" i="53"/>
  <c r="E75" i="53" s="1"/>
  <c r="N75" i="53"/>
  <c r="M75" i="53"/>
  <c r="L75" i="53"/>
  <c r="K75" i="53"/>
  <c r="A75" i="53" s="1"/>
  <c r="J74" i="53"/>
  <c r="A74" i="53"/>
  <c r="O73" i="53"/>
  <c r="N73" i="53"/>
  <c r="M73" i="53"/>
  <c r="L73" i="53"/>
  <c r="K73" i="53"/>
  <c r="J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/>
  <c r="O70" i="53"/>
  <c r="N70" i="53"/>
  <c r="M70" i="53"/>
  <c r="L70" i="53"/>
  <c r="K70" i="53"/>
  <c r="E70" i="53"/>
  <c r="A70" i="53"/>
  <c r="O69" i="53"/>
  <c r="E69" i="53" s="1"/>
  <c r="N69" i="53"/>
  <c r="M69" i="53"/>
  <c r="L69" i="53"/>
  <c r="K69" i="53"/>
  <c r="A69" i="53" s="1"/>
  <c r="J68" i="53"/>
  <c r="A68" i="53"/>
  <c r="O66" i="53"/>
  <c r="N66" i="53"/>
  <c r="M66" i="53"/>
  <c r="L66" i="53"/>
  <c r="K66" i="53"/>
  <c r="E66" i="53"/>
  <c r="A66" i="53"/>
  <c r="O65" i="53"/>
  <c r="E65" i="53" s="1"/>
  <c r="N65" i="53"/>
  <c r="M65" i="53"/>
  <c r="L65" i="53"/>
  <c r="K65" i="53"/>
  <c r="A65" i="53"/>
  <c r="O64" i="53"/>
  <c r="E64" i="53" s="1"/>
  <c r="N64" i="53"/>
  <c r="M64" i="53"/>
  <c r="L64" i="53"/>
  <c r="K64" i="53"/>
  <c r="A64" i="53"/>
  <c r="O63" i="53"/>
  <c r="N63" i="53"/>
  <c r="M63" i="53"/>
  <c r="L63" i="53"/>
  <c r="K63" i="53"/>
  <c r="E63" i="53"/>
  <c r="A63" i="53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/>
  <c r="A58" i="53"/>
  <c r="O56" i="53"/>
  <c r="N56" i="53"/>
  <c r="M56" i="53"/>
  <c r="L56" i="53"/>
  <c r="K56" i="53"/>
  <c r="E56" i="53"/>
  <c r="A56" i="53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/>
  <c r="O51" i="53"/>
  <c r="N51" i="53"/>
  <c r="M51" i="53"/>
  <c r="L51" i="53"/>
  <c r="K51" i="53"/>
  <c r="E51" i="53"/>
  <c r="A51" i="53"/>
  <c r="J50" i="53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/>
  <c r="O45" i="53"/>
  <c r="N45" i="53"/>
  <c r="M45" i="53"/>
  <c r="L45" i="53"/>
  <c r="K45" i="53"/>
  <c r="E45" i="53"/>
  <c r="A45" i="53"/>
  <c r="O44" i="53"/>
  <c r="E44" i="53" s="1"/>
  <c r="N44" i="53"/>
  <c r="M44" i="53"/>
  <c r="L44" i="53"/>
  <c r="K44" i="53"/>
  <c r="A44" i="53" s="1"/>
  <c r="J43" i="53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/>
  <c r="O39" i="53"/>
  <c r="N39" i="53"/>
  <c r="M39" i="53"/>
  <c r="L39" i="53"/>
  <c r="K39" i="53"/>
  <c r="E39" i="53"/>
  <c r="A39" i="53"/>
  <c r="O38" i="53"/>
  <c r="E38" i="53" s="1"/>
  <c r="N38" i="53"/>
  <c r="M38" i="53"/>
  <c r="L38" i="53"/>
  <c r="K38" i="53"/>
  <c r="A38" i="53" s="1"/>
  <c r="O37" i="53"/>
  <c r="N37" i="53"/>
  <c r="M37" i="53"/>
  <c r="L37" i="53"/>
  <c r="K37" i="53"/>
  <c r="A37" i="53" s="1"/>
  <c r="E37" i="53"/>
  <c r="J36" i="53"/>
  <c r="O35" i="53"/>
  <c r="E35" i="53" s="1"/>
  <c r="N35" i="53"/>
  <c r="M35" i="53"/>
  <c r="L35" i="53"/>
  <c r="K35" i="53"/>
  <c r="A35" i="53"/>
  <c r="O34" i="53"/>
  <c r="E34" i="53" s="1"/>
  <c r="N34" i="53"/>
  <c r="M34" i="53"/>
  <c r="L34" i="53"/>
  <c r="K34" i="53"/>
  <c r="A34" i="53"/>
  <c r="O33" i="53"/>
  <c r="N33" i="53"/>
  <c r="M33" i="53"/>
  <c r="L33" i="53"/>
  <c r="K33" i="53"/>
  <c r="E33" i="53"/>
  <c r="A33" i="53"/>
  <c r="O32" i="53"/>
  <c r="E32" i="53" s="1"/>
  <c r="N32" i="53"/>
  <c r="M32" i="53"/>
  <c r="L32" i="53"/>
  <c r="K32" i="53"/>
  <c r="A32" i="53" s="1"/>
  <c r="O31" i="53"/>
  <c r="N31" i="53"/>
  <c r="M31" i="53"/>
  <c r="L31" i="53"/>
  <c r="K31" i="53"/>
  <c r="A31" i="53" s="1"/>
  <c r="E31" i="53"/>
  <c r="O30" i="53"/>
  <c r="E30" i="53" s="1"/>
  <c r="N30" i="53"/>
  <c r="M30" i="53"/>
  <c r="L30" i="53"/>
  <c r="K30" i="53"/>
  <c r="A30" i="53"/>
  <c r="O28" i="53"/>
  <c r="N28" i="53"/>
  <c r="M28" i="53"/>
  <c r="L28" i="53"/>
  <c r="K28" i="53"/>
  <c r="E28" i="53"/>
  <c r="A28" i="53"/>
  <c r="O27" i="53"/>
  <c r="E27" i="53" s="1"/>
  <c r="N27" i="53"/>
  <c r="M27" i="53"/>
  <c r="L27" i="53"/>
  <c r="K27" i="53"/>
  <c r="A27" i="53"/>
  <c r="O26" i="53"/>
  <c r="E26" i="53" s="1"/>
  <c r="N26" i="53"/>
  <c r="M26" i="53"/>
  <c r="L26" i="53"/>
  <c r="K26" i="53"/>
  <c r="A26" i="53"/>
  <c r="O25" i="53"/>
  <c r="N25" i="53"/>
  <c r="M25" i="53"/>
  <c r="L25" i="53"/>
  <c r="K25" i="53"/>
  <c r="E25" i="53"/>
  <c r="A25" i="53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J22" i="53"/>
  <c r="O21" i="53"/>
  <c r="E21" i="53" s="1"/>
  <c r="N21" i="53"/>
  <c r="M21" i="53"/>
  <c r="L21" i="53"/>
  <c r="K21" i="53"/>
  <c r="A21" i="53"/>
  <c r="O20" i="53"/>
  <c r="E20" i="53" s="1"/>
  <c r="N20" i="53"/>
  <c r="M20" i="53"/>
  <c r="L20" i="53"/>
  <c r="K20" i="53"/>
  <c r="A20" i="53"/>
  <c r="O19" i="53"/>
  <c r="N19" i="53"/>
  <c r="M19" i="53"/>
  <c r="L19" i="53"/>
  <c r="K19" i="53"/>
  <c r="E19" i="53"/>
  <c r="A19" i="53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/>
  <c r="O14" i="53"/>
  <c r="E14" i="53" s="1"/>
  <c r="N14" i="53"/>
  <c r="M14" i="53"/>
  <c r="L14" i="53"/>
  <c r="K14" i="53"/>
  <c r="A14" i="53"/>
  <c r="O13" i="53"/>
  <c r="N13" i="53"/>
  <c r="M13" i="53"/>
  <c r="L13" i="53"/>
  <c r="K13" i="53"/>
  <c r="E13" i="53"/>
  <c r="A13" i="53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/>
  <c r="J8" i="53"/>
  <c r="O7" i="53"/>
  <c r="N7" i="53"/>
  <c r="M7" i="53"/>
  <c r="L7" i="53"/>
  <c r="K7" i="53"/>
  <c r="E7" i="53"/>
  <c r="A7" i="53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/>
  <c r="O2" i="53"/>
  <c r="N2" i="53"/>
  <c r="M2" i="53"/>
  <c r="L2" i="53"/>
  <c r="K2" i="53"/>
  <c r="J2" i="53"/>
  <c r="E2" i="53"/>
  <c r="A2" i="53"/>
  <c r="J80" i="52"/>
  <c r="O79" i="52"/>
  <c r="N79" i="52"/>
  <c r="M79" i="52"/>
  <c r="L79" i="52"/>
  <c r="K79" i="52"/>
  <c r="E79" i="52"/>
  <c r="A79" i="52"/>
  <c r="J78" i="52"/>
  <c r="A78" i="52"/>
  <c r="O77" i="52"/>
  <c r="N77" i="52"/>
  <c r="M77" i="52"/>
  <c r="L77" i="52"/>
  <c r="K77" i="52"/>
  <c r="J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J74" i="52"/>
  <c r="A74" i="52"/>
  <c r="O73" i="52"/>
  <c r="N73" i="52"/>
  <c r="M73" i="52"/>
  <c r="L73" i="52"/>
  <c r="K73" i="52"/>
  <c r="J73" i="52"/>
  <c r="O72" i="52"/>
  <c r="N72" i="52"/>
  <c r="M72" i="52"/>
  <c r="L72" i="52"/>
  <c r="K72" i="52"/>
  <c r="A72" i="52" s="1"/>
  <c r="E72" i="52"/>
  <c r="O71" i="52"/>
  <c r="N71" i="52"/>
  <c r="M71" i="52"/>
  <c r="L71" i="52"/>
  <c r="K71" i="52"/>
  <c r="E71" i="52"/>
  <c r="A71" i="52"/>
  <c r="O70" i="52"/>
  <c r="E70" i="52" s="1"/>
  <c r="N70" i="52"/>
  <c r="M70" i="52"/>
  <c r="L70" i="52"/>
  <c r="K70" i="52"/>
  <c r="A70" i="52" s="1"/>
  <c r="O69" i="52"/>
  <c r="N69" i="52"/>
  <c r="M69" i="52"/>
  <c r="L69" i="52"/>
  <c r="K69" i="52"/>
  <c r="A69" i="52" s="1"/>
  <c r="E69" i="52"/>
  <c r="J68" i="52"/>
  <c r="A68" i="52"/>
  <c r="O66" i="52"/>
  <c r="N66" i="52"/>
  <c r="M66" i="52"/>
  <c r="L66" i="52"/>
  <c r="K66" i="52"/>
  <c r="E66" i="52"/>
  <c r="A66" i="52"/>
  <c r="O65" i="52"/>
  <c r="E65" i="52" s="1"/>
  <c r="N65" i="52"/>
  <c r="M65" i="52"/>
  <c r="L65" i="52"/>
  <c r="K65" i="52"/>
  <c r="A65" i="52" s="1"/>
  <c r="O64" i="52"/>
  <c r="N64" i="52"/>
  <c r="M64" i="52"/>
  <c r="L64" i="52"/>
  <c r="K64" i="52"/>
  <c r="A64" i="52" s="1"/>
  <c r="E64" i="52"/>
  <c r="O63" i="52"/>
  <c r="E63" i="52" s="1"/>
  <c r="N63" i="52"/>
  <c r="M63" i="52"/>
  <c r="L63" i="52"/>
  <c r="K63" i="52"/>
  <c r="A63" i="52"/>
  <c r="O62" i="52"/>
  <c r="E62" i="52" s="1"/>
  <c r="N62" i="52"/>
  <c r="M62" i="52"/>
  <c r="L62" i="52"/>
  <c r="K62" i="52"/>
  <c r="A62" i="52"/>
  <c r="O61" i="52"/>
  <c r="E61" i="52" s="1"/>
  <c r="N61" i="52"/>
  <c r="M61" i="52"/>
  <c r="L61" i="52"/>
  <c r="K61" i="52"/>
  <c r="A61" i="52" s="1"/>
  <c r="O60" i="52"/>
  <c r="N60" i="52"/>
  <c r="M60" i="52"/>
  <c r="L60" i="52"/>
  <c r="K60" i="52"/>
  <c r="A60" i="52" s="1"/>
  <c r="E60" i="52"/>
  <c r="O59" i="52"/>
  <c r="N59" i="52"/>
  <c r="M59" i="52"/>
  <c r="L59" i="52"/>
  <c r="K59" i="52"/>
  <c r="E59" i="52"/>
  <c r="A59" i="52"/>
  <c r="A58" i="52"/>
  <c r="O56" i="52"/>
  <c r="E56" i="52" s="1"/>
  <c r="N56" i="52"/>
  <c r="M56" i="52"/>
  <c r="L56" i="52"/>
  <c r="K56" i="52"/>
  <c r="A56" i="52"/>
  <c r="O55" i="52"/>
  <c r="E55" i="52" s="1"/>
  <c r="N55" i="52"/>
  <c r="M55" i="52"/>
  <c r="L55" i="52"/>
  <c r="K55" i="52"/>
  <c r="A55" i="52"/>
  <c r="O54" i="52"/>
  <c r="E54" i="52" s="1"/>
  <c r="N54" i="52"/>
  <c r="M54" i="52"/>
  <c r="L54" i="52"/>
  <c r="K54" i="52"/>
  <c r="A54" i="52" s="1"/>
  <c r="O53" i="52"/>
  <c r="N53" i="52"/>
  <c r="M53" i="52"/>
  <c r="L53" i="52"/>
  <c r="K53" i="52"/>
  <c r="A53" i="52" s="1"/>
  <c r="E53" i="52"/>
  <c r="O52" i="52"/>
  <c r="N52" i="52"/>
  <c r="M52" i="52"/>
  <c r="L52" i="52"/>
  <c r="K52" i="52"/>
  <c r="E52" i="52"/>
  <c r="A52" i="52"/>
  <c r="O51" i="52"/>
  <c r="E51" i="52" s="1"/>
  <c r="N51" i="52"/>
  <c r="M51" i="52"/>
  <c r="L51" i="52"/>
  <c r="K51" i="52"/>
  <c r="A51" i="52" s="1"/>
  <c r="J50" i="52"/>
  <c r="O49" i="52"/>
  <c r="E49" i="52" s="1"/>
  <c r="N49" i="52"/>
  <c r="M49" i="52"/>
  <c r="L49" i="52"/>
  <c r="K49" i="52"/>
  <c r="A49" i="52"/>
  <c r="O48" i="52"/>
  <c r="E48" i="52" s="1"/>
  <c r="N48" i="52"/>
  <c r="M48" i="52"/>
  <c r="L48" i="52"/>
  <c r="K48" i="52"/>
  <c r="A48" i="52" s="1"/>
  <c r="O47" i="52"/>
  <c r="N47" i="52"/>
  <c r="M47" i="52"/>
  <c r="L47" i="52"/>
  <c r="K47" i="52"/>
  <c r="A47" i="52" s="1"/>
  <c r="E47" i="52"/>
  <c r="O46" i="52"/>
  <c r="N46" i="52"/>
  <c r="M46" i="52"/>
  <c r="L46" i="52"/>
  <c r="K46" i="52"/>
  <c r="E46" i="52"/>
  <c r="A46" i="52"/>
  <c r="O45" i="52"/>
  <c r="E45" i="52" s="1"/>
  <c r="N45" i="52"/>
  <c r="M45" i="52"/>
  <c r="L45" i="52"/>
  <c r="K45" i="52"/>
  <c r="A45" i="52" s="1"/>
  <c r="O44" i="52"/>
  <c r="N44" i="52"/>
  <c r="M44" i="52"/>
  <c r="L44" i="52"/>
  <c r="K44" i="52"/>
  <c r="A44" i="52" s="1"/>
  <c r="E44" i="52"/>
  <c r="J43" i="52"/>
  <c r="O42" i="52"/>
  <c r="E42" i="52" s="1"/>
  <c r="N42" i="52"/>
  <c r="M42" i="52"/>
  <c r="L42" i="52"/>
  <c r="K42" i="52"/>
  <c r="A42" i="52" s="1"/>
  <c r="O41" i="52"/>
  <c r="N41" i="52"/>
  <c r="M41" i="52"/>
  <c r="L41" i="52"/>
  <c r="K41" i="52"/>
  <c r="A41" i="52" s="1"/>
  <c r="E41" i="52"/>
  <c r="O40" i="52"/>
  <c r="N40" i="52"/>
  <c r="M40" i="52"/>
  <c r="L40" i="52"/>
  <c r="K40" i="52"/>
  <c r="E40" i="52"/>
  <c r="A40" i="52"/>
  <c r="O39" i="52"/>
  <c r="E39" i="52" s="1"/>
  <c r="N39" i="52"/>
  <c r="M39" i="52"/>
  <c r="L39" i="52"/>
  <c r="K39" i="52"/>
  <c r="A39" i="52" s="1"/>
  <c r="O38" i="52"/>
  <c r="N38" i="52"/>
  <c r="M38" i="52"/>
  <c r="L38" i="52"/>
  <c r="K38" i="52"/>
  <c r="A38" i="52" s="1"/>
  <c r="E38" i="52"/>
  <c r="O37" i="52"/>
  <c r="E37" i="52" s="1"/>
  <c r="N37" i="52"/>
  <c r="M37" i="52"/>
  <c r="L37" i="52"/>
  <c r="K37" i="52"/>
  <c r="A37" i="52"/>
  <c r="J36" i="52"/>
  <c r="O35" i="52"/>
  <c r="N35" i="52"/>
  <c r="M35" i="52"/>
  <c r="L35" i="52"/>
  <c r="K35" i="52"/>
  <c r="A35" i="52" s="1"/>
  <c r="E35" i="52"/>
  <c r="O34" i="52"/>
  <c r="N34" i="52"/>
  <c r="M34" i="52"/>
  <c r="L34" i="52"/>
  <c r="K34" i="52"/>
  <c r="E34" i="52"/>
  <c r="A34" i="52"/>
  <c r="O33" i="52"/>
  <c r="E33" i="52" s="1"/>
  <c r="N33" i="52"/>
  <c r="M33" i="52"/>
  <c r="L33" i="52"/>
  <c r="K33" i="52"/>
  <c r="A33" i="52" s="1"/>
  <c r="O32" i="52"/>
  <c r="N32" i="52"/>
  <c r="M32" i="52"/>
  <c r="L32" i="52"/>
  <c r="K32" i="52"/>
  <c r="A32" i="52" s="1"/>
  <c r="E32" i="52"/>
  <c r="O31" i="52"/>
  <c r="E31" i="52" s="1"/>
  <c r="N31" i="52"/>
  <c r="M31" i="52"/>
  <c r="L31" i="52"/>
  <c r="K31" i="52"/>
  <c r="A31" i="52"/>
  <c r="O30" i="52"/>
  <c r="N30" i="52"/>
  <c r="M30" i="52"/>
  <c r="L30" i="52"/>
  <c r="K30" i="52"/>
  <c r="E30" i="52"/>
  <c r="A30" i="52"/>
  <c r="O28" i="52"/>
  <c r="N28" i="52"/>
  <c r="M28" i="52"/>
  <c r="L28" i="52"/>
  <c r="K28" i="52"/>
  <c r="E28" i="52"/>
  <c r="A28" i="52"/>
  <c r="O27" i="52"/>
  <c r="E27" i="52" s="1"/>
  <c r="N27" i="52"/>
  <c r="M27" i="52"/>
  <c r="L27" i="52"/>
  <c r="K27" i="52"/>
  <c r="A27" i="52" s="1"/>
  <c r="O26" i="52"/>
  <c r="N26" i="52"/>
  <c r="M26" i="52"/>
  <c r="L26" i="52"/>
  <c r="K26" i="52"/>
  <c r="A26" i="52" s="1"/>
  <c r="E26" i="52"/>
  <c r="O25" i="52"/>
  <c r="E25" i="52" s="1"/>
  <c r="N25" i="52"/>
  <c r="M25" i="52"/>
  <c r="L25" i="52"/>
  <c r="K25" i="52"/>
  <c r="A25" i="52"/>
  <c r="O24" i="52"/>
  <c r="E24" i="52" s="1"/>
  <c r="N24" i="52"/>
  <c r="M24" i="52"/>
  <c r="L24" i="52"/>
  <c r="K24" i="52"/>
  <c r="A24" i="52"/>
  <c r="O23" i="52"/>
  <c r="E23" i="52" s="1"/>
  <c r="N23" i="52"/>
  <c r="M23" i="52"/>
  <c r="L23" i="52"/>
  <c r="K23" i="52"/>
  <c r="A23" i="52" s="1"/>
  <c r="J22" i="52"/>
  <c r="O21" i="52"/>
  <c r="E21" i="52" s="1"/>
  <c r="N21" i="52"/>
  <c r="M21" i="52"/>
  <c r="L21" i="52"/>
  <c r="K21" i="52"/>
  <c r="A21" i="52" s="1"/>
  <c r="O20" i="52"/>
  <c r="N20" i="52"/>
  <c r="M20" i="52"/>
  <c r="L20" i="52"/>
  <c r="K20" i="52"/>
  <c r="A20" i="52" s="1"/>
  <c r="E20" i="52"/>
  <c r="O19" i="52"/>
  <c r="E19" i="52" s="1"/>
  <c r="N19" i="52"/>
  <c r="M19" i="52"/>
  <c r="L19" i="52"/>
  <c r="K19" i="52"/>
  <c r="A19" i="52"/>
  <c r="O18" i="52"/>
  <c r="E18" i="52" s="1"/>
  <c r="N18" i="52"/>
  <c r="M18" i="52"/>
  <c r="L18" i="52"/>
  <c r="K18" i="52"/>
  <c r="A18" i="52"/>
  <c r="O17" i="52"/>
  <c r="E17" i="52" s="1"/>
  <c r="N17" i="52"/>
  <c r="M17" i="52"/>
  <c r="L17" i="52"/>
  <c r="K17" i="52"/>
  <c r="A17" i="52" s="1"/>
  <c r="O16" i="52"/>
  <c r="N16" i="52"/>
  <c r="M16" i="52"/>
  <c r="L16" i="52"/>
  <c r="K16" i="52"/>
  <c r="A16" i="52" s="1"/>
  <c r="E16" i="52"/>
  <c r="O14" i="52"/>
  <c r="N14" i="52"/>
  <c r="M14" i="52"/>
  <c r="L14" i="52"/>
  <c r="K14" i="52"/>
  <c r="E14" i="52"/>
  <c r="A14" i="52"/>
  <c r="O13" i="52"/>
  <c r="E13" i="52" s="1"/>
  <c r="N13" i="52"/>
  <c r="M13" i="52"/>
  <c r="L13" i="52"/>
  <c r="K13" i="52"/>
  <c r="A13" i="52" s="1"/>
  <c r="O12" i="52"/>
  <c r="N12" i="52"/>
  <c r="M12" i="52"/>
  <c r="L12" i="52"/>
  <c r="K12" i="52"/>
  <c r="A12" i="52" s="1"/>
  <c r="E12" i="52"/>
  <c r="Q11" i="52"/>
  <c r="P13" i="31" s="1"/>
  <c r="O11" i="52"/>
  <c r="E11" i="52" s="1"/>
  <c r="N11" i="52"/>
  <c r="M11" i="52"/>
  <c r="L11" i="52"/>
  <c r="K11" i="52"/>
  <c r="A11" i="52" s="1"/>
  <c r="O10" i="52"/>
  <c r="N10" i="52"/>
  <c r="M10" i="52"/>
  <c r="L10" i="52"/>
  <c r="K10" i="52"/>
  <c r="A10" i="52" s="1"/>
  <c r="E10" i="52"/>
  <c r="O9" i="52"/>
  <c r="N9" i="52"/>
  <c r="M9" i="52"/>
  <c r="L9" i="52"/>
  <c r="K9" i="52"/>
  <c r="E9" i="52"/>
  <c r="A9" i="52"/>
  <c r="J8" i="52"/>
  <c r="O7" i="52"/>
  <c r="E7" i="52" s="1"/>
  <c r="N7" i="52"/>
  <c r="M7" i="52"/>
  <c r="L7" i="52"/>
  <c r="K7" i="52"/>
  <c r="A7" i="52"/>
  <c r="O6" i="52"/>
  <c r="E6" i="52" s="1"/>
  <c r="N6" i="52"/>
  <c r="M6" i="52"/>
  <c r="L6" i="52"/>
  <c r="K6" i="52"/>
  <c r="A6" i="52"/>
  <c r="O5" i="52"/>
  <c r="E5" i="52" s="1"/>
  <c r="N5" i="52"/>
  <c r="M5" i="52"/>
  <c r="L5" i="52"/>
  <c r="K5" i="52"/>
  <c r="A5" i="52" s="1"/>
  <c r="O4" i="52"/>
  <c r="N4" i="52"/>
  <c r="M4" i="52"/>
  <c r="L4" i="52"/>
  <c r="K4" i="52"/>
  <c r="A4" i="52" s="1"/>
  <c r="E4" i="52"/>
  <c r="O3" i="52"/>
  <c r="N3" i="52"/>
  <c r="M3" i="52"/>
  <c r="L3" i="52"/>
  <c r="K3" i="52"/>
  <c r="E3" i="52"/>
  <c r="A3" i="52"/>
  <c r="O2" i="52"/>
  <c r="E2" i="52" s="1"/>
  <c r="N2" i="52"/>
  <c r="M2" i="52"/>
  <c r="L2" i="52"/>
  <c r="K2" i="52"/>
  <c r="J2" i="52"/>
  <c r="A2" i="52"/>
  <c r="J80" i="51"/>
  <c r="O79" i="51"/>
  <c r="E79" i="51" s="1"/>
  <c r="N79" i="51"/>
  <c r="M79" i="51"/>
  <c r="L79" i="51"/>
  <c r="K79" i="51"/>
  <c r="A79" i="51" s="1"/>
  <c r="J78" i="51"/>
  <c r="A78" i="51"/>
  <c r="O77" i="51"/>
  <c r="N77" i="51"/>
  <c r="M77" i="51"/>
  <c r="L77" i="51"/>
  <c r="K77" i="51"/>
  <c r="J77" i="51"/>
  <c r="O76" i="51"/>
  <c r="N76" i="51"/>
  <c r="M76" i="51"/>
  <c r="L76" i="51"/>
  <c r="K76" i="51"/>
  <c r="E76" i="51"/>
  <c r="A76" i="51"/>
  <c r="O75" i="51"/>
  <c r="E75" i="51" s="1"/>
  <c r="N75" i="51"/>
  <c r="M75" i="51"/>
  <c r="L75" i="51"/>
  <c r="K75" i="51"/>
  <c r="A75" i="51" s="1"/>
  <c r="J74" i="51"/>
  <c r="A74" i="51"/>
  <c r="O73" i="51"/>
  <c r="N73" i="51"/>
  <c r="M73" i="51"/>
  <c r="L73" i="51"/>
  <c r="K73" i="51"/>
  <c r="J73" i="51"/>
  <c r="O72" i="51"/>
  <c r="N72" i="51"/>
  <c r="M72" i="51"/>
  <c r="L72" i="51"/>
  <c r="K72" i="51"/>
  <c r="E72" i="51"/>
  <c r="A72" i="51"/>
  <c r="O71" i="51"/>
  <c r="E71" i="51" s="1"/>
  <c r="N71" i="51"/>
  <c r="M71" i="51"/>
  <c r="L71" i="51"/>
  <c r="K71" i="51"/>
  <c r="A71" i="51" s="1"/>
  <c r="O70" i="51"/>
  <c r="N70" i="51"/>
  <c r="M70" i="51"/>
  <c r="L70" i="51"/>
  <c r="K70" i="51"/>
  <c r="E70" i="51"/>
  <c r="A70" i="51"/>
  <c r="O69" i="51"/>
  <c r="E69" i="51" s="1"/>
  <c r="N69" i="51"/>
  <c r="M69" i="51"/>
  <c r="L69" i="51"/>
  <c r="K69" i="51"/>
  <c r="A69" i="51" s="1"/>
  <c r="J68" i="51"/>
  <c r="A68" i="51"/>
  <c r="O66" i="51"/>
  <c r="N66" i="51"/>
  <c r="M66" i="51"/>
  <c r="L66" i="51"/>
  <c r="K66" i="51"/>
  <c r="A66" i="51" s="1"/>
  <c r="E66" i="51"/>
  <c r="O65" i="51"/>
  <c r="E65" i="51" s="1"/>
  <c r="N65" i="51"/>
  <c r="M65" i="51"/>
  <c r="L65" i="51"/>
  <c r="K65" i="51"/>
  <c r="A65" i="51"/>
  <c r="O64" i="51"/>
  <c r="E64" i="51" s="1"/>
  <c r="N64" i="51"/>
  <c r="M64" i="51"/>
  <c r="L64" i="51"/>
  <c r="K64" i="51"/>
  <c r="A64" i="51"/>
  <c r="O63" i="51"/>
  <c r="N63" i="51"/>
  <c r="M63" i="51"/>
  <c r="L63" i="51"/>
  <c r="K63" i="51"/>
  <c r="E63" i="51"/>
  <c r="A63" i="51"/>
  <c r="O62" i="51"/>
  <c r="E62" i="51" s="1"/>
  <c r="N62" i="51"/>
  <c r="M62" i="51"/>
  <c r="L62" i="51"/>
  <c r="K62" i="51"/>
  <c r="A62" i="51" s="1"/>
  <c r="O61" i="51"/>
  <c r="N61" i="51"/>
  <c r="M61" i="51"/>
  <c r="L61" i="51"/>
  <c r="K61" i="51"/>
  <c r="A61" i="51" s="1"/>
  <c r="E61" i="51"/>
  <c r="O60" i="51"/>
  <c r="N60" i="51"/>
  <c r="M60" i="51"/>
  <c r="L60" i="51"/>
  <c r="K60" i="51"/>
  <c r="A60" i="51" s="1"/>
  <c r="E60" i="51"/>
  <c r="O59" i="51"/>
  <c r="E59" i="51" s="1"/>
  <c r="N59" i="51"/>
  <c r="M59" i="51"/>
  <c r="L59" i="51"/>
  <c r="K59" i="51"/>
  <c r="A59" i="51" s="1"/>
  <c r="A58" i="51"/>
  <c r="O56" i="51"/>
  <c r="N56" i="51"/>
  <c r="M56" i="51"/>
  <c r="L56" i="51"/>
  <c r="K56" i="51"/>
  <c r="E56" i="51"/>
  <c r="A56" i="51"/>
  <c r="O55" i="51"/>
  <c r="E55" i="51" s="1"/>
  <c r="N55" i="51"/>
  <c r="M55" i="51"/>
  <c r="L55" i="51"/>
  <c r="K55" i="51"/>
  <c r="A55" i="51" s="1"/>
  <c r="O54" i="51"/>
  <c r="N54" i="51"/>
  <c r="M54" i="51"/>
  <c r="L54" i="51"/>
  <c r="K54" i="51"/>
  <c r="A54" i="51" s="1"/>
  <c r="E54" i="51"/>
  <c r="O53" i="51"/>
  <c r="N53" i="51"/>
  <c r="M53" i="51"/>
  <c r="L53" i="51"/>
  <c r="K53" i="51"/>
  <c r="A53" i="51" s="1"/>
  <c r="E53" i="51"/>
  <c r="O52" i="51"/>
  <c r="E52" i="51" s="1"/>
  <c r="N52" i="51"/>
  <c r="M52" i="51"/>
  <c r="L52" i="51"/>
  <c r="K52" i="51"/>
  <c r="A52" i="51" s="1"/>
  <c r="O51" i="51"/>
  <c r="N51" i="51"/>
  <c r="M51" i="51"/>
  <c r="L51" i="51"/>
  <c r="K51" i="51"/>
  <c r="E51" i="51"/>
  <c r="A51" i="51"/>
  <c r="J50" i="51"/>
  <c r="O49" i="51"/>
  <c r="E49" i="51" s="1"/>
  <c r="N49" i="51"/>
  <c r="M49" i="51"/>
  <c r="L49" i="51"/>
  <c r="K49" i="51"/>
  <c r="A49" i="51" s="1"/>
  <c r="O48" i="51"/>
  <c r="N48" i="51"/>
  <c r="M48" i="51"/>
  <c r="L48" i="51"/>
  <c r="K48" i="51"/>
  <c r="A48" i="51" s="1"/>
  <c r="E48" i="51"/>
  <c r="O47" i="51"/>
  <c r="N47" i="51"/>
  <c r="M47" i="51"/>
  <c r="L47" i="51"/>
  <c r="K47" i="51"/>
  <c r="A47" i="51" s="1"/>
  <c r="E47" i="51"/>
  <c r="O46" i="51"/>
  <c r="E46" i="51" s="1"/>
  <c r="N46" i="51"/>
  <c r="M46" i="51"/>
  <c r="L46" i="51"/>
  <c r="K46" i="51"/>
  <c r="A46" i="51" s="1"/>
  <c r="O45" i="51"/>
  <c r="N45" i="51"/>
  <c r="M45" i="51"/>
  <c r="L45" i="51"/>
  <c r="K45" i="51"/>
  <c r="E45" i="51"/>
  <c r="A45" i="51"/>
  <c r="O44" i="51"/>
  <c r="E44" i="51" s="1"/>
  <c r="N44" i="51"/>
  <c r="M44" i="51"/>
  <c r="L44" i="51"/>
  <c r="K44" i="51"/>
  <c r="A44" i="51" s="1"/>
  <c r="J43" i="51"/>
  <c r="O42" i="51"/>
  <c r="N42" i="51"/>
  <c r="M42" i="51"/>
  <c r="L42" i="51"/>
  <c r="K42" i="51"/>
  <c r="A42" i="51" s="1"/>
  <c r="E42" i="51"/>
  <c r="O41" i="51"/>
  <c r="N41" i="51"/>
  <c r="M41" i="51"/>
  <c r="L41" i="51"/>
  <c r="K41" i="51"/>
  <c r="A41" i="51" s="1"/>
  <c r="E41" i="51"/>
  <c r="O40" i="51"/>
  <c r="E40" i="51" s="1"/>
  <c r="N40" i="51"/>
  <c r="M40" i="51"/>
  <c r="L40" i="51"/>
  <c r="K40" i="51"/>
  <c r="A40" i="51" s="1"/>
  <c r="O39" i="51"/>
  <c r="N39" i="51"/>
  <c r="M39" i="51"/>
  <c r="L39" i="51"/>
  <c r="K39" i="51"/>
  <c r="E39" i="51"/>
  <c r="A39" i="51"/>
  <c r="O38" i="51"/>
  <c r="E38" i="51" s="1"/>
  <c r="N38" i="51"/>
  <c r="M38" i="51"/>
  <c r="L38" i="51"/>
  <c r="K38" i="51"/>
  <c r="A38" i="51" s="1"/>
  <c r="O37" i="51"/>
  <c r="N37" i="51"/>
  <c r="M37" i="51"/>
  <c r="L37" i="51"/>
  <c r="K37" i="51"/>
  <c r="A37" i="51" s="1"/>
  <c r="E37" i="51"/>
  <c r="J36" i="51"/>
  <c r="O35" i="51"/>
  <c r="N35" i="51"/>
  <c r="M35" i="51"/>
  <c r="L35" i="51"/>
  <c r="K35" i="51"/>
  <c r="A35" i="51" s="1"/>
  <c r="E35" i="51"/>
  <c r="O34" i="51"/>
  <c r="E34" i="51" s="1"/>
  <c r="N34" i="51"/>
  <c r="M34" i="51"/>
  <c r="L34" i="51"/>
  <c r="K34" i="51"/>
  <c r="A34" i="51" s="1"/>
  <c r="O33" i="51"/>
  <c r="N33" i="51"/>
  <c r="M33" i="51"/>
  <c r="L33" i="51"/>
  <c r="K33" i="51"/>
  <c r="E33" i="51"/>
  <c r="A33" i="51"/>
  <c r="O32" i="51"/>
  <c r="E32" i="51" s="1"/>
  <c r="N32" i="51"/>
  <c r="M32" i="51"/>
  <c r="L32" i="51"/>
  <c r="K32" i="51"/>
  <c r="A32" i="51" s="1"/>
  <c r="O31" i="51"/>
  <c r="N31" i="51"/>
  <c r="M31" i="51"/>
  <c r="L31" i="51"/>
  <c r="K31" i="51"/>
  <c r="A31" i="51" s="1"/>
  <c r="E31" i="51"/>
  <c r="O30" i="51"/>
  <c r="E30" i="51" s="1"/>
  <c r="N30" i="51"/>
  <c r="M30" i="51"/>
  <c r="L30" i="51"/>
  <c r="K30" i="51"/>
  <c r="A30" i="51"/>
  <c r="O28" i="51"/>
  <c r="N28" i="51"/>
  <c r="M28" i="51"/>
  <c r="L28" i="51"/>
  <c r="K28" i="51"/>
  <c r="A28" i="51" s="1"/>
  <c r="E28" i="51"/>
  <c r="O27" i="51"/>
  <c r="N27" i="51"/>
  <c r="M27" i="51"/>
  <c r="L27" i="51"/>
  <c r="K27" i="51"/>
  <c r="E27" i="51"/>
  <c r="A27" i="51"/>
  <c r="O26" i="51"/>
  <c r="E26" i="51" s="1"/>
  <c r="N26" i="51"/>
  <c r="M26" i="51"/>
  <c r="L26" i="51"/>
  <c r="K26" i="51"/>
  <c r="A26" i="51"/>
  <c r="O25" i="51"/>
  <c r="N25" i="51"/>
  <c r="M25" i="51"/>
  <c r="L25" i="51"/>
  <c r="K25" i="51"/>
  <c r="E25" i="51"/>
  <c r="A25" i="51"/>
  <c r="O24" i="51"/>
  <c r="E24" i="51" s="1"/>
  <c r="N24" i="51"/>
  <c r="M24" i="51"/>
  <c r="L24" i="51"/>
  <c r="K24" i="51"/>
  <c r="A24" i="51" s="1"/>
  <c r="O23" i="51"/>
  <c r="N23" i="51"/>
  <c r="M23" i="51"/>
  <c r="L23" i="51"/>
  <c r="K23" i="51"/>
  <c r="A23" i="51" s="1"/>
  <c r="E23" i="51"/>
  <c r="J22" i="51"/>
  <c r="O21" i="51"/>
  <c r="N21" i="51"/>
  <c r="M21" i="51"/>
  <c r="L21" i="51"/>
  <c r="K21" i="51"/>
  <c r="E21" i="51"/>
  <c r="A21" i="51"/>
  <c r="O20" i="51"/>
  <c r="E20" i="51" s="1"/>
  <c r="N20" i="51"/>
  <c r="M20" i="51"/>
  <c r="L20" i="51"/>
  <c r="K20" i="51"/>
  <c r="A20" i="51"/>
  <c r="O19" i="51"/>
  <c r="N19" i="51"/>
  <c r="M19" i="51"/>
  <c r="L19" i="51"/>
  <c r="K19" i="51"/>
  <c r="E19" i="51"/>
  <c r="A19" i="51"/>
  <c r="O18" i="51"/>
  <c r="E18" i="51" s="1"/>
  <c r="N18" i="51"/>
  <c r="M18" i="51"/>
  <c r="L18" i="51"/>
  <c r="K18" i="51"/>
  <c r="A18" i="51" s="1"/>
  <c r="O17" i="51"/>
  <c r="N17" i="51"/>
  <c r="M17" i="51"/>
  <c r="L17" i="51"/>
  <c r="K17" i="51"/>
  <c r="A17" i="51" s="1"/>
  <c r="E17" i="51"/>
  <c r="O16" i="51"/>
  <c r="N16" i="51"/>
  <c r="M16" i="51"/>
  <c r="L16" i="51"/>
  <c r="K16" i="51"/>
  <c r="A16" i="51" s="1"/>
  <c r="E16" i="51"/>
  <c r="O14" i="51"/>
  <c r="E14" i="51" s="1"/>
  <c r="N14" i="51"/>
  <c r="M14" i="51"/>
  <c r="L14" i="51"/>
  <c r="K14" i="51"/>
  <c r="A14" i="51" s="1"/>
  <c r="O13" i="51"/>
  <c r="N13" i="51"/>
  <c r="M13" i="51"/>
  <c r="L13" i="51"/>
  <c r="K13" i="51"/>
  <c r="E13" i="51"/>
  <c r="A13" i="51"/>
  <c r="O12" i="51"/>
  <c r="E12" i="51" s="1"/>
  <c r="N12" i="51"/>
  <c r="M12" i="51"/>
  <c r="L12" i="51"/>
  <c r="K12" i="51"/>
  <c r="A12" i="51" s="1"/>
  <c r="Q11" i="51"/>
  <c r="P10" i="31" s="1"/>
  <c r="O11" i="51"/>
  <c r="N11" i="51"/>
  <c r="M11" i="51"/>
  <c r="L11" i="51"/>
  <c r="K11" i="51"/>
  <c r="A11" i="51" s="1"/>
  <c r="E11" i="51"/>
  <c r="O10" i="51"/>
  <c r="N10" i="51"/>
  <c r="M10" i="51"/>
  <c r="L10" i="51"/>
  <c r="K10" i="51"/>
  <c r="A10" i="51" s="1"/>
  <c r="E10" i="51"/>
  <c r="O9" i="51"/>
  <c r="E9" i="51" s="1"/>
  <c r="N9" i="51"/>
  <c r="M9" i="51"/>
  <c r="L9" i="51"/>
  <c r="K9" i="51"/>
  <c r="A9" i="51" s="1"/>
  <c r="J8" i="51"/>
  <c r="O7" i="51"/>
  <c r="N7" i="51"/>
  <c r="M7" i="51"/>
  <c r="L7" i="51"/>
  <c r="K7" i="51"/>
  <c r="E7" i="51"/>
  <c r="A7" i="51"/>
  <c r="O6" i="51"/>
  <c r="E6" i="51" s="1"/>
  <c r="N6" i="51"/>
  <c r="M6" i="51"/>
  <c r="L6" i="51"/>
  <c r="K6" i="51"/>
  <c r="A6" i="51"/>
  <c r="O5" i="51"/>
  <c r="N5" i="51"/>
  <c r="M5" i="51"/>
  <c r="L5" i="51"/>
  <c r="K5" i="51"/>
  <c r="A5" i="51" s="1"/>
  <c r="E5" i="51"/>
  <c r="O4" i="51"/>
  <c r="N4" i="51"/>
  <c r="M4" i="51"/>
  <c r="L4" i="51"/>
  <c r="K4" i="51"/>
  <c r="A4" i="51" s="1"/>
  <c r="E4" i="51"/>
  <c r="O3" i="51"/>
  <c r="E3" i="51" s="1"/>
  <c r="N3" i="51"/>
  <c r="M3" i="51"/>
  <c r="L3" i="51"/>
  <c r="K3" i="51"/>
  <c r="A3" i="51" s="1"/>
  <c r="O2" i="51"/>
  <c r="N2" i="51"/>
  <c r="M2" i="51"/>
  <c r="L2" i="51"/>
  <c r="K2" i="51"/>
  <c r="J2" i="51"/>
  <c r="E2" i="51"/>
  <c r="A2" i="51"/>
  <c r="J80" i="50"/>
  <c r="O79" i="50"/>
  <c r="E79" i="50" s="1"/>
  <c r="N79" i="50"/>
  <c r="M79" i="50"/>
  <c r="L79" i="50"/>
  <c r="K79" i="50"/>
  <c r="A79" i="50" s="1"/>
  <c r="J78" i="50"/>
  <c r="A78" i="50"/>
  <c r="O77" i="50"/>
  <c r="N77" i="50"/>
  <c r="M77" i="50"/>
  <c r="L77" i="50"/>
  <c r="K77" i="50"/>
  <c r="J77" i="50"/>
  <c r="O76" i="50"/>
  <c r="E76" i="50" s="1"/>
  <c r="N76" i="50"/>
  <c r="M76" i="50"/>
  <c r="L76" i="50"/>
  <c r="K76" i="50"/>
  <c r="A76" i="50" s="1"/>
  <c r="O75" i="50"/>
  <c r="N75" i="50"/>
  <c r="M75" i="50"/>
  <c r="L75" i="50"/>
  <c r="K75" i="50"/>
  <c r="E75" i="50"/>
  <c r="A75" i="50"/>
  <c r="J74" i="50"/>
  <c r="A74" i="50"/>
  <c r="O73" i="50"/>
  <c r="N73" i="50"/>
  <c r="M73" i="50"/>
  <c r="L73" i="50"/>
  <c r="K73" i="50"/>
  <c r="J73" i="50"/>
  <c r="O72" i="50"/>
  <c r="N72" i="50"/>
  <c r="M72" i="50"/>
  <c r="L72" i="50"/>
  <c r="K72" i="50"/>
  <c r="A72" i="50" s="1"/>
  <c r="E72" i="50"/>
  <c r="O71" i="50"/>
  <c r="N71" i="50"/>
  <c r="M71" i="50"/>
  <c r="L71" i="50"/>
  <c r="K71" i="50"/>
  <c r="E71" i="50"/>
  <c r="A71" i="50"/>
  <c r="O70" i="50"/>
  <c r="E70" i="50" s="1"/>
  <c r="N70" i="50"/>
  <c r="M70" i="50"/>
  <c r="L70" i="50"/>
  <c r="K70" i="50"/>
  <c r="A70" i="50"/>
  <c r="O69" i="50"/>
  <c r="N69" i="50"/>
  <c r="M69" i="50"/>
  <c r="L69" i="50"/>
  <c r="K69" i="50"/>
  <c r="E69" i="50"/>
  <c r="A69" i="50"/>
  <c r="J68" i="50"/>
  <c r="A68" i="50"/>
  <c r="O66" i="50"/>
  <c r="N66" i="50"/>
  <c r="M66" i="50"/>
  <c r="L66" i="50"/>
  <c r="K66" i="50"/>
  <c r="E66" i="50"/>
  <c r="A66" i="50"/>
  <c r="O65" i="50"/>
  <c r="E65" i="50" s="1"/>
  <c r="N65" i="50"/>
  <c r="M65" i="50"/>
  <c r="L65" i="50"/>
  <c r="K65" i="50"/>
  <c r="A65" i="50" s="1"/>
  <c r="O64" i="50"/>
  <c r="N64" i="50"/>
  <c r="M64" i="50"/>
  <c r="L64" i="50"/>
  <c r="K64" i="50"/>
  <c r="E64" i="50"/>
  <c r="A64" i="50"/>
  <c r="O63" i="50"/>
  <c r="E63" i="50" s="1"/>
  <c r="N63" i="50"/>
  <c r="M63" i="50"/>
  <c r="L63" i="50"/>
  <c r="K63" i="50"/>
  <c r="A63" i="50"/>
  <c r="O62" i="50"/>
  <c r="N62" i="50"/>
  <c r="M62" i="50"/>
  <c r="L62" i="50"/>
  <c r="K62" i="50"/>
  <c r="A62" i="50" s="1"/>
  <c r="E62" i="50"/>
  <c r="O61" i="50"/>
  <c r="E61" i="50" s="1"/>
  <c r="N61" i="50"/>
  <c r="M61" i="50"/>
  <c r="L61" i="50"/>
  <c r="K61" i="50"/>
  <c r="A61" i="50"/>
  <c r="O60" i="50"/>
  <c r="N60" i="50"/>
  <c r="M60" i="50"/>
  <c r="L60" i="50"/>
  <c r="K60" i="50"/>
  <c r="A60" i="50" s="1"/>
  <c r="E60" i="50"/>
  <c r="O59" i="50"/>
  <c r="N59" i="50"/>
  <c r="M59" i="50"/>
  <c r="L59" i="50"/>
  <c r="K59" i="50"/>
  <c r="E59" i="50"/>
  <c r="A59" i="50"/>
  <c r="A58" i="50"/>
  <c r="O56" i="50"/>
  <c r="E56" i="50" s="1"/>
  <c r="N56" i="50"/>
  <c r="M56" i="50"/>
  <c r="L56" i="50"/>
  <c r="K56" i="50"/>
  <c r="A56" i="50"/>
  <c r="O55" i="50"/>
  <c r="N55" i="50"/>
  <c r="M55" i="50"/>
  <c r="L55" i="50"/>
  <c r="K55" i="50"/>
  <c r="A55" i="50" s="1"/>
  <c r="E55" i="50"/>
  <c r="O54" i="50"/>
  <c r="E54" i="50" s="1"/>
  <c r="N54" i="50"/>
  <c r="M54" i="50"/>
  <c r="L54" i="50"/>
  <c r="K54" i="50"/>
  <c r="A54" i="50"/>
  <c r="O53" i="50"/>
  <c r="N53" i="50"/>
  <c r="M53" i="50"/>
  <c r="L53" i="50"/>
  <c r="K53" i="50"/>
  <c r="A53" i="50" s="1"/>
  <c r="E53" i="50"/>
  <c r="O52" i="50"/>
  <c r="N52" i="50"/>
  <c r="M52" i="50"/>
  <c r="L52" i="50"/>
  <c r="K52" i="50"/>
  <c r="E52" i="50"/>
  <c r="A52" i="50"/>
  <c r="O51" i="50"/>
  <c r="E51" i="50" s="1"/>
  <c r="N51" i="50"/>
  <c r="M51" i="50"/>
  <c r="L51" i="50"/>
  <c r="K51" i="50"/>
  <c r="A51" i="50"/>
  <c r="J50" i="50"/>
  <c r="O49" i="50"/>
  <c r="N49" i="50"/>
  <c r="M49" i="50"/>
  <c r="L49" i="50"/>
  <c r="K49" i="50"/>
  <c r="A49" i="50" s="1"/>
  <c r="E49" i="50"/>
  <c r="O48" i="50"/>
  <c r="E48" i="50" s="1"/>
  <c r="N48" i="50"/>
  <c r="M48" i="50"/>
  <c r="L48" i="50"/>
  <c r="K48" i="50"/>
  <c r="A48" i="50"/>
  <c r="O47" i="50"/>
  <c r="N47" i="50"/>
  <c r="M47" i="50"/>
  <c r="L47" i="50"/>
  <c r="K47" i="50"/>
  <c r="A47" i="50" s="1"/>
  <c r="E47" i="50"/>
  <c r="O46" i="50"/>
  <c r="N46" i="50"/>
  <c r="M46" i="50"/>
  <c r="L46" i="50"/>
  <c r="K46" i="50"/>
  <c r="E46" i="50"/>
  <c r="A46" i="50"/>
  <c r="O45" i="50"/>
  <c r="E45" i="50" s="1"/>
  <c r="N45" i="50"/>
  <c r="M45" i="50"/>
  <c r="L45" i="50"/>
  <c r="K45" i="50"/>
  <c r="A45" i="50"/>
  <c r="O44" i="50"/>
  <c r="N44" i="50"/>
  <c r="M44" i="50"/>
  <c r="L44" i="50"/>
  <c r="K44" i="50"/>
  <c r="E44" i="50"/>
  <c r="A44" i="50"/>
  <c r="J43" i="50"/>
  <c r="O42" i="50"/>
  <c r="E42" i="50" s="1"/>
  <c r="N42" i="50"/>
  <c r="M42" i="50"/>
  <c r="L42" i="50"/>
  <c r="K42" i="50"/>
  <c r="A42" i="50"/>
  <c r="O41" i="50"/>
  <c r="N41" i="50"/>
  <c r="M41" i="50"/>
  <c r="L41" i="50"/>
  <c r="K41" i="50"/>
  <c r="A41" i="50" s="1"/>
  <c r="E41" i="50"/>
  <c r="O40" i="50"/>
  <c r="N40" i="50"/>
  <c r="M40" i="50"/>
  <c r="L40" i="50"/>
  <c r="K40" i="50"/>
  <c r="E40" i="50"/>
  <c r="A40" i="50"/>
  <c r="O39" i="50"/>
  <c r="E39" i="50" s="1"/>
  <c r="N39" i="50"/>
  <c r="M39" i="50"/>
  <c r="L39" i="50"/>
  <c r="K39" i="50"/>
  <c r="A39" i="50"/>
  <c r="O38" i="50"/>
  <c r="N38" i="50"/>
  <c r="M38" i="50"/>
  <c r="L38" i="50"/>
  <c r="K38" i="50"/>
  <c r="E38" i="50"/>
  <c r="A38" i="50"/>
  <c r="O37" i="50"/>
  <c r="N37" i="50"/>
  <c r="M37" i="50"/>
  <c r="L37" i="50"/>
  <c r="K37" i="50"/>
  <c r="E37" i="50"/>
  <c r="A37" i="50"/>
  <c r="J36" i="50"/>
  <c r="O35" i="50"/>
  <c r="N35" i="50"/>
  <c r="M35" i="50"/>
  <c r="L35" i="50"/>
  <c r="K35" i="50"/>
  <c r="A35" i="50" s="1"/>
  <c r="E35" i="50"/>
  <c r="O34" i="50"/>
  <c r="N34" i="50"/>
  <c r="M34" i="50"/>
  <c r="L34" i="50"/>
  <c r="K34" i="50"/>
  <c r="E34" i="50"/>
  <c r="A34" i="50"/>
  <c r="O33" i="50"/>
  <c r="E33" i="50" s="1"/>
  <c r="N33" i="50"/>
  <c r="M33" i="50"/>
  <c r="L33" i="50"/>
  <c r="K33" i="50"/>
  <c r="A33" i="50"/>
  <c r="O32" i="50"/>
  <c r="N32" i="50"/>
  <c r="M32" i="50"/>
  <c r="L32" i="50"/>
  <c r="K32" i="50"/>
  <c r="E32" i="50"/>
  <c r="A32" i="50"/>
  <c r="O31" i="50"/>
  <c r="N31" i="50"/>
  <c r="M31" i="50"/>
  <c r="L31" i="50"/>
  <c r="K31" i="50"/>
  <c r="E31" i="50"/>
  <c r="A31" i="50"/>
  <c r="O30" i="50"/>
  <c r="E30" i="50" s="1"/>
  <c r="N30" i="50"/>
  <c r="M30" i="50"/>
  <c r="L30" i="50"/>
  <c r="K30" i="50"/>
  <c r="A30" i="50" s="1"/>
  <c r="O28" i="50"/>
  <c r="N28" i="50"/>
  <c r="M28" i="50"/>
  <c r="L28" i="50"/>
  <c r="K28" i="50"/>
  <c r="E28" i="50"/>
  <c r="A28" i="50"/>
  <c r="O27" i="50"/>
  <c r="E27" i="50" s="1"/>
  <c r="N27" i="50"/>
  <c r="M27" i="50"/>
  <c r="L27" i="50"/>
  <c r="K27" i="50"/>
  <c r="A27" i="50" s="1"/>
  <c r="O26" i="50"/>
  <c r="N26" i="50"/>
  <c r="M26" i="50"/>
  <c r="L26" i="50"/>
  <c r="K26" i="50"/>
  <c r="E26" i="50"/>
  <c r="A26" i="50"/>
  <c r="O25" i="50"/>
  <c r="E25" i="50" s="1"/>
  <c r="N25" i="50"/>
  <c r="M25" i="50"/>
  <c r="L25" i="50"/>
  <c r="K25" i="50"/>
  <c r="A25" i="50"/>
  <c r="O24" i="50"/>
  <c r="N24" i="50"/>
  <c r="M24" i="50"/>
  <c r="L24" i="50"/>
  <c r="K24" i="50"/>
  <c r="A24" i="50" s="1"/>
  <c r="E24" i="50"/>
  <c r="O23" i="50"/>
  <c r="E23" i="50" s="1"/>
  <c r="N23" i="50"/>
  <c r="M23" i="50"/>
  <c r="L23" i="50"/>
  <c r="K23" i="50"/>
  <c r="A23" i="50"/>
  <c r="J22" i="50"/>
  <c r="O21" i="50"/>
  <c r="E21" i="50" s="1"/>
  <c r="N21" i="50"/>
  <c r="M21" i="50"/>
  <c r="L21" i="50"/>
  <c r="K21" i="50"/>
  <c r="A21" i="50" s="1"/>
  <c r="O20" i="50"/>
  <c r="N20" i="50"/>
  <c r="M20" i="50"/>
  <c r="L20" i="50"/>
  <c r="K20" i="50"/>
  <c r="E20" i="50"/>
  <c r="A20" i="50"/>
  <c r="O19" i="50"/>
  <c r="E19" i="50" s="1"/>
  <c r="N19" i="50"/>
  <c r="M19" i="50"/>
  <c r="L19" i="50"/>
  <c r="K19" i="50"/>
  <c r="A19" i="50"/>
  <c r="O18" i="50"/>
  <c r="N18" i="50"/>
  <c r="M18" i="50"/>
  <c r="L18" i="50"/>
  <c r="K18" i="50"/>
  <c r="A18" i="50" s="1"/>
  <c r="E18" i="50"/>
  <c r="O17" i="50"/>
  <c r="E17" i="50" s="1"/>
  <c r="N17" i="50"/>
  <c r="M17" i="50"/>
  <c r="L17" i="50"/>
  <c r="K17" i="50"/>
  <c r="A17" i="50"/>
  <c r="O16" i="50"/>
  <c r="N16" i="50"/>
  <c r="M16" i="50"/>
  <c r="L16" i="50"/>
  <c r="K16" i="50"/>
  <c r="A16" i="50" s="1"/>
  <c r="E16" i="50"/>
  <c r="O14" i="50"/>
  <c r="N14" i="50"/>
  <c r="M14" i="50"/>
  <c r="L14" i="50"/>
  <c r="K14" i="50"/>
  <c r="E14" i="50"/>
  <c r="A14" i="50"/>
  <c r="O13" i="50"/>
  <c r="E13" i="50" s="1"/>
  <c r="N13" i="50"/>
  <c r="M13" i="50"/>
  <c r="L13" i="50"/>
  <c r="K13" i="50"/>
  <c r="A13" i="50"/>
  <c r="O12" i="50"/>
  <c r="N12" i="50"/>
  <c r="M12" i="50"/>
  <c r="L12" i="50"/>
  <c r="K12" i="50"/>
  <c r="E12" i="50"/>
  <c r="A12" i="50"/>
  <c r="Q11" i="50"/>
  <c r="P11" i="31" s="1"/>
  <c r="O11" i="50"/>
  <c r="E11" i="50" s="1"/>
  <c r="N11" i="50"/>
  <c r="M11" i="50"/>
  <c r="L11" i="50"/>
  <c r="K11" i="50"/>
  <c r="A11" i="50"/>
  <c r="O10" i="50"/>
  <c r="N10" i="50"/>
  <c r="M10" i="50"/>
  <c r="L10" i="50"/>
  <c r="K10" i="50"/>
  <c r="A10" i="50" s="1"/>
  <c r="E10" i="50"/>
  <c r="O9" i="50"/>
  <c r="N9" i="50"/>
  <c r="M9" i="50"/>
  <c r="L9" i="50"/>
  <c r="K9" i="50"/>
  <c r="E9" i="50"/>
  <c r="A9" i="50"/>
  <c r="J8" i="50"/>
  <c r="O7" i="50"/>
  <c r="E7" i="50" s="1"/>
  <c r="N7" i="50"/>
  <c r="M7" i="50"/>
  <c r="L7" i="50"/>
  <c r="K7" i="50"/>
  <c r="A7" i="50"/>
  <c r="O6" i="50"/>
  <c r="N6" i="50"/>
  <c r="M6" i="50"/>
  <c r="L6" i="50"/>
  <c r="K6" i="50"/>
  <c r="A6" i="50" s="1"/>
  <c r="E6" i="50"/>
  <c r="O5" i="50"/>
  <c r="E5" i="50" s="1"/>
  <c r="N5" i="50"/>
  <c r="M5" i="50"/>
  <c r="L5" i="50"/>
  <c r="K5" i="50"/>
  <c r="A5" i="50"/>
  <c r="O4" i="50"/>
  <c r="N4" i="50"/>
  <c r="M4" i="50"/>
  <c r="L4" i="50"/>
  <c r="K4" i="50"/>
  <c r="A4" i="50" s="1"/>
  <c r="E4" i="50"/>
  <c r="O3" i="50"/>
  <c r="N3" i="50"/>
  <c r="M3" i="50"/>
  <c r="L3" i="50"/>
  <c r="K3" i="50"/>
  <c r="E3" i="50"/>
  <c r="A3" i="50"/>
  <c r="O2" i="50"/>
  <c r="E2" i="50" s="1"/>
  <c r="N2" i="50"/>
  <c r="M2" i="50"/>
  <c r="L2" i="50"/>
  <c r="K2" i="50"/>
  <c r="J2" i="50"/>
  <c r="A2" i="50"/>
  <c r="J80" i="49"/>
  <c r="O79" i="49"/>
  <c r="E79" i="49" s="1"/>
  <c r="N79" i="49"/>
  <c r="M79" i="49"/>
  <c r="L79" i="49"/>
  <c r="K79" i="49"/>
  <c r="A79" i="49" s="1"/>
  <c r="J78" i="49"/>
  <c r="A78" i="49"/>
  <c r="O77" i="49"/>
  <c r="N77" i="49"/>
  <c r="M77" i="49"/>
  <c r="L77" i="49"/>
  <c r="K77" i="49"/>
  <c r="J77" i="49"/>
  <c r="O76" i="49"/>
  <c r="E76" i="49" s="1"/>
  <c r="N76" i="49"/>
  <c r="M76" i="49"/>
  <c r="L76" i="49"/>
  <c r="K76" i="49"/>
  <c r="A76" i="49" s="1"/>
  <c r="O75" i="49"/>
  <c r="N75" i="49"/>
  <c r="M75" i="49"/>
  <c r="L75" i="49"/>
  <c r="K75" i="49"/>
  <c r="A75" i="49" s="1"/>
  <c r="E75" i="49"/>
  <c r="J74" i="49"/>
  <c r="A74" i="49"/>
  <c r="O73" i="49"/>
  <c r="N73" i="49"/>
  <c r="M73" i="49"/>
  <c r="L73" i="49"/>
  <c r="K73" i="49"/>
  <c r="J73" i="49"/>
  <c r="O72" i="49"/>
  <c r="N72" i="49"/>
  <c r="M72" i="49"/>
  <c r="L72" i="49"/>
  <c r="K72" i="49"/>
  <c r="A72" i="49" s="1"/>
  <c r="E72" i="49"/>
  <c r="O71" i="49"/>
  <c r="N71" i="49"/>
  <c r="M71" i="49"/>
  <c r="L71" i="49"/>
  <c r="K71" i="49"/>
  <c r="E71" i="49"/>
  <c r="A71" i="49"/>
  <c r="O70" i="49"/>
  <c r="E70" i="49" s="1"/>
  <c r="N70" i="49"/>
  <c r="M70" i="49"/>
  <c r="L70" i="49"/>
  <c r="K70" i="49"/>
  <c r="A70" i="49" s="1"/>
  <c r="O69" i="49"/>
  <c r="N69" i="49"/>
  <c r="M69" i="49"/>
  <c r="L69" i="49"/>
  <c r="K69" i="49"/>
  <c r="A69" i="49" s="1"/>
  <c r="E69" i="49"/>
  <c r="J68" i="49"/>
  <c r="A68" i="49"/>
  <c r="O66" i="49"/>
  <c r="N66" i="49"/>
  <c r="M66" i="49"/>
  <c r="L66" i="49"/>
  <c r="K66" i="49"/>
  <c r="E66" i="49"/>
  <c r="A66" i="49"/>
  <c r="O65" i="49"/>
  <c r="E65" i="49" s="1"/>
  <c r="N65" i="49"/>
  <c r="M65" i="49"/>
  <c r="L65" i="49"/>
  <c r="K65" i="49"/>
  <c r="A65" i="49" s="1"/>
  <c r="O64" i="49"/>
  <c r="N64" i="49"/>
  <c r="M64" i="49"/>
  <c r="L64" i="49"/>
  <c r="K64" i="49"/>
  <c r="E64" i="49"/>
  <c r="A64" i="49"/>
  <c r="O63" i="49"/>
  <c r="E63" i="49" s="1"/>
  <c r="N63" i="49"/>
  <c r="M63" i="49"/>
  <c r="L63" i="49"/>
  <c r="K63" i="49"/>
  <c r="A63" i="49"/>
  <c r="O62" i="49"/>
  <c r="N62" i="49"/>
  <c r="M62" i="49"/>
  <c r="L62" i="49"/>
  <c r="K62" i="49"/>
  <c r="E62" i="49"/>
  <c r="A62" i="49"/>
  <c r="O61" i="49"/>
  <c r="E61" i="49" s="1"/>
  <c r="N61" i="49"/>
  <c r="M61" i="49"/>
  <c r="L61" i="49"/>
  <c r="K61" i="49"/>
  <c r="A61" i="49"/>
  <c r="O60" i="49"/>
  <c r="N60" i="49"/>
  <c r="M60" i="49"/>
  <c r="L60" i="49"/>
  <c r="K60" i="49"/>
  <c r="A60" i="49" s="1"/>
  <c r="E60" i="49"/>
  <c r="O59" i="49"/>
  <c r="N59" i="49"/>
  <c r="M59" i="49"/>
  <c r="L59" i="49"/>
  <c r="K59" i="49"/>
  <c r="E59" i="49"/>
  <c r="A59" i="49"/>
  <c r="A58" i="49"/>
  <c r="O56" i="49"/>
  <c r="E56" i="49" s="1"/>
  <c r="N56" i="49"/>
  <c r="M56" i="49"/>
  <c r="L56" i="49"/>
  <c r="K56" i="49"/>
  <c r="A56" i="49"/>
  <c r="O55" i="49"/>
  <c r="N55" i="49"/>
  <c r="M55" i="49"/>
  <c r="L55" i="49"/>
  <c r="K55" i="49"/>
  <c r="A55" i="49" s="1"/>
  <c r="E55" i="49"/>
  <c r="O54" i="49"/>
  <c r="E54" i="49" s="1"/>
  <c r="N54" i="49"/>
  <c r="M54" i="49"/>
  <c r="L54" i="49"/>
  <c r="K54" i="49"/>
  <c r="A54" i="49"/>
  <c r="O53" i="49"/>
  <c r="N53" i="49"/>
  <c r="M53" i="49"/>
  <c r="L53" i="49"/>
  <c r="K53" i="49"/>
  <c r="A53" i="49" s="1"/>
  <c r="E53" i="49"/>
  <c r="O52" i="49"/>
  <c r="N52" i="49"/>
  <c r="M52" i="49"/>
  <c r="L52" i="49"/>
  <c r="K52" i="49"/>
  <c r="E52" i="49"/>
  <c r="A52" i="49"/>
  <c r="O51" i="49"/>
  <c r="E51" i="49" s="1"/>
  <c r="N51" i="49"/>
  <c r="M51" i="49"/>
  <c r="L51" i="49"/>
  <c r="K51" i="49"/>
  <c r="A51" i="49"/>
  <c r="J50" i="49"/>
  <c r="O49" i="49"/>
  <c r="N49" i="49"/>
  <c r="M49" i="49"/>
  <c r="L49" i="49"/>
  <c r="K49" i="49"/>
  <c r="A49" i="49" s="1"/>
  <c r="E49" i="49"/>
  <c r="O48" i="49"/>
  <c r="E48" i="49" s="1"/>
  <c r="N48" i="49"/>
  <c r="M48" i="49"/>
  <c r="L48" i="49"/>
  <c r="K48" i="49"/>
  <c r="A48" i="49"/>
  <c r="O47" i="49"/>
  <c r="N47" i="49"/>
  <c r="M47" i="49"/>
  <c r="L47" i="49"/>
  <c r="K47" i="49"/>
  <c r="A47" i="49" s="1"/>
  <c r="E47" i="49"/>
  <c r="O46" i="49"/>
  <c r="N46" i="49"/>
  <c r="M46" i="49"/>
  <c r="L46" i="49"/>
  <c r="K46" i="49"/>
  <c r="E46" i="49"/>
  <c r="A46" i="49"/>
  <c r="O45" i="49"/>
  <c r="E45" i="49" s="1"/>
  <c r="N45" i="49"/>
  <c r="M45" i="49"/>
  <c r="L45" i="49"/>
  <c r="K45" i="49"/>
  <c r="A45" i="49" s="1"/>
  <c r="O44" i="49"/>
  <c r="N44" i="49"/>
  <c r="M44" i="49"/>
  <c r="L44" i="49"/>
  <c r="K44" i="49"/>
  <c r="A44" i="49" s="1"/>
  <c r="E44" i="49"/>
  <c r="J43" i="49"/>
  <c r="O42" i="49"/>
  <c r="E42" i="49" s="1"/>
  <c r="N42" i="49"/>
  <c r="M42" i="49"/>
  <c r="L42" i="49"/>
  <c r="K42" i="49"/>
  <c r="A42" i="49"/>
  <c r="O41" i="49"/>
  <c r="N41" i="49"/>
  <c r="M41" i="49"/>
  <c r="L41" i="49"/>
  <c r="K41" i="49"/>
  <c r="A41" i="49" s="1"/>
  <c r="E41" i="49"/>
  <c r="O40" i="49"/>
  <c r="N40" i="49"/>
  <c r="M40" i="49"/>
  <c r="L40" i="49"/>
  <c r="K40" i="49"/>
  <c r="E40" i="49"/>
  <c r="A40" i="49"/>
  <c r="O39" i="49"/>
  <c r="E39" i="49" s="1"/>
  <c r="N39" i="49"/>
  <c r="M39" i="49"/>
  <c r="L39" i="49"/>
  <c r="K39" i="49"/>
  <c r="A39" i="49" s="1"/>
  <c r="O38" i="49"/>
  <c r="N38" i="49"/>
  <c r="M38" i="49"/>
  <c r="L38" i="49"/>
  <c r="K38" i="49"/>
  <c r="A38" i="49" s="1"/>
  <c r="E38" i="49"/>
  <c r="O37" i="49"/>
  <c r="E37" i="49" s="1"/>
  <c r="N37" i="49"/>
  <c r="M37" i="49"/>
  <c r="L37" i="49"/>
  <c r="K37" i="49"/>
  <c r="A37" i="49"/>
  <c r="J36" i="49"/>
  <c r="O35" i="49"/>
  <c r="N35" i="49"/>
  <c r="M35" i="49"/>
  <c r="L35" i="49"/>
  <c r="K35" i="49"/>
  <c r="A35" i="49" s="1"/>
  <c r="E35" i="49"/>
  <c r="O34" i="49"/>
  <c r="N34" i="49"/>
  <c r="M34" i="49"/>
  <c r="L34" i="49"/>
  <c r="K34" i="49"/>
  <c r="E34" i="49"/>
  <c r="A34" i="49"/>
  <c r="O33" i="49"/>
  <c r="E33" i="49" s="1"/>
  <c r="N33" i="49"/>
  <c r="M33" i="49"/>
  <c r="L33" i="49"/>
  <c r="K33" i="49"/>
  <c r="A33" i="49" s="1"/>
  <c r="O32" i="49"/>
  <c r="N32" i="49"/>
  <c r="M32" i="49"/>
  <c r="L32" i="49"/>
  <c r="K32" i="49"/>
  <c r="A32" i="49" s="1"/>
  <c r="E32" i="49"/>
  <c r="O31" i="49"/>
  <c r="E31" i="49" s="1"/>
  <c r="N31" i="49"/>
  <c r="M31" i="49"/>
  <c r="L31" i="49"/>
  <c r="K31" i="49"/>
  <c r="A31" i="49"/>
  <c r="O30" i="49"/>
  <c r="N30" i="49"/>
  <c r="M30" i="49"/>
  <c r="L30" i="49"/>
  <c r="K30" i="49"/>
  <c r="E30" i="49"/>
  <c r="A30" i="49"/>
  <c r="O28" i="49"/>
  <c r="N28" i="49"/>
  <c r="M28" i="49"/>
  <c r="L28" i="49"/>
  <c r="K28" i="49"/>
  <c r="E28" i="49"/>
  <c r="A28" i="49"/>
  <c r="O27" i="49"/>
  <c r="E27" i="49" s="1"/>
  <c r="N27" i="49"/>
  <c r="M27" i="49"/>
  <c r="L27" i="49"/>
  <c r="K27" i="49"/>
  <c r="A27" i="49" s="1"/>
  <c r="O26" i="49"/>
  <c r="N26" i="49"/>
  <c r="M26" i="49"/>
  <c r="L26" i="49"/>
  <c r="K26" i="49"/>
  <c r="E26" i="49"/>
  <c r="A26" i="49"/>
  <c r="O25" i="49"/>
  <c r="E25" i="49" s="1"/>
  <c r="N25" i="49"/>
  <c r="M25" i="49"/>
  <c r="L25" i="49"/>
  <c r="K25" i="49"/>
  <c r="A25" i="49"/>
  <c r="O24" i="49"/>
  <c r="N24" i="49"/>
  <c r="M24" i="49"/>
  <c r="L24" i="49"/>
  <c r="K24" i="49"/>
  <c r="A24" i="49" s="1"/>
  <c r="E24" i="49"/>
  <c r="O23" i="49"/>
  <c r="E23" i="49" s="1"/>
  <c r="N23" i="49"/>
  <c r="M23" i="49"/>
  <c r="L23" i="49"/>
  <c r="K23" i="49"/>
  <c r="A23" i="49"/>
  <c r="J22" i="49"/>
  <c r="O21" i="49"/>
  <c r="E21" i="49" s="1"/>
  <c r="N21" i="49"/>
  <c r="M21" i="49"/>
  <c r="L21" i="49"/>
  <c r="K21" i="49"/>
  <c r="A21" i="49" s="1"/>
  <c r="O20" i="49"/>
  <c r="N20" i="49"/>
  <c r="M20" i="49"/>
  <c r="L20" i="49"/>
  <c r="K20" i="49"/>
  <c r="E20" i="49"/>
  <c r="A20" i="49"/>
  <c r="O19" i="49"/>
  <c r="E19" i="49" s="1"/>
  <c r="N19" i="49"/>
  <c r="M19" i="49"/>
  <c r="L19" i="49"/>
  <c r="K19" i="49"/>
  <c r="A19" i="49"/>
  <c r="O18" i="49"/>
  <c r="N18" i="49"/>
  <c r="M18" i="49"/>
  <c r="L18" i="49"/>
  <c r="K18" i="49"/>
  <c r="A18" i="49" s="1"/>
  <c r="E18" i="49"/>
  <c r="O17" i="49"/>
  <c r="E17" i="49" s="1"/>
  <c r="N17" i="49"/>
  <c r="M17" i="49"/>
  <c r="L17" i="49"/>
  <c r="K17" i="49"/>
  <c r="A17" i="49"/>
  <c r="O16" i="49"/>
  <c r="N16" i="49"/>
  <c r="M16" i="49"/>
  <c r="L16" i="49"/>
  <c r="K16" i="49"/>
  <c r="A16" i="49" s="1"/>
  <c r="E16" i="49"/>
  <c r="O14" i="49"/>
  <c r="N14" i="49"/>
  <c r="M14" i="49"/>
  <c r="L14" i="49"/>
  <c r="K14" i="49"/>
  <c r="E14" i="49"/>
  <c r="A14" i="49"/>
  <c r="O13" i="49"/>
  <c r="E13" i="49" s="1"/>
  <c r="N13" i="49"/>
  <c r="M13" i="49"/>
  <c r="L13" i="49"/>
  <c r="K13" i="49"/>
  <c r="A13" i="49" s="1"/>
  <c r="O12" i="49"/>
  <c r="N12" i="49"/>
  <c r="M12" i="49"/>
  <c r="L12" i="49"/>
  <c r="K12" i="49"/>
  <c r="A12" i="49" s="1"/>
  <c r="E12" i="49"/>
  <c r="Q11" i="49"/>
  <c r="P16" i="31" s="1"/>
  <c r="O11" i="49"/>
  <c r="E11" i="49" s="1"/>
  <c r="N11" i="49"/>
  <c r="M11" i="49"/>
  <c r="L11" i="49"/>
  <c r="K11" i="49"/>
  <c r="A11" i="49"/>
  <c r="O10" i="49"/>
  <c r="N10" i="49"/>
  <c r="M10" i="49"/>
  <c r="L10" i="49"/>
  <c r="K10" i="49"/>
  <c r="A10" i="49" s="1"/>
  <c r="E10" i="49"/>
  <c r="O9" i="49"/>
  <c r="N9" i="49"/>
  <c r="M9" i="49"/>
  <c r="L9" i="49"/>
  <c r="K9" i="49"/>
  <c r="E9" i="49"/>
  <c r="A9" i="49"/>
  <c r="J8" i="49"/>
  <c r="O7" i="49"/>
  <c r="E7" i="49" s="1"/>
  <c r="N7" i="49"/>
  <c r="M7" i="49"/>
  <c r="L7" i="49"/>
  <c r="K7" i="49"/>
  <c r="A7" i="49"/>
  <c r="O6" i="49"/>
  <c r="N6" i="49"/>
  <c r="M6" i="49"/>
  <c r="L6" i="49"/>
  <c r="K6" i="49"/>
  <c r="A6" i="49" s="1"/>
  <c r="E6" i="49"/>
  <c r="O5" i="49"/>
  <c r="E5" i="49" s="1"/>
  <c r="N5" i="49"/>
  <c r="M5" i="49"/>
  <c r="L5" i="49"/>
  <c r="K5" i="49"/>
  <c r="A5" i="49"/>
  <c r="O4" i="49"/>
  <c r="N4" i="49"/>
  <c r="M4" i="49"/>
  <c r="L4" i="49"/>
  <c r="K4" i="49"/>
  <c r="A4" i="49" s="1"/>
  <c r="E4" i="49"/>
  <c r="O3" i="49"/>
  <c r="N3" i="49"/>
  <c r="M3" i="49"/>
  <c r="L3" i="49"/>
  <c r="K3" i="49"/>
  <c r="E3" i="49"/>
  <c r="A3" i="49"/>
  <c r="O2" i="49"/>
  <c r="E2" i="49" s="1"/>
  <c r="N2" i="49"/>
  <c r="M2" i="49"/>
  <c r="L2" i="49"/>
  <c r="K2" i="49"/>
  <c r="J2" i="49"/>
  <c r="A2" i="49"/>
  <c r="J80" i="48"/>
  <c r="O79" i="48"/>
  <c r="E79" i="48" s="1"/>
  <c r="N79" i="48"/>
  <c r="M79" i="48"/>
  <c r="L79" i="48"/>
  <c r="K79" i="48"/>
  <c r="A79" i="48" s="1"/>
  <c r="J78" i="48"/>
  <c r="A78" i="48"/>
  <c r="O77" i="48"/>
  <c r="N77" i="48"/>
  <c r="M77" i="48"/>
  <c r="L77" i="48"/>
  <c r="K77" i="48"/>
  <c r="J77" i="48"/>
  <c r="O76" i="48"/>
  <c r="N76" i="48"/>
  <c r="M76" i="48"/>
  <c r="L76" i="48"/>
  <c r="K76" i="48"/>
  <c r="E76" i="48"/>
  <c r="A76" i="48"/>
  <c r="O75" i="48"/>
  <c r="E75" i="48" s="1"/>
  <c r="N75" i="48"/>
  <c r="M75" i="48"/>
  <c r="L75" i="48"/>
  <c r="K75" i="48"/>
  <c r="A75" i="48" s="1"/>
  <c r="J74" i="48"/>
  <c r="A74" i="48"/>
  <c r="O73" i="48"/>
  <c r="N73" i="48"/>
  <c r="M73" i="48"/>
  <c r="L73" i="48"/>
  <c r="K73" i="48"/>
  <c r="J73" i="48"/>
  <c r="O72" i="48"/>
  <c r="N72" i="48"/>
  <c r="M72" i="48"/>
  <c r="L72" i="48"/>
  <c r="K72" i="48"/>
  <c r="E72" i="48"/>
  <c r="A72" i="48"/>
  <c r="O71" i="48"/>
  <c r="E71" i="48" s="1"/>
  <c r="N71" i="48"/>
  <c r="M71" i="48"/>
  <c r="L71" i="48"/>
  <c r="K71" i="48"/>
  <c r="A71" i="48"/>
  <c r="O70" i="48"/>
  <c r="N70" i="48"/>
  <c r="M70" i="48"/>
  <c r="L70" i="48"/>
  <c r="K70" i="48"/>
  <c r="E70" i="48"/>
  <c r="A70" i="48"/>
  <c r="O69" i="48"/>
  <c r="E69" i="48" s="1"/>
  <c r="N69" i="48"/>
  <c r="M69" i="48"/>
  <c r="L69" i="48"/>
  <c r="K69" i="48"/>
  <c r="A69" i="48"/>
  <c r="J68" i="48"/>
  <c r="A68" i="48"/>
  <c r="O66" i="48"/>
  <c r="E66" i="48" s="1"/>
  <c r="N66" i="48"/>
  <c r="M66" i="48"/>
  <c r="L66" i="48"/>
  <c r="K66" i="48"/>
  <c r="A66" i="48" s="1"/>
  <c r="O65" i="48"/>
  <c r="N65" i="48"/>
  <c r="M65" i="48"/>
  <c r="L65" i="48"/>
  <c r="K65" i="48"/>
  <c r="E65" i="48"/>
  <c r="A65" i="48"/>
  <c r="O64" i="48"/>
  <c r="E64" i="48" s="1"/>
  <c r="N64" i="48"/>
  <c r="M64" i="48"/>
  <c r="L64" i="48"/>
  <c r="K64" i="48"/>
  <c r="A64" i="48"/>
  <c r="O63" i="48"/>
  <c r="N63" i="48"/>
  <c r="M63" i="48"/>
  <c r="L63" i="48"/>
  <c r="K63" i="48"/>
  <c r="E63" i="48"/>
  <c r="A63" i="48"/>
  <c r="O62" i="48"/>
  <c r="N62" i="48"/>
  <c r="M62" i="48"/>
  <c r="L62" i="48"/>
  <c r="K62" i="48"/>
  <c r="A62" i="48" s="1"/>
  <c r="E62" i="48"/>
  <c r="O61" i="48"/>
  <c r="N61" i="48"/>
  <c r="M61" i="48"/>
  <c r="L61" i="48"/>
  <c r="K61" i="48"/>
  <c r="A61" i="48" s="1"/>
  <c r="E61" i="48"/>
  <c r="O60" i="48"/>
  <c r="N60" i="48"/>
  <c r="M60" i="48"/>
  <c r="L60" i="48"/>
  <c r="K60" i="48"/>
  <c r="E60" i="48"/>
  <c r="A60" i="48"/>
  <c r="O59" i="48"/>
  <c r="E59" i="48" s="1"/>
  <c r="N59" i="48"/>
  <c r="M59" i="48"/>
  <c r="L59" i="48"/>
  <c r="K59" i="48"/>
  <c r="A59" i="48"/>
  <c r="A58" i="48"/>
  <c r="O56" i="48"/>
  <c r="N56" i="48"/>
  <c r="M56" i="48"/>
  <c r="L56" i="48"/>
  <c r="K56" i="48"/>
  <c r="E56" i="48"/>
  <c r="A56" i="48"/>
  <c r="O55" i="48"/>
  <c r="N55" i="48"/>
  <c r="M55" i="48"/>
  <c r="L55" i="48"/>
  <c r="K55" i="48"/>
  <c r="A55" i="48" s="1"/>
  <c r="E55" i="48"/>
  <c r="O54" i="48"/>
  <c r="N54" i="48"/>
  <c r="M54" i="48"/>
  <c r="L54" i="48"/>
  <c r="K54" i="48"/>
  <c r="A54" i="48" s="1"/>
  <c r="E54" i="48"/>
  <c r="O53" i="48"/>
  <c r="N53" i="48"/>
  <c r="M53" i="48"/>
  <c r="L53" i="48"/>
  <c r="K53" i="48"/>
  <c r="E53" i="48"/>
  <c r="A53" i="48"/>
  <c r="O52" i="48"/>
  <c r="E52" i="48" s="1"/>
  <c r="N52" i="48"/>
  <c r="M52" i="48"/>
  <c r="L52" i="48"/>
  <c r="K52" i="48"/>
  <c r="A52" i="48"/>
  <c r="O51" i="48"/>
  <c r="N51" i="48"/>
  <c r="M51" i="48"/>
  <c r="L51" i="48"/>
  <c r="K51" i="48"/>
  <c r="E51" i="48"/>
  <c r="A51" i="48"/>
  <c r="J50" i="48"/>
  <c r="O49" i="48"/>
  <c r="N49" i="48"/>
  <c r="M49" i="48"/>
  <c r="L49" i="48"/>
  <c r="K49" i="48"/>
  <c r="A49" i="48" s="1"/>
  <c r="E49" i="48"/>
  <c r="O48" i="48"/>
  <c r="N48" i="48"/>
  <c r="M48" i="48"/>
  <c r="L48" i="48"/>
  <c r="K48" i="48"/>
  <c r="A48" i="48" s="1"/>
  <c r="E48" i="48"/>
  <c r="O47" i="48"/>
  <c r="N47" i="48"/>
  <c r="M47" i="48"/>
  <c r="L47" i="48"/>
  <c r="K47" i="48"/>
  <c r="E47" i="48"/>
  <c r="A47" i="48"/>
  <c r="O46" i="48"/>
  <c r="E46" i="48" s="1"/>
  <c r="N46" i="48"/>
  <c r="M46" i="48"/>
  <c r="L46" i="48"/>
  <c r="K46" i="48"/>
  <c r="A46" i="48"/>
  <c r="O45" i="48"/>
  <c r="N45" i="48"/>
  <c r="M45" i="48"/>
  <c r="L45" i="48"/>
  <c r="K45" i="48"/>
  <c r="E45" i="48"/>
  <c r="A45" i="48"/>
  <c r="O44" i="48"/>
  <c r="E44" i="48" s="1"/>
  <c r="N44" i="48"/>
  <c r="M44" i="48"/>
  <c r="L44" i="48"/>
  <c r="K44" i="48"/>
  <c r="A44" i="48"/>
  <c r="J43" i="48"/>
  <c r="O42" i="48"/>
  <c r="N42" i="48"/>
  <c r="M42" i="48"/>
  <c r="L42" i="48"/>
  <c r="K42" i="48"/>
  <c r="A42" i="48" s="1"/>
  <c r="E42" i="48"/>
  <c r="O41" i="48"/>
  <c r="N41" i="48"/>
  <c r="M41" i="48"/>
  <c r="L41" i="48"/>
  <c r="K41" i="48"/>
  <c r="E41" i="48"/>
  <c r="A41" i="48"/>
  <c r="O40" i="48"/>
  <c r="E40" i="48" s="1"/>
  <c r="N40" i="48"/>
  <c r="M40" i="48"/>
  <c r="L40" i="48"/>
  <c r="K40" i="48"/>
  <c r="A40" i="48"/>
  <c r="O39" i="48"/>
  <c r="N39" i="48"/>
  <c r="M39" i="48"/>
  <c r="L39" i="48"/>
  <c r="K39" i="48"/>
  <c r="E39" i="48"/>
  <c r="A39" i="48"/>
  <c r="O38" i="48"/>
  <c r="E38" i="48" s="1"/>
  <c r="N38" i="48"/>
  <c r="M38" i="48"/>
  <c r="L38" i="48"/>
  <c r="K38" i="48"/>
  <c r="A38" i="48"/>
  <c r="O37" i="48"/>
  <c r="N37" i="48"/>
  <c r="M37" i="48"/>
  <c r="L37" i="48"/>
  <c r="K37" i="48"/>
  <c r="A37" i="48" s="1"/>
  <c r="E37" i="48"/>
  <c r="J36" i="48"/>
  <c r="O35" i="48"/>
  <c r="N35" i="48"/>
  <c r="M35" i="48"/>
  <c r="L35" i="48"/>
  <c r="K35" i="48"/>
  <c r="E35" i="48"/>
  <c r="A35" i="48"/>
  <c r="O34" i="48"/>
  <c r="E34" i="48" s="1"/>
  <c r="N34" i="48"/>
  <c r="M34" i="48"/>
  <c r="L34" i="48"/>
  <c r="K34" i="48"/>
  <c r="A34" i="48"/>
  <c r="O33" i="48"/>
  <c r="N33" i="48"/>
  <c r="M33" i="48"/>
  <c r="L33" i="48"/>
  <c r="K33" i="48"/>
  <c r="E33" i="48"/>
  <c r="A33" i="48"/>
  <c r="O32" i="48"/>
  <c r="E32" i="48" s="1"/>
  <c r="N32" i="48"/>
  <c r="M32" i="48"/>
  <c r="L32" i="48"/>
  <c r="K32" i="48"/>
  <c r="A32" i="48"/>
  <c r="O31" i="48"/>
  <c r="N31" i="48"/>
  <c r="M31" i="48"/>
  <c r="L31" i="48"/>
  <c r="K31" i="48"/>
  <c r="A31" i="48" s="1"/>
  <c r="E31" i="48"/>
  <c r="O30" i="48"/>
  <c r="N30" i="48"/>
  <c r="M30" i="48"/>
  <c r="L30" i="48"/>
  <c r="K30" i="48"/>
  <c r="A30" i="48" s="1"/>
  <c r="E30" i="48"/>
  <c r="O28" i="48"/>
  <c r="E28" i="48" s="1"/>
  <c r="N28" i="48"/>
  <c r="M28" i="48"/>
  <c r="L28" i="48"/>
  <c r="K28" i="48"/>
  <c r="A28" i="48" s="1"/>
  <c r="O27" i="48"/>
  <c r="N27" i="48"/>
  <c r="M27" i="48"/>
  <c r="L27" i="48"/>
  <c r="K27" i="48"/>
  <c r="E27" i="48"/>
  <c r="A27" i="48"/>
  <c r="O26" i="48"/>
  <c r="E26" i="48" s="1"/>
  <c r="N26" i="48"/>
  <c r="M26" i="48"/>
  <c r="L26" i="48"/>
  <c r="K26" i="48"/>
  <c r="A26" i="48"/>
  <c r="O25" i="48"/>
  <c r="N25" i="48"/>
  <c r="M25" i="48"/>
  <c r="L25" i="48"/>
  <c r="K25" i="48"/>
  <c r="E25" i="48"/>
  <c r="A25" i="48"/>
  <c r="O24" i="48"/>
  <c r="N24" i="48"/>
  <c r="M24" i="48"/>
  <c r="L24" i="48"/>
  <c r="K24" i="48"/>
  <c r="A24" i="48" s="1"/>
  <c r="E24" i="48"/>
  <c r="O23" i="48"/>
  <c r="N23" i="48"/>
  <c r="M23" i="48"/>
  <c r="L23" i="48"/>
  <c r="K23" i="48"/>
  <c r="A23" i="48" s="1"/>
  <c r="E23" i="48"/>
  <c r="J22" i="48"/>
  <c r="O21" i="48"/>
  <c r="N21" i="48"/>
  <c r="M21" i="48"/>
  <c r="L21" i="48"/>
  <c r="K21" i="48"/>
  <c r="E21" i="48"/>
  <c r="A21" i="48"/>
  <c r="O20" i="48"/>
  <c r="E20" i="48" s="1"/>
  <c r="N20" i="48"/>
  <c r="M20" i="48"/>
  <c r="L20" i="48"/>
  <c r="K20" i="48"/>
  <c r="A20" i="48"/>
  <c r="O19" i="48"/>
  <c r="N19" i="48"/>
  <c r="M19" i="48"/>
  <c r="L19" i="48"/>
  <c r="K19" i="48"/>
  <c r="E19" i="48"/>
  <c r="A19" i="48"/>
  <c r="O18" i="48"/>
  <c r="N18" i="48"/>
  <c r="M18" i="48"/>
  <c r="L18" i="48"/>
  <c r="K18" i="48"/>
  <c r="A18" i="48" s="1"/>
  <c r="E18" i="48"/>
  <c r="O17" i="48"/>
  <c r="N17" i="48"/>
  <c r="M17" i="48"/>
  <c r="L17" i="48"/>
  <c r="K17" i="48"/>
  <c r="A17" i="48" s="1"/>
  <c r="E17" i="48"/>
  <c r="O16" i="48"/>
  <c r="N16" i="48"/>
  <c r="M16" i="48"/>
  <c r="L16" i="48"/>
  <c r="K16" i="48"/>
  <c r="E16" i="48"/>
  <c r="A16" i="48"/>
  <c r="O14" i="48"/>
  <c r="E14" i="48" s="1"/>
  <c r="N14" i="48"/>
  <c r="M14" i="48"/>
  <c r="L14" i="48"/>
  <c r="K14" i="48"/>
  <c r="A14" i="48"/>
  <c r="O13" i="48"/>
  <c r="N13" i="48"/>
  <c r="M13" i="48"/>
  <c r="L13" i="48"/>
  <c r="K13" i="48"/>
  <c r="E13" i="48"/>
  <c r="A13" i="48"/>
  <c r="O12" i="48"/>
  <c r="E12" i="48" s="1"/>
  <c r="N12" i="48"/>
  <c r="M12" i="48"/>
  <c r="L12" i="48"/>
  <c r="K12" i="48"/>
  <c r="A12" i="48"/>
  <c r="Q11" i="48"/>
  <c r="P7" i="31" s="1"/>
  <c r="O11" i="48"/>
  <c r="N11" i="48"/>
  <c r="M11" i="48"/>
  <c r="L11" i="48"/>
  <c r="K11" i="48"/>
  <c r="A11" i="48" s="1"/>
  <c r="E11" i="48"/>
  <c r="O10" i="48"/>
  <c r="N10" i="48"/>
  <c r="M10" i="48"/>
  <c r="L10" i="48"/>
  <c r="K10" i="48"/>
  <c r="E10" i="48"/>
  <c r="A10" i="48"/>
  <c r="O9" i="48"/>
  <c r="E9" i="48" s="1"/>
  <c r="N9" i="48"/>
  <c r="M9" i="48"/>
  <c r="L9" i="48"/>
  <c r="K9" i="48"/>
  <c r="A9" i="48"/>
  <c r="J8" i="48"/>
  <c r="O7" i="48"/>
  <c r="N7" i="48"/>
  <c r="M7" i="48"/>
  <c r="L7" i="48"/>
  <c r="K7" i="48"/>
  <c r="E7" i="48"/>
  <c r="A7" i="48"/>
  <c r="O6" i="48"/>
  <c r="N6" i="48"/>
  <c r="M6" i="48"/>
  <c r="L6" i="48"/>
  <c r="K6" i="48"/>
  <c r="E6" i="48"/>
  <c r="A6" i="48"/>
  <c r="O5" i="48"/>
  <c r="N5" i="48"/>
  <c r="M5" i="48"/>
  <c r="L5" i="48"/>
  <c r="K5" i="48"/>
  <c r="A5" i="48" s="1"/>
  <c r="E5" i="48"/>
  <c r="O4" i="48"/>
  <c r="N4" i="48"/>
  <c r="M4" i="48"/>
  <c r="L4" i="48"/>
  <c r="K4" i="48"/>
  <c r="E4" i="48"/>
  <c r="A4" i="48"/>
  <c r="O3" i="48"/>
  <c r="E3" i="48" s="1"/>
  <c r="N3" i="48"/>
  <c r="M3" i="48"/>
  <c r="L3" i="48"/>
  <c r="K3" i="48"/>
  <c r="A3" i="48"/>
  <c r="O2" i="48"/>
  <c r="N2" i="48"/>
  <c r="M2" i="48"/>
  <c r="L2" i="48"/>
  <c r="K2" i="48"/>
  <c r="J2" i="48"/>
  <c r="E2" i="48"/>
  <c r="A2" i="48"/>
  <c r="J80" i="47"/>
  <c r="O79" i="47"/>
  <c r="N79" i="47"/>
  <c r="M79" i="47"/>
  <c r="L79" i="47"/>
  <c r="K79" i="47"/>
  <c r="A79" i="47" s="1"/>
  <c r="E79" i="47"/>
  <c r="J78" i="47"/>
  <c r="A78" i="47"/>
  <c r="O77" i="47"/>
  <c r="N77" i="47"/>
  <c r="M77" i="47"/>
  <c r="L77" i="47"/>
  <c r="K77" i="47"/>
  <c r="J77" i="47"/>
  <c r="O76" i="47"/>
  <c r="E76" i="47" s="1"/>
  <c r="N76" i="47"/>
  <c r="M76" i="47"/>
  <c r="L76" i="47"/>
  <c r="K76" i="47"/>
  <c r="A76" i="47"/>
  <c r="O75" i="47"/>
  <c r="E75" i="47" s="1"/>
  <c r="N75" i="47"/>
  <c r="M75" i="47"/>
  <c r="L75" i="47"/>
  <c r="K75" i="47"/>
  <c r="A75" i="47"/>
  <c r="J74" i="47"/>
  <c r="A74" i="47"/>
  <c r="O73" i="47"/>
  <c r="N73" i="47"/>
  <c r="M73" i="47"/>
  <c r="L73" i="47"/>
  <c r="K73" i="47"/>
  <c r="J73" i="47"/>
  <c r="O72" i="47"/>
  <c r="E72" i="47" s="1"/>
  <c r="N72" i="47"/>
  <c r="M72" i="47"/>
  <c r="L72" i="47"/>
  <c r="K72" i="47"/>
  <c r="A72" i="47" s="1"/>
  <c r="O71" i="47"/>
  <c r="N71" i="47"/>
  <c r="M71" i="47"/>
  <c r="L71" i="47"/>
  <c r="K71" i="47"/>
  <c r="E71" i="47"/>
  <c r="A71" i="47"/>
  <c r="O70" i="47"/>
  <c r="E70" i="47" s="1"/>
  <c r="N70" i="47"/>
  <c r="M70" i="47"/>
  <c r="L70" i="47"/>
  <c r="K70" i="47"/>
  <c r="A70" i="47"/>
  <c r="O69" i="47"/>
  <c r="E69" i="47" s="1"/>
  <c r="N69" i="47"/>
  <c r="M69" i="47"/>
  <c r="L69" i="47"/>
  <c r="K69" i="47"/>
  <c r="A69" i="47"/>
  <c r="J68" i="47"/>
  <c r="A68" i="47"/>
  <c r="O66" i="47"/>
  <c r="N66" i="47"/>
  <c r="M66" i="47"/>
  <c r="L66" i="47"/>
  <c r="K66" i="47"/>
  <c r="A66" i="47" s="1"/>
  <c r="E66" i="47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/>
  <c r="O63" i="47"/>
  <c r="E63" i="47" s="1"/>
  <c r="N63" i="47"/>
  <c r="M63" i="47"/>
  <c r="L63" i="47"/>
  <c r="K63" i="47"/>
  <c r="A63" i="47"/>
  <c r="O62" i="47"/>
  <c r="N62" i="47"/>
  <c r="M62" i="47"/>
  <c r="L62" i="47"/>
  <c r="K62" i="47"/>
  <c r="A62" i="47" s="1"/>
  <c r="E62" i="47"/>
  <c r="O61" i="47"/>
  <c r="N61" i="47"/>
  <c r="M61" i="47"/>
  <c r="L61" i="47"/>
  <c r="K61" i="47"/>
  <c r="A61" i="47" s="1"/>
  <c r="E61" i="47"/>
  <c r="O60" i="47"/>
  <c r="E60" i="47" s="1"/>
  <c r="N60" i="47"/>
  <c r="M60" i="47"/>
  <c r="L60" i="47"/>
  <c r="K60" i="47"/>
  <c r="A60" i="47" s="1"/>
  <c r="O59" i="47"/>
  <c r="N59" i="47"/>
  <c r="M59" i="47"/>
  <c r="L59" i="47"/>
  <c r="K59" i="47"/>
  <c r="E59" i="47"/>
  <c r="A59" i="47"/>
  <c r="A58" i="47"/>
  <c r="O56" i="47"/>
  <c r="E56" i="47" s="1"/>
  <c r="N56" i="47"/>
  <c r="M56" i="47"/>
  <c r="L56" i="47"/>
  <c r="K56" i="47"/>
  <c r="A56" i="47"/>
  <c r="O55" i="47"/>
  <c r="E55" i="47" s="1"/>
  <c r="N55" i="47"/>
  <c r="M55" i="47"/>
  <c r="L55" i="47"/>
  <c r="K55" i="47"/>
  <c r="A55" i="47" s="1"/>
  <c r="O54" i="47"/>
  <c r="N54" i="47"/>
  <c r="M54" i="47"/>
  <c r="L54" i="47"/>
  <c r="K54" i="47"/>
  <c r="A54" i="47" s="1"/>
  <c r="E54" i="47"/>
  <c r="O53" i="47"/>
  <c r="E53" i="47" s="1"/>
  <c r="N53" i="47"/>
  <c r="M53" i="47"/>
  <c r="L53" i="47"/>
  <c r="K53" i="47"/>
  <c r="A53" i="47" s="1"/>
  <c r="O52" i="47"/>
  <c r="N52" i="47"/>
  <c r="M52" i="47"/>
  <c r="L52" i="47"/>
  <c r="K52" i="47"/>
  <c r="E52" i="47"/>
  <c r="A52" i="47"/>
  <c r="O51" i="47"/>
  <c r="E51" i="47" s="1"/>
  <c r="N51" i="47"/>
  <c r="M51" i="47"/>
  <c r="L51" i="47"/>
  <c r="K51" i="47"/>
  <c r="A51" i="47"/>
  <c r="J50" i="47"/>
  <c r="O49" i="47"/>
  <c r="E49" i="47" s="1"/>
  <c r="N49" i="47"/>
  <c r="M49" i="47"/>
  <c r="L49" i="47"/>
  <c r="K49" i="47"/>
  <c r="A49" i="47" s="1"/>
  <c r="O48" i="47"/>
  <c r="N48" i="47"/>
  <c r="M48" i="47"/>
  <c r="L48" i="47"/>
  <c r="K48" i="47"/>
  <c r="A48" i="47" s="1"/>
  <c r="E48" i="47"/>
  <c r="O47" i="47"/>
  <c r="E47" i="47" s="1"/>
  <c r="N47" i="47"/>
  <c r="M47" i="47"/>
  <c r="L47" i="47"/>
  <c r="K47" i="47"/>
  <c r="A47" i="47" s="1"/>
  <c r="O46" i="47"/>
  <c r="N46" i="47"/>
  <c r="M46" i="47"/>
  <c r="L46" i="47"/>
  <c r="K46" i="47"/>
  <c r="E46" i="47"/>
  <c r="A46" i="47"/>
  <c r="O45" i="47"/>
  <c r="E45" i="47" s="1"/>
  <c r="N45" i="47"/>
  <c r="M45" i="47"/>
  <c r="L45" i="47"/>
  <c r="K45" i="47"/>
  <c r="A45" i="47"/>
  <c r="O44" i="47"/>
  <c r="E44" i="47" s="1"/>
  <c r="N44" i="47"/>
  <c r="M44" i="47"/>
  <c r="L44" i="47"/>
  <c r="K44" i="47"/>
  <c r="A44" i="47"/>
  <c r="J43" i="47"/>
  <c r="O42" i="47"/>
  <c r="N42" i="47"/>
  <c r="M42" i="47"/>
  <c r="L42" i="47"/>
  <c r="K42" i="47"/>
  <c r="A42" i="47" s="1"/>
  <c r="E42" i="47"/>
  <c r="O41" i="47"/>
  <c r="E41" i="47" s="1"/>
  <c r="N41" i="47"/>
  <c r="M41" i="47"/>
  <c r="L41" i="47"/>
  <c r="K41" i="47"/>
  <c r="A41" i="47" s="1"/>
  <c r="O40" i="47"/>
  <c r="N40" i="47"/>
  <c r="M40" i="47"/>
  <c r="L40" i="47"/>
  <c r="K40" i="47"/>
  <c r="E40" i="47"/>
  <c r="A40" i="47"/>
  <c r="O39" i="47"/>
  <c r="E39" i="47" s="1"/>
  <c r="N39" i="47"/>
  <c r="M39" i="47"/>
  <c r="L39" i="47"/>
  <c r="K39" i="47"/>
  <c r="A39" i="47"/>
  <c r="O38" i="47"/>
  <c r="E38" i="47" s="1"/>
  <c r="N38" i="47"/>
  <c r="M38" i="47"/>
  <c r="L38" i="47"/>
  <c r="K38" i="47"/>
  <c r="A38" i="47"/>
  <c r="O37" i="47"/>
  <c r="N37" i="47"/>
  <c r="M37" i="47"/>
  <c r="L37" i="47"/>
  <c r="K37" i="47"/>
  <c r="E37" i="47"/>
  <c r="A37" i="47"/>
  <c r="J36" i="47"/>
  <c r="O35" i="47"/>
  <c r="E35" i="47" s="1"/>
  <c r="N35" i="47"/>
  <c r="M35" i="47"/>
  <c r="L35" i="47"/>
  <c r="K35" i="47"/>
  <c r="A35" i="47" s="1"/>
  <c r="O34" i="47"/>
  <c r="N34" i="47"/>
  <c r="M34" i="47"/>
  <c r="L34" i="47"/>
  <c r="K34" i="47"/>
  <c r="E34" i="47"/>
  <c r="A34" i="47"/>
  <c r="O33" i="47"/>
  <c r="E33" i="47" s="1"/>
  <c r="N33" i="47"/>
  <c r="M33" i="47"/>
  <c r="L33" i="47"/>
  <c r="K33" i="47"/>
  <c r="A33" i="47"/>
  <c r="O32" i="47"/>
  <c r="E32" i="47" s="1"/>
  <c r="N32" i="47"/>
  <c r="M32" i="47"/>
  <c r="L32" i="47"/>
  <c r="K32" i="47"/>
  <c r="A32" i="47"/>
  <c r="O31" i="47"/>
  <c r="N31" i="47"/>
  <c r="M31" i="47"/>
  <c r="L31" i="47"/>
  <c r="K31" i="47"/>
  <c r="E31" i="47"/>
  <c r="A31" i="47"/>
  <c r="O30" i="47"/>
  <c r="N30" i="47"/>
  <c r="M30" i="47"/>
  <c r="L30" i="47"/>
  <c r="K30" i="47"/>
  <c r="A30" i="47" s="1"/>
  <c r="E30" i="47"/>
  <c r="O28" i="47"/>
  <c r="N28" i="47"/>
  <c r="M28" i="47"/>
  <c r="L28" i="47"/>
  <c r="K28" i="47"/>
  <c r="A28" i="47" s="1"/>
  <c r="E28" i="47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/>
  <c r="O25" i="47"/>
  <c r="E25" i="47" s="1"/>
  <c r="N25" i="47"/>
  <c r="M25" i="47"/>
  <c r="L25" i="47"/>
  <c r="K25" i="47"/>
  <c r="A25" i="47"/>
  <c r="O24" i="47"/>
  <c r="E24" i="47" s="1"/>
  <c r="N24" i="47"/>
  <c r="M24" i="47"/>
  <c r="L24" i="47"/>
  <c r="K24" i="47"/>
  <c r="A24" i="47" s="1"/>
  <c r="O23" i="47"/>
  <c r="N23" i="47"/>
  <c r="M23" i="47"/>
  <c r="L23" i="47"/>
  <c r="K23" i="47"/>
  <c r="A23" i="47" s="1"/>
  <c r="E23" i="47"/>
  <c r="J22" i="47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/>
  <c r="O19" i="47"/>
  <c r="E19" i="47" s="1"/>
  <c r="N19" i="47"/>
  <c r="M19" i="47"/>
  <c r="L19" i="47"/>
  <c r="K19" i="47"/>
  <c r="A19" i="47"/>
  <c r="O18" i="47"/>
  <c r="E18" i="47" s="1"/>
  <c r="N18" i="47"/>
  <c r="M18" i="47"/>
  <c r="L18" i="47"/>
  <c r="K18" i="47"/>
  <c r="A18" i="47" s="1"/>
  <c r="O17" i="47"/>
  <c r="N17" i="47"/>
  <c r="M17" i="47"/>
  <c r="L17" i="47"/>
  <c r="K17" i="47"/>
  <c r="A17" i="47" s="1"/>
  <c r="E17" i="47"/>
  <c r="O16" i="47"/>
  <c r="E16" i="47" s="1"/>
  <c r="N16" i="47"/>
  <c r="M16" i="47"/>
  <c r="L16" i="47"/>
  <c r="K16" i="47"/>
  <c r="A16" i="47" s="1"/>
  <c r="O14" i="47"/>
  <c r="N14" i="47"/>
  <c r="M14" i="47"/>
  <c r="L14" i="47"/>
  <c r="K14" i="47"/>
  <c r="E14" i="47"/>
  <c r="A14" i="47"/>
  <c r="O13" i="47"/>
  <c r="E13" i="47" s="1"/>
  <c r="N13" i="47"/>
  <c r="M13" i="47"/>
  <c r="L13" i="47"/>
  <c r="K13" i="47"/>
  <c r="A13" i="47"/>
  <c r="O12" i="47"/>
  <c r="E12" i="47" s="1"/>
  <c r="N12" i="47"/>
  <c r="M12" i="47"/>
  <c r="L12" i="47"/>
  <c r="K12" i="47"/>
  <c r="A12" i="47"/>
  <c r="Q11" i="47"/>
  <c r="P6" i="31" s="1"/>
  <c r="O11" i="47"/>
  <c r="N11" i="47"/>
  <c r="M11" i="47"/>
  <c r="L11" i="47"/>
  <c r="K11" i="47"/>
  <c r="A11" i="47" s="1"/>
  <c r="E11" i="47"/>
  <c r="O10" i="47"/>
  <c r="E10" i="47" s="1"/>
  <c r="N10" i="47"/>
  <c r="M10" i="47"/>
  <c r="L10" i="47"/>
  <c r="K10" i="47"/>
  <c r="A10" i="47" s="1"/>
  <c r="O9" i="47"/>
  <c r="N9" i="47"/>
  <c r="M9" i="47"/>
  <c r="L9" i="47"/>
  <c r="K9" i="47"/>
  <c r="E9" i="47"/>
  <c r="A9" i="47"/>
  <c r="J8" i="47"/>
  <c r="O7" i="47"/>
  <c r="E7" i="47" s="1"/>
  <c r="N7" i="47"/>
  <c r="M7" i="47"/>
  <c r="L7" i="47"/>
  <c r="K7" i="47"/>
  <c r="A7" i="47"/>
  <c r="O6" i="47"/>
  <c r="E6" i="47" s="1"/>
  <c r="N6" i="47"/>
  <c r="M6" i="47"/>
  <c r="L6" i="47"/>
  <c r="K6" i="47"/>
  <c r="A6" i="47" s="1"/>
  <c r="O5" i="47"/>
  <c r="N5" i="47"/>
  <c r="M5" i="47"/>
  <c r="L5" i="47"/>
  <c r="K5" i="47"/>
  <c r="A5" i="47" s="1"/>
  <c r="E5" i="47"/>
  <c r="O4" i="47"/>
  <c r="E4" i="47" s="1"/>
  <c r="N4" i="47"/>
  <c r="M4" i="47"/>
  <c r="L4" i="47"/>
  <c r="K4" i="47"/>
  <c r="A4" i="47" s="1"/>
  <c r="O3" i="47"/>
  <c r="N3" i="47"/>
  <c r="M3" i="47"/>
  <c r="L3" i="47"/>
  <c r="K3" i="47"/>
  <c r="E3" i="47"/>
  <c r="A3" i="47"/>
  <c r="O2" i="47"/>
  <c r="E2" i="47" s="1"/>
  <c r="N2" i="47"/>
  <c r="M2" i="47"/>
  <c r="L2" i="47"/>
  <c r="K2" i="47"/>
  <c r="J2" i="47"/>
  <c r="A2" i="47"/>
  <c r="J80" i="46"/>
  <c r="O79" i="46"/>
  <c r="N79" i="46"/>
  <c r="M79" i="46"/>
  <c r="L79" i="46"/>
  <c r="K79" i="46"/>
  <c r="E79" i="46"/>
  <c r="A79" i="46"/>
  <c r="J78" i="46"/>
  <c r="A78" i="46"/>
  <c r="O77" i="46"/>
  <c r="N77" i="46"/>
  <c r="M77" i="46"/>
  <c r="L77" i="46"/>
  <c r="K77" i="46"/>
  <c r="J77" i="46"/>
  <c r="O76" i="46"/>
  <c r="N76" i="46"/>
  <c r="M76" i="46"/>
  <c r="L76" i="46"/>
  <c r="K76" i="46"/>
  <c r="E76" i="46"/>
  <c r="A76" i="46"/>
  <c r="O75" i="46"/>
  <c r="E75" i="46" s="1"/>
  <c r="N75" i="46"/>
  <c r="M75" i="46"/>
  <c r="L75" i="46"/>
  <c r="K75" i="46"/>
  <c r="A75" i="46" s="1"/>
  <c r="J74" i="46"/>
  <c r="A74" i="46"/>
  <c r="O73" i="46"/>
  <c r="N73" i="46"/>
  <c r="M73" i="46"/>
  <c r="L73" i="46"/>
  <c r="K73" i="46"/>
  <c r="J73" i="46"/>
  <c r="O72" i="46"/>
  <c r="N72" i="46"/>
  <c r="M72" i="46"/>
  <c r="L72" i="46"/>
  <c r="K72" i="46"/>
  <c r="A72" i="46" s="1"/>
  <c r="E72" i="46"/>
  <c r="O71" i="46"/>
  <c r="E71" i="46" s="1"/>
  <c r="N71" i="46"/>
  <c r="M71" i="46"/>
  <c r="L71" i="46"/>
  <c r="K71" i="46"/>
  <c r="A71" i="46"/>
  <c r="O70" i="46"/>
  <c r="N70" i="46"/>
  <c r="M70" i="46"/>
  <c r="L70" i="46"/>
  <c r="K70" i="46"/>
  <c r="A70" i="46" s="1"/>
  <c r="E70" i="46"/>
  <c r="O69" i="46"/>
  <c r="E69" i="46" s="1"/>
  <c r="N69" i="46"/>
  <c r="M69" i="46"/>
  <c r="L69" i="46"/>
  <c r="K69" i="46"/>
  <c r="A69" i="46"/>
  <c r="J68" i="46"/>
  <c r="A68" i="46"/>
  <c r="O66" i="46"/>
  <c r="E66" i="46" s="1"/>
  <c r="N66" i="46"/>
  <c r="M66" i="46"/>
  <c r="L66" i="46"/>
  <c r="K66" i="46"/>
  <c r="A66" i="46"/>
  <c r="O65" i="46"/>
  <c r="N65" i="46"/>
  <c r="M65" i="46"/>
  <c r="L65" i="46"/>
  <c r="K65" i="46"/>
  <c r="A65" i="46" s="1"/>
  <c r="E65" i="46"/>
  <c r="O64" i="46"/>
  <c r="N64" i="46"/>
  <c r="M64" i="46"/>
  <c r="L64" i="46"/>
  <c r="K64" i="46"/>
  <c r="E64" i="46"/>
  <c r="A64" i="46"/>
  <c r="O63" i="46"/>
  <c r="E63" i="46" s="1"/>
  <c r="N63" i="46"/>
  <c r="M63" i="46"/>
  <c r="L63" i="46"/>
  <c r="K63" i="46"/>
  <c r="A63" i="46"/>
  <c r="O62" i="46"/>
  <c r="N62" i="46"/>
  <c r="M62" i="46"/>
  <c r="L62" i="46"/>
  <c r="K62" i="46"/>
  <c r="E62" i="46"/>
  <c r="A62" i="46"/>
  <c r="O61" i="46"/>
  <c r="E61" i="46" s="1"/>
  <c r="N61" i="46"/>
  <c r="M61" i="46"/>
  <c r="L61" i="46"/>
  <c r="K61" i="46"/>
  <c r="A61" i="46" s="1"/>
  <c r="O60" i="46"/>
  <c r="N60" i="46"/>
  <c r="M60" i="46"/>
  <c r="L60" i="46"/>
  <c r="K60" i="46"/>
  <c r="A60" i="46" s="1"/>
  <c r="E60" i="46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/>
  <c r="O55" i="46"/>
  <c r="N55" i="46"/>
  <c r="M55" i="46"/>
  <c r="L55" i="46"/>
  <c r="K55" i="46"/>
  <c r="E55" i="46"/>
  <c r="A55" i="46"/>
  <c r="O54" i="46"/>
  <c r="E54" i="46" s="1"/>
  <c r="N54" i="46"/>
  <c r="M54" i="46"/>
  <c r="L54" i="46"/>
  <c r="K54" i="46"/>
  <c r="A54" i="46" s="1"/>
  <c r="O53" i="46"/>
  <c r="N53" i="46"/>
  <c r="M53" i="46"/>
  <c r="L53" i="46"/>
  <c r="K53" i="46"/>
  <c r="A53" i="46" s="1"/>
  <c r="E53" i="46"/>
  <c r="O52" i="46"/>
  <c r="E52" i="46" s="1"/>
  <c r="N52" i="46"/>
  <c r="M52" i="46"/>
  <c r="L52" i="46"/>
  <c r="K52" i="46"/>
  <c r="A52" i="46" s="1"/>
  <c r="O51" i="46"/>
  <c r="N51" i="46"/>
  <c r="M51" i="46"/>
  <c r="L51" i="46"/>
  <c r="K51" i="46"/>
  <c r="A51" i="46" s="1"/>
  <c r="E51" i="46"/>
  <c r="J50" i="46"/>
  <c r="O49" i="46"/>
  <c r="N49" i="46"/>
  <c r="M49" i="46"/>
  <c r="L49" i="46"/>
  <c r="K49" i="46"/>
  <c r="E49" i="46"/>
  <c r="A49" i="46"/>
  <c r="O48" i="46"/>
  <c r="E48" i="46" s="1"/>
  <c r="N48" i="46"/>
  <c r="M48" i="46"/>
  <c r="L48" i="46"/>
  <c r="K48" i="46"/>
  <c r="A48" i="46" s="1"/>
  <c r="O47" i="46"/>
  <c r="N47" i="46"/>
  <c r="M47" i="46"/>
  <c r="L47" i="46"/>
  <c r="K47" i="46"/>
  <c r="A47" i="46" s="1"/>
  <c r="E47" i="46"/>
  <c r="O46" i="46"/>
  <c r="E46" i="46" s="1"/>
  <c r="N46" i="46"/>
  <c r="M46" i="46"/>
  <c r="L46" i="46"/>
  <c r="K46" i="46"/>
  <c r="A46" i="46" s="1"/>
  <c r="O45" i="46"/>
  <c r="N45" i="46"/>
  <c r="M45" i="46"/>
  <c r="L45" i="46"/>
  <c r="K45" i="46"/>
  <c r="A45" i="46" s="1"/>
  <c r="E45" i="46"/>
  <c r="O44" i="46"/>
  <c r="E44" i="46" s="1"/>
  <c r="N44" i="46"/>
  <c r="M44" i="46"/>
  <c r="L44" i="46"/>
  <c r="K44" i="46"/>
  <c r="A44" i="46" s="1"/>
  <c r="J43" i="46"/>
  <c r="O42" i="46"/>
  <c r="E42" i="46" s="1"/>
  <c r="N42" i="46"/>
  <c r="M42" i="46"/>
  <c r="L42" i="46"/>
  <c r="K42" i="46"/>
  <c r="A42" i="46" s="1"/>
  <c r="O41" i="46"/>
  <c r="N41" i="46"/>
  <c r="M41" i="46"/>
  <c r="L41" i="46"/>
  <c r="K41" i="46"/>
  <c r="A41" i="46" s="1"/>
  <c r="E41" i="46"/>
  <c r="O40" i="46"/>
  <c r="E40" i="46" s="1"/>
  <c r="N40" i="46"/>
  <c r="M40" i="46"/>
  <c r="L40" i="46"/>
  <c r="K40" i="46"/>
  <c r="A40" i="46"/>
  <c r="O39" i="46"/>
  <c r="N39" i="46"/>
  <c r="M39" i="46"/>
  <c r="L39" i="46"/>
  <c r="K39" i="46"/>
  <c r="A39" i="46" s="1"/>
  <c r="E39" i="46"/>
  <c r="O38" i="46"/>
  <c r="E38" i="46" s="1"/>
  <c r="N38" i="46"/>
  <c r="M38" i="46"/>
  <c r="L38" i="46"/>
  <c r="K38" i="46"/>
  <c r="A38" i="46" s="1"/>
  <c r="O37" i="46"/>
  <c r="N37" i="46"/>
  <c r="M37" i="46"/>
  <c r="L37" i="46"/>
  <c r="K37" i="46"/>
  <c r="A37" i="46" s="1"/>
  <c r="E37" i="46"/>
  <c r="J36" i="46"/>
  <c r="O35" i="46"/>
  <c r="N35" i="46"/>
  <c r="M35" i="46"/>
  <c r="L35" i="46"/>
  <c r="K35" i="46"/>
  <c r="A35" i="46" s="1"/>
  <c r="E35" i="46"/>
  <c r="O34" i="46"/>
  <c r="E34" i="46" s="1"/>
  <c r="N34" i="46"/>
  <c r="M34" i="46"/>
  <c r="L34" i="46"/>
  <c r="K34" i="46"/>
  <c r="A34" i="46" s="1"/>
  <c r="O33" i="46"/>
  <c r="N33" i="46"/>
  <c r="M33" i="46"/>
  <c r="L33" i="46"/>
  <c r="K33" i="46"/>
  <c r="A33" i="46" s="1"/>
  <c r="E33" i="46"/>
  <c r="O32" i="46"/>
  <c r="E32" i="46" s="1"/>
  <c r="N32" i="46"/>
  <c r="M32" i="46"/>
  <c r="L32" i="46"/>
  <c r="K32" i="46"/>
  <c r="A32" i="46" s="1"/>
  <c r="O31" i="46"/>
  <c r="N31" i="46"/>
  <c r="M31" i="46"/>
  <c r="L31" i="46"/>
  <c r="K31" i="46"/>
  <c r="A31" i="46" s="1"/>
  <c r="E31" i="46"/>
  <c r="O30" i="46"/>
  <c r="N30" i="46"/>
  <c r="M30" i="46"/>
  <c r="L30" i="46"/>
  <c r="K30" i="46"/>
  <c r="E30" i="46"/>
  <c r="A30" i="46"/>
  <c r="O28" i="46"/>
  <c r="N28" i="46"/>
  <c r="M28" i="46"/>
  <c r="L28" i="46"/>
  <c r="K28" i="46"/>
  <c r="E28" i="46"/>
  <c r="A28" i="46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N25" i="46"/>
  <c r="M25" i="46"/>
  <c r="L25" i="46"/>
  <c r="K25" i="46"/>
  <c r="E25" i="46"/>
  <c r="A25" i="46"/>
  <c r="O24" i="46"/>
  <c r="E24" i="46" s="1"/>
  <c r="N24" i="46"/>
  <c r="M24" i="46"/>
  <c r="L24" i="46"/>
  <c r="K24" i="46"/>
  <c r="A24" i="46"/>
  <c r="O23" i="46"/>
  <c r="E23" i="46" s="1"/>
  <c r="N23" i="46"/>
  <c r="M23" i="46"/>
  <c r="L23" i="46"/>
  <c r="K23" i="46"/>
  <c r="A23" i="46" s="1"/>
  <c r="J22" i="46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N19" i="46"/>
  <c r="M19" i="46"/>
  <c r="L19" i="46"/>
  <c r="K19" i="46"/>
  <c r="E19" i="46"/>
  <c r="A19" i="46"/>
  <c r="O18" i="46"/>
  <c r="N18" i="46"/>
  <c r="M18" i="46"/>
  <c r="L18" i="46"/>
  <c r="K18" i="46"/>
  <c r="E18" i="46"/>
  <c r="A18" i="46"/>
  <c r="O17" i="46"/>
  <c r="E17" i="46" s="1"/>
  <c r="N17" i="46"/>
  <c r="M17" i="46"/>
  <c r="L17" i="46"/>
  <c r="K17" i="46"/>
  <c r="A17" i="46" s="1"/>
  <c r="O16" i="46"/>
  <c r="N16" i="46"/>
  <c r="M16" i="46"/>
  <c r="L16" i="46"/>
  <c r="K16" i="46"/>
  <c r="A16" i="46" s="1"/>
  <c r="E16" i="46"/>
  <c r="O14" i="46"/>
  <c r="E14" i="46" s="1"/>
  <c r="N14" i="46"/>
  <c r="M14" i="46"/>
  <c r="L14" i="46"/>
  <c r="K14" i="46"/>
  <c r="A14" i="46" s="1"/>
  <c r="O13" i="46"/>
  <c r="N13" i="46"/>
  <c r="M13" i="46"/>
  <c r="L13" i="46"/>
  <c r="K13" i="46"/>
  <c r="E13" i="46"/>
  <c r="A13" i="46"/>
  <c r="O12" i="46"/>
  <c r="E12" i="46" s="1"/>
  <c r="N12" i="46"/>
  <c r="M12" i="46"/>
  <c r="L12" i="46"/>
  <c r="K12" i="46"/>
  <c r="A12" i="46"/>
  <c r="Q11" i="46"/>
  <c r="P8" i="31" s="1"/>
  <c r="O11" i="46"/>
  <c r="E11" i="46" s="1"/>
  <c r="N11" i="46"/>
  <c r="M11" i="46"/>
  <c r="L11" i="46"/>
  <c r="K11" i="46"/>
  <c r="A11" i="46" s="1"/>
  <c r="O10" i="46"/>
  <c r="N10" i="46"/>
  <c r="M10" i="46"/>
  <c r="L10" i="46"/>
  <c r="K10" i="46"/>
  <c r="A10" i="46" s="1"/>
  <c r="E10" i="46"/>
  <c r="O9" i="46"/>
  <c r="N9" i="46"/>
  <c r="M9" i="46"/>
  <c r="L9" i="46"/>
  <c r="K9" i="46"/>
  <c r="A9" i="46" s="1"/>
  <c r="E9" i="46"/>
  <c r="J8" i="46"/>
  <c r="O7" i="46"/>
  <c r="N7" i="46"/>
  <c r="M7" i="46"/>
  <c r="L7" i="46"/>
  <c r="K7" i="46"/>
  <c r="E7" i="46"/>
  <c r="A7" i="46"/>
  <c r="O6" i="46"/>
  <c r="N6" i="46"/>
  <c r="M6" i="46"/>
  <c r="L6" i="46"/>
  <c r="K6" i="46"/>
  <c r="E6" i="46"/>
  <c r="A6" i="46"/>
  <c r="O5" i="46"/>
  <c r="E5" i="46" s="1"/>
  <c r="N5" i="46"/>
  <c r="M5" i="46"/>
  <c r="L5" i="46"/>
  <c r="K5" i="46"/>
  <c r="A5" i="46" s="1"/>
  <c r="O4" i="46"/>
  <c r="N4" i="46"/>
  <c r="M4" i="46"/>
  <c r="L4" i="46"/>
  <c r="K4" i="46"/>
  <c r="A4" i="46" s="1"/>
  <c r="E4" i="46"/>
  <c r="O3" i="46"/>
  <c r="N3" i="46"/>
  <c r="M3" i="46"/>
  <c r="L3" i="46"/>
  <c r="K3" i="46"/>
  <c r="A3" i="46" s="1"/>
  <c r="E3" i="46"/>
  <c r="O2" i="46"/>
  <c r="N2" i="46"/>
  <c r="M2" i="46"/>
  <c r="L2" i="46"/>
  <c r="K2" i="46"/>
  <c r="J2" i="46"/>
  <c r="E2" i="46"/>
  <c r="A2" i="46"/>
  <c r="J80" i="3"/>
  <c r="J78" i="3"/>
  <c r="J77" i="3"/>
  <c r="J74" i="3"/>
  <c r="J73" i="3"/>
  <c r="J68" i="3"/>
  <c r="J50" i="3"/>
  <c r="J43" i="3"/>
  <c r="J36" i="3"/>
  <c r="J22" i="3"/>
  <c r="J8" i="3"/>
  <c r="J80" i="44"/>
  <c r="J78" i="44"/>
  <c r="J77" i="44"/>
  <c r="J74" i="44"/>
  <c r="J73" i="44"/>
  <c r="J68" i="44"/>
  <c r="J50" i="44"/>
  <c r="J43" i="44"/>
  <c r="J36" i="44"/>
  <c r="J22" i="44"/>
  <c r="J8" i="44"/>
  <c r="J2" i="44"/>
  <c r="J80" i="45"/>
  <c r="O79" i="45"/>
  <c r="E79" i="45" s="1"/>
  <c r="N79" i="45"/>
  <c r="M79" i="45"/>
  <c r="L79" i="45"/>
  <c r="K79" i="45"/>
  <c r="A79" i="45" s="1"/>
  <c r="J78" i="45"/>
  <c r="A78" i="45"/>
  <c r="O77" i="45"/>
  <c r="N77" i="45"/>
  <c r="M77" i="45"/>
  <c r="L77" i="45"/>
  <c r="K77" i="45"/>
  <c r="J77" i="45"/>
  <c r="O76" i="45"/>
  <c r="E76" i="45" s="1"/>
  <c r="N76" i="45"/>
  <c r="M76" i="45"/>
  <c r="L76" i="45"/>
  <c r="K76" i="45"/>
  <c r="A76" i="45"/>
  <c r="O75" i="45"/>
  <c r="E75" i="45" s="1"/>
  <c r="N75" i="45"/>
  <c r="M75" i="45"/>
  <c r="L75" i="45"/>
  <c r="K75" i="45"/>
  <c r="A75" i="45"/>
  <c r="J74" i="45"/>
  <c r="A74" i="45"/>
  <c r="O73" i="45"/>
  <c r="N73" i="45"/>
  <c r="M73" i="45"/>
  <c r="L73" i="45"/>
  <c r="K73" i="45"/>
  <c r="J73" i="45"/>
  <c r="O72" i="45"/>
  <c r="N72" i="45"/>
  <c r="M72" i="45"/>
  <c r="L72" i="45"/>
  <c r="K72" i="45"/>
  <c r="A72" i="45" s="1"/>
  <c r="E72" i="45"/>
  <c r="O71" i="45"/>
  <c r="N71" i="45"/>
  <c r="M71" i="45"/>
  <c r="L71" i="45"/>
  <c r="K71" i="45"/>
  <c r="E71" i="45"/>
  <c r="A71" i="45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/>
  <c r="J68" i="45"/>
  <c r="A68" i="45"/>
  <c r="O66" i="45"/>
  <c r="N66" i="45"/>
  <c r="M66" i="45"/>
  <c r="L66" i="45"/>
  <c r="K66" i="45"/>
  <c r="A66" i="45" s="1"/>
  <c r="E66" i="45"/>
  <c r="O65" i="45"/>
  <c r="E65" i="45" s="1"/>
  <c r="N65" i="45"/>
  <c r="M65" i="45"/>
  <c r="L65" i="45"/>
  <c r="K65" i="45"/>
  <c r="A65" i="45" s="1"/>
  <c r="O64" i="45"/>
  <c r="N64" i="45"/>
  <c r="M64" i="45"/>
  <c r="L64" i="45"/>
  <c r="K64" i="45"/>
  <c r="E64" i="45"/>
  <c r="A64" i="45"/>
  <c r="O63" i="45"/>
  <c r="E63" i="45" s="1"/>
  <c r="N63" i="45"/>
  <c r="M63" i="45"/>
  <c r="L63" i="45"/>
  <c r="K63" i="45"/>
  <c r="A63" i="45"/>
  <c r="O62" i="45"/>
  <c r="N62" i="45"/>
  <c r="M62" i="45"/>
  <c r="L62" i="45"/>
  <c r="K62" i="45"/>
  <c r="A62" i="45" s="1"/>
  <c r="E62" i="45"/>
  <c r="O61" i="45"/>
  <c r="E61" i="45" s="1"/>
  <c r="N61" i="45"/>
  <c r="M61" i="45"/>
  <c r="L61" i="45"/>
  <c r="K61" i="45"/>
  <c r="A61" i="45"/>
  <c r="O60" i="45"/>
  <c r="N60" i="45"/>
  <c r="M60" i="45"/>
  <c r="L60" i="45"/>
  <c r="K60" i="45"/>
  <c r="A60" i="45" s="1"/>
  <c r="E60" i="45"/>
  <c r="O59" i="45"/>
  <c r="N59" i="45"/>
  <c r="M59" i="45"/>
  <c r="L59" i="45"/>
  <c r="K59" i="45"/>
  <c r="E59" i="45"/>
  <c r="A59" i="45"/>
  <c r="A58" i="45"/>
  <c r="O56" i="45"/>
  <c r="E56" i="45" s="1"/>
  <c r="N56" i="45"/>
  <c r="M56" i="45"/>
  <c r="L56" i="45"/>
  <c r="K56" i="45"/>
  <c r="A56" i="45"/>
  <c r="O55" i="45"/>
  <c r="N55" i="45"/>
  <c r="M55" i="45"/>
  <c r="L55" i="45"/>
  <c r="K55" i="45"/>
  <c r="A55" i="45" s="1"/>
  <c r="E55" i="45"/>
  <c r="O54" i="45"/>
  <c r="E54" i="45" s="1"/>
  <c r="N54" i="45"/>
  <c r="M54" i="45"/>
  <c r="L54" i="45"/>
  <c r="K54" i="45"/>
  <c r="A54" i="45"/>
  <c r="O53" i="45"/>
  <c r="N53" i="45"/>
  <c r="M53" i="45"/>
  <c r="L53" i="45"/>
  <c r="K53" i="45"/>
  <c r="A53" i="45" s="1"/>
  <c r="E53" i="45"/>
  <c r="O52" i="45"/>
  <c r="N52" i="45"/>
  <c r="M52" i="45"/>
  <c r="L52" i="45"/>
  <c r="K52" i="45"/>
  <c r="A52" i="45" s="1"/>
  <c r="E52" i="45"/>
  <c r="O51" i="45"/>
  <c r="E51" i="45" s="1"/>
  <c r="N51" i="45"/>
  <c r="M51" i="45"/>
  <c r="L51" i="45"/>
  <c r="K51" i="45"/>
  <c r="A51" i="45" s="1"/>
  <c r="J50" i="45"/>
  <c r="O49" i="45"/>
  <c r="N49" i="45"/>
  <c r="M49" i="45"/>
  <c r="L49" i="45"/>
  <c r="K49" i="45"/>
  <c r="A49" i="45" s="1"/>
  <c r="E49" i="45"/>
  <c r="O48" i="45"/>
  <c r="E48" i="45" s="1"/>
  <c r="N48" i="45"/>
  <c r="M48" i="45"/>
  <c r="L48" i="45"/>
  <c r="K48" i="45"/>
  <c r="A48" i="45"/>
  <c r="O47" i="45"/>
  <c r="N47" i="45"/>
  <c r="M47" i="45"/>
  <c r="L47" i="45"/>
  <c r="K47" i="45"/>
  <c r="A47" i="45" s="1"/>
  <c r="E47" i="45"/>
  <c r="O46" i="45"/>
  <c r="N46" i="45"/>
  <c r="M46" i="45"/>
  <c r="L46" i="45"/>
  <c r="K46" i="45"/>
  <c r="A46" i="45" s="1"/>
  <c r="E46" i="45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/>
  <c r="J43" i="45"/>
  <c r="O42" i="45"/>
  <c r="E42" i="45" s="1"/>
  <c r="N42" i="45"/>
  <c r="M42" i="45"/>
  <c r="L42" i="45"/>
  <c r="K42" i="45"/>
  <c r="A42" i="45"/>
  <c r="O41" i="45"/>
  <c r="N41" i="45"/>
  <c r="M41" i="45"/>
  <c r="L41" i="45"/>
  <c r="K41" i="45"/>
  <c r="A41" i="45" s="1"/>
  <c r="E41" i="45"/>
  <c r="O40" i="45"/>
  <c r="N40" i="45"/>
  <c r="M40" i="45"/>
  <c r="L40" i="45"/>
  <c r="K40" i="45"/>
  <c r="A40" i="45" s="1"/>
  <c r="E40" i="45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/>
  <c r="O37" i="45"/>
  <c r="N37" i="45"/>
  <c r="M37" i="45"/>
  <c r="L37" i="45"/>
  <c r="K37" i="45"/>
  <c r="E37" i="45"/>
  <c r="A37" i="45"/>
  <c r="J36" i="45"/>
  <c r="O35" i="45"/>
  <c r="N35" i="45"/>
  <c r="M35" i="45"/>
  <c r="L35" i="45"/>
  <c r="K35" i="45"/>
  <c r="A35" i="45" s="1"/>
  <c r="E35" i="45"/>
  <c r="O34" i="45"/>
  <c r="N34" i="45"/>
  <c r="M34" i="45"/>
  <c r="L34" i="45"/>
  <c r="K34" i="45"/>
  <c r="A34" i="45" s="1"/>
  <c r="E34" i="45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/>
  <c r="O31" i="45"/>
  <c r="N31" i="45"/>
  <c r="M31" i="45"/>
  <c r="L31" i="45"/>
  <c r="K31" i="45"/>
  <c r="E31" i="45"/>
  <c r="A31" i="45"/>
  <c r="O30" i="45"/>
  <c r="E30" i="45" s="1"/>
  <c r="N30" i="45"/>
  <c r="M30" i="45"/>
  <c r="L30" i="45"/>
  <c r="K30" i="45"/>
  <c r="A30" i="45" s="1"/>
  <c r="O28" i="45"/>
  <c r="N28" i="45"/>
  <c r="M28" i="45"/>
  <c r="L28" i="45"/>
  <c r="K28" i="45"/>
  <c r="E28" i="45"/>
  <c r="A28" i="45"/>
  <c r="O27" i="45"/>
  <c r="E27" i="45" s="1"/>
  <c r="N27" i="45"/>
  <c r="M27" i="45"/>
  <c r="L27" i="45"/>
  <c r="K27" i="45"/>
  <c r="A27" i="45" s="1"/>
  <c r="O26" i="45"/>
  <c r="N26" i="45"/>
  <c r="M26" i="45"/>
  <c r="L26" i="45"/>
  <c r="K26" i="45"/>
  <c r="E26" i="45"/>
  <c r="A26" i="45"/>
  <c r="O25" i="45"/>
  <c r="E25" i="45" s="1"/>
  <c r="N25" i="45"/>
  <c r="M25" i="45"/>
  <c r="L25" i="45"/>
  <c r="K25" i="45"/>
  <c r="A25" i="45"/>
  <c r="O24" i="45"/>
  <c r="N24" i="45"/>
  <c r="M24" i="45"/>
  <c r="L24" i="45"/>
  <c r="K24" i="45"/>
  <c r="A24" i="45" s="1"/>
  <c r="E24" i="45"/>
  <c r="O23" i="45"/>
  <c r="E23" i="45" s="1"/>
  <c r="N23" i="45"/>
  <c r="M23" i="45"/>
  <c r="L23" i="45"/>
  <c r="K23" i="45"/>
  <c r="A23" i="45"/>
  <c r="J22" i="45"/>
  <c r="O21" i="45"/>
  <c r="E21" i="45" s="1"/>
  <c r="N21" i="45"/>
  <c r="M21" i="45"/>
  <c r="L21" i="45"/>
  <c r="K21" i="45"/>
  <c r="A21" i="45" s="1"/>
  <c r="O20" i="45"/>
  <c r="N20" i="45"/>
  <c r="M20" i="45"/>
  <c r="L20" i="45"/>
  <c r="K20" i="45"/>
  <c r="E20" i="45"/>
  <c r="A20" i="45"/>
  <c r="O19" i="45"/>
  <c r="E19" i="45" s="1"/>
  <c r="N19" i="45"/>
  <c r="M19" i="45"/>
  <c r="L19" i="45"/>
  <c r="K19" i="45"/>
  <c r="A19" i="45"/>
  <c r="O18" i="45"/>
  <c r="N18" i="45"/>
  <c r="M18" i="45"/>
  <c r="L18" i="45"/>
  <c r="K18" i="45"/>
  <c r="A18" i="45" s="1"/>
  <c r="E18" i="45"/>
  <c r="O17" i="45"/>
  <c r="E17" i="45" s="1"/>
  <c r="N17" i="45"/>
  <c r="M17" i="45"/>
  <c r="L17" i="45"/>
  <c r="K17" i="45"/>
  <c r="A17" i="45"/>
  <c r="O16" i="45"/>
  <c r="N16" i="45"/>
  <c r="M16" i="45"/>
  <c r="L16" i="45"/>
  <c r="K16" i="45"/>
  <c r="A16" i="45" s="1"/>
  <c r="E16" i="45"/>
  <c r="O14" i="45"/>
  <c r="N14" i="45"/>
  <c r="M14" i="45"/>
  <c r="L14" i="45"/>
  <c r="K14" i="45"/>
  <c r="A14" i="45" s="1"/>
  <c r="E14" i="45"/>
  <c r="O13" i="45"/>
  <c r="E13" i="45" s="1"/>
  <c r="N13" i="45"/>
  <c r="M13" i="45"/>
  <c r="L13" i="45"/>
  <c r="K13" i="45"/>
  <c r="A13" i="45"/>
  <c r="O12" i="45"/>
  <c r="E12" i="45" s="1"/>
  <c r="N12" i="45"/>
  <c r="M12" i="45"/>
  <c r="L12" i="45"/>
  <c r="K12" i="45"/>
  <c r="A12" i="45"/>
  <c r="Q11" i="45"/>
  <c r="O11" i="45"/>
  <c r="E11" i="45" s="1"/>
  <c r="N11" i="45"/>
  <c r="M11" i="45"/>
  <c r="L11" i="45"/>
  <c r="K11" i="45"/>
  <c r="A11" i="45"/>
  <c r="O10" i="45"/>
  <c r="N10" i="45"/>
  <c r="M10" i="45"/>
  <c r="L10" i="45"/>
  <c r="K10" i="45"/>
  <c r="A10" i="45" s="1"/>
  <c r="E10" i="45"/>
  <c r="O9" i="45"/>
  <c r="N9" i="45"/>
  <c r="M9" i="45"/>
  <c r="L9" i="45"/>
  <c r="K9" i="45"/>
  <c r="E9" i="45"/>
  <c r="A9" i="45"/>
  <c r="J8" i="45"/>
  <c r="O7" i="45"/>
  <c r="E7" i="45" s="1"/>
  <c r="N7" i="45"/>
  <c r="M7" i="45"/>
  <c r="L7" i="45"/>
  <c r="K7" i="45"/>
  <c r="A7" i="45"/>
  <c r="O6" i="45"/>
  <c r="N6" i="45"/>
  <c r="M6" i="45"/>
  <c r="L6" i="45"/>
  <c r="K6" i="45"/>
  <c r="A6" i="45" s="1"/>
  <c r="E6" i="45"/>
  <c r="O5" i="45"/>
  <c r="N5" i="45"/>
  <c r="M5" i="45"/>
  <c r="L5" i="45"/>
  <c r="K5" i="45"/>
  <c r="A5" i="45" s="1"/>
  <c r="E5" i="45"/>
  <c r="O4" i="45"/>
  <c r="E4" i="45" s="1"/>
  <c r="N4" i="45"/>
  <c r="M4" i="45"/>
  <c r="L4" i="45"/>
  <c r="K4" i="45"/>
  <c r="A4" i="45"/>
  <c r="O3" i="45"/>
  <c r="N3" i="45"/>
  <c r="M3" i="45"/>
  <c r="L3" i="45"/>
  <c r="K3" i="45"/>
  <c r="A3" i="45" s="1"/>
  <c r="E3" i="45"/>
  <c r="O2" i="45"/>
  <c r="N2" i="45"/>
  <c r="M2" i="45"/>
  <c r="L2" i="45"/>
  <c r="K2" i="45"/>
  <c r="A2" i="45" s="1"/>
  <c r="J2" i="45"/>
  <c r="E2" i="45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N76" i="44"/>
  <c r="M76" i="44"/>
  <c r="L76" i="44"/>
  <c r="K76" i="44"/>
  <c r="A76" i="44" s="1"/>
  <c r="E76" i="44"/>
  <c r="O75" i="44"/>
  <c r="E75" i="44" s="1"/>
  <c r="N75" i="44"/>
  <c r="M75" i="44"/>
  <c r="L75" i="44"/>
  <c r="K75" i="44"/>
  <c r="A75" i="44"/>
  <c r="A74" i="44"/>
  <c r="O73" i="44"/>
  <c r="N73" i="44"/>
  <c r="M73" i="44"/>
  <c r="L73" i="44"/>
  <c r="K73" i="44"/>
  <c r="O72" i="44"/>
  <c r="N72" i="44"/>
  <c r="M72" i="44"/>
  <c r="L72" i="44"/>
  <c r="K72" i="44"/>
  <c r="E72" i="44"/>
  <c r="A72" i="44"/>
  <c r="O71" i="44"/>
  <c r="E71" i="44" s="1"/>
  <c r="N71" i="44"/>
  <c r="M71" i="44"/>
  <c r="L71" i="44"/>
  <c r="K71" i="44"/>
  <c r="A71" i="44" s="1"/>
  <c r="O70" i="44"/>
  <c r="N70" i="44"/>
  <c r="M70" i="44"/>
  <c r="L70" i="44"/>
  <c r="K70" i="44"/>
  <c r="A70" i="44" s="1"/>
  <c r="E70" i="44"/>
  <c r="O69" i="44"/>
  <c r="N69" i="44"/>
  <c r="M69" i="44"/>
  <c r="L69" i="44"/>
  <c r="K69" i="44"/>
  <c r="E69" i="44"/>
  <c r="A69" i="44"/>
  <c r="A68" i="44"/>
  <c r="O66" i="44"/>
  <c r="E66" i="44" s="1"/>
  <c r="N66" i="44"/>
  <c r="M66" i="44"/>
  <c r="L66" i="44"/>
  <c r="K66" i="44"/>
  <c r="A66" i="44"/>
  <c r="O65" i="44"/>
  <c r="N65" i="44"/>
  <c r="M65" i="44"/>
  <c r="L65" i="44"/>
  <c r="K65" i="44"/>
  <c r="A65" i="44" s="1"/>
  <c r="E65" i="44"/>
  <c r="O64" i="44"/>
  <c r="N64" i="44"/>
  <c r="M64" i="44"/>
  <c r="L64" i="44"/>
  <c r="K64" i="44"/>
  <c r="E64" i="44"/>
  <c r="A64" i="44"/>
  <c r="O63" i="44"/>
  <c r="E63" i="44" s="1"/>
  <c r="N63" i="44"/>
  <c r="M63" i="44"/>
  <c r="L63" i="44"/>
  <c r="K63" i="44"/>
  <c r="A63" i="44" s="1"/>
  <c r="O62" i="44"/>
  <c r="N62" i="44"/>
  <c r="M62" i="44"/>
  <c r="L62" i="44"/>
  <c r="K62" i="44"/>
  <c r="E62" i="44"/>
  <c r="A62" i="44"/>
  <c r="O61" i="44"/>
  <c r="E61" i="44" s="1"/>
  <c r="N61" i="44"/>
  <c r="M61" i="44"/>
  <c r="L61" i="44"/>
  <c r="K61" i="44"/>
  <c r="A61" i="44"/>
  <c r="O60" i="44"/>
  <c r="N60" i="44"/>
  <c r="M60" i="44"/>
  <c r="L60" i="44"/>
  <c r="K60" i="44"/>
  <c r="E60" i="44"/>
  <c r="A60" i="44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N55" i="44"/>
  <c r="M55" i="44"/>
  <c r="L55" i="44"/>
  <c r="K55" i="44"/>
  <c r="A55" i="44" s="1"/>
  <c r="E55" i="44"/>
  <c r="O54" i="44"/>
  <c r="E54" i="44" s="1"/>
  <c r="N54" i="44"/>
  <c r="M54" i="44"/>
  <c r="L54" i="44"/>
  <c r="K54" i="44"/>
  <c r="A54" i="44"/>
  <c r="O53" i="44"/>
  <c r="N53" i="44"/>
  <c r="M53" i="44"/>
  <c r="L53" i="44"/>
  <c r="K53" i="44"/>
  <c r="E53" i="44"/>
  <c r="A53" i="44"/>
  <c r="O52" i="44"/>
  <c r="E52" i="44" s="1"/>
  <c r="N52" i="44"/>
  <c r="M52" i="44"/>
  <c r="L52" i="44"/>
  <c r="K52" i="44"/>
  <c r="A52" i="44" s="1"/>
  <c r="O51" i="44"/>
  <c r="N51" i="44"/>
  <c r="M51" i="44"/>
  <c r="L51" i="44"/>
  <c r="K51" i="44"/>
  <c r="A51" i="44" s="1"/>
  <c r="E51" i="44"/>
  <c r="O49" i="44"/>
  <c r="N49" i="44"/>
  <c r="M49" i="44"/>
  <c r="L49" i="44"/>
  <c r="K49" i="44"/>
  <c r="A49" i="44" s="1"/>
  <c r="E49" i="44"/>
  <c r="O48" i="44"/>
  <c r="E48" i="44" s="1"/>
  <c r="N48" i="44"/>
  <c r="M48" i="44"/>
  <c r="L48" i="44"/>
  <c r="K48" i="44"/>
  <c r="A48" i="44"/>
  <c r="O47" i="44"/>
  <c r="N47" i="44"/>
  <c r="M47" i="44"/>
  <c r="L47" i="44"/>
  <c r="K47" i="44"/>
  <c r="E47" i="44"/>
  <c r="A47" i="44"/>
  <c r="O46" i="44"/>
  <c r="E46" i="44" s="1"/>
  <c r="N46" i="44"/>
  <c r="M46" i="44"/>
  <c r="L46" i="44"/>
  <c r="K46" i="44"/>
  <c r="A46" i="44" s="1"/>
  <c r="O45" i="44"/>
  <c r="N45" i="44"/>
  <c r="M45" i="44"/>
  <c r="L45" i="44"/>
  <c r="K45" i="44"/>
  <c r="A45" i="44" s="1"/>
  <c r="E45" i="44"/>
  <c r="O44" i="44"/>
  <c r="N44" i="44"/>
  <c r="M44" i="44"/>
  <c r="L44" i="44"/>
  <c r="K44" i="44"/>
  <c r="E44" i="44"/>
  <c r="A44" i="44"/>
  <c r="O42" i="44"/>
  <c r="E42" i="44" s="1"/>
  <c r="N42" i="44"/>
  <c r="M42" i="44"/>
  <c r="L42" i="44"/>
  <c r="K42" i="44"/>
  <c r="A42" i="44"/>
  <c r="O41" i="44"/>
  <c r="N41" i="44"/>
  <c r="M41" i="44"/>
  <c r="L41" i="44"/>
  <c r="K41" i="44"/>
  <c r="E41" i="44"/>
  <c r="A41" i="44"/>
  <c r="O40" i="44"/>
  <c r="E40" i="44" s="1"/>
  <c r="N40" i="44"/>
  <c r="M40" i="44"/>
  <c r="L40" i="44"/>
  <c r="K40" i="44"/>
  <c r="A40" i="44" s="1"/>
  <c r="O39" i="44"/>
  <c r="N39" i="44"/>
  <c r="M39" i="44"/>
  <c r="L39" i="44"/>
  <c r="K39" i="44"/>
  <c r="A39" i="44" s="1"/>
  <c r="E39" i="44"/>
  <c r="O38" i="44"/>
  <c r="N38" i="44"/>
  <c r="M38" i="44"/>
  <c r="L38" i="44"/>
  <c r="K38" i="44"/>
  <c r="E38" i="44"/>
  <c r="A38" i="44"/>
  <c r="O37" i="44"/>
  <c r="E37" i="44" s="1"/>
  <c r="N37" i="44"/>
  <c r="M37" i="44"/>
  <c r="L37" i="44"/>
  <c r="K37" i="44"/>
  <c r="A37" i="44"/>
  <c r="O35" i="44"/>
  <c r="N35" i="44"/>
  <c r="M35" i="44"/>
  <c r="L35" i="44"/>
  <c r="K35" i="44"/>
  <c r="E35" i="44"/>
  <c r="A35" i="44"/>
  <c r="O34" i="44"/>
  <c r="E34" i="44" s="1"/>
  <c r="N34" i="44"/>
  <c r="M34" i="44"/>
  <c r="L34" i="44"/>
  <c r="K34" i="44"/>
  <c r="A34" i="44" s="1"/>
  <c r="O33" i="44"/>
  <c r="N33" i="44"/>
  <c r="M33" i="44"/>
  <c r="L33" i="44"/>
  <c r="K33" i="44"/>
  <c r="A33" i="44" s="1"/>
  <c r="E33" i="44"/>
  <c r="O32" i="44"/>
  <c r="N32" i="44"/>
  <c r="M32" i="44"/>
  <c r="L32" i="44"/>
  <c r="K32" i="44"/>
  <c r="E32" i="44"/>
  <c r="A32" i="44"/>
  <c r="O31" i="44"/>
  <c r="E31" i="44" s="1"/>
  <c r="N31" i="44"/>
  <c r="M31" i="44"/>
  <c r="L31" i="44"/>
  <c r="K31" i="44"/>
  <c r="A31" i="44"/>
  <c r="O30" i="44"/>
  <c r="E30" i="44" s="1"/>
  <c r="N30" i="44"/>
  <c r="M30" i="44"/>
  <c r="L30" i="44"/>
  <c r="K30" i="44"/>
  <c r="A30" i="44"/>
  <c r="O28" i="44"/>
  <c r="E28" i="44" s="1"/>
  <c r="N28" i="44"/>
  <c r="M28" i="44"/>
  <c r="L28" i="44"/>
  <c r="K28" i="44"/>
  <c r="A28" i="44" s="1"/>
  <c r="O27" i="44"/>
  <c r="N27" i="44"/>
  <c r="M27" i="44"/>
  <c r="L27" i="44"/>
  <c r="K27" i="44"/>
  <c r="A27" i="44" s="1"/>
  <c r="E27" i="44"/>
  <c r="O26" i="44"/>
  <c r="N26" i="44"/>
  <c r="M26" i="44"/>
  <c r="L26" i="44"/>
  <c r="K26" i="44"/>
  <c r="E26" i="44"/>
  <c r="A26" i="44"/>
  <c r="O25" i="44"/>
  <c r="E25" i="44" s="1"/>
  <c r="N25" i="44"/>
  <c r="M25" i="44"/>
  <c r="L25" i="44"/>
  <c r="K25" i="44"/>
  <c r="A25" i="44" s="1"/>
  <c r="O24" i="44"/>
  <c r="N24" i="44"/>
  <c r="M24" i="44"/>
  <c r="L24" i="44"/>
  <c r="K24" i="44"/>
  <c r="A24" i="44" s="1"/>
  <c r="E24" i="44"/>
  <c r="O23" i="44"/>
  <c r="E23" i="44" s="1"/>
  <c r="N23" i="44"/>
  <c r="M23" i="44"/>
  <c r="L23" i="44"/>
  <c r="K23" i="44"/>
  <c r="A23" i="44"/>
  <c r="O21" i="44"/>
  <c r="N21" i="44"/>
  <c r="M21" i="44"/>
  <c r="L21" i="44"/>
  <c r="K21" i="44"/>
  <c r="A21" i="44" s="1"/>
  <c r="E21" i="44"/>
  <c r="O20" i="44"/>
  <c r="N20" i="44"/>
  <c r="M20" i="44"/>
  <c r="L20" i="44"/>
  <c r="K20" i="44"/>
  <c r="E20" i="44"/>
  <c r="A20" i="44"/>
  <c r="O19" i="44"/>
  <c r="E19" i="44" s="1"/>
  <c r="N19" i="44"/>
  <c r="M19" i="44"/>
  <c r="L19" i="44"/>
  <c r="K19" i="44"/>
  <c r="A19" i="44" s="1"/>
  <c r="O18" i="44"/>
  <c r="N18" i="44"/>
  <c r="M18" i="44"/>
  <c r="L18" i="44"/>
  <c r="K18" i="44"/>
  <c r="A18" i="44" s="1"/>
  <c r="E18" i="44"/>
  <c r="O17" i="44"/>
  <c r="E17" i="44" s="1"/>
  <c r="N17" i="44"/>
  <c r="M17" i="44"/>
  <c r="L17" i="44"/>
  <c r="K17" i="44"/>
  <c r="A17" i="44"/>
  <c r="O16" i="44"/>
  <c r="N16" i="44"/>
  <c r="M16" i="44"/>
  <c r="L16" i="44"/>
  <c r="K16" i="44"/>
  <c r="E16" i="44"/>
  <c r="A16" i="44"/>
  <c r="O14" i="44"/>
  <c r="E14" i="44" s="1"/>
  <c r="N14" i="44"/>
  <c r="M14" i="44"/>
  <c r="L14" i="44"/>
  <c r="K14" i="44"/>
  <c r="A14" i="44" s="1"/>
  <c r="O13" i="44"/>
  <c r="N13" i="44"/>
  <c r="M13" i="44"/>
  <c r="L13" i="44"/>
  <c r="K13" i="44"/>
  <c r="A13" i="44" s="1"/>
  <c r="E13" i="44"/>
  <c r="O12" i="44"/>
  <c r="N12" i="44"/>
  <c r="M12" i="44"/>
  <c r="L12" i="44"/>
  <c r="K12" i="44"/>
  <c r="E12" i="44"/>
  <c r="A12" i="44"/>
  <c r="Q11" i="44"/>
  <c r="P5" i="31" s="1"/>
  <c r="O11" i="44"/>
  <c r="E11" i="44" s="1"/>
  <c r="N11" i="44"/>
  <c r="M11" i="44"/>
  <c r="L11" i="44"/>
  <c r="K11" i="44"/>
  <c r="A11" i="44"/>
  <c r="O10" i="44"/>
  <c r="N10" i="44"/>
  <c r="M10" i="44"/>
  <c r="L10" i="44"/>
  <c r="K10" i="44"/>
  <c r="E10" i="44"/>
  <c r="A10" i="44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N6" i="44"/>
  <c r="M6" i="44"/>
  <c r="L6" i="44"/>
  <c r="K6" i="44"/>
  <c r="E6" i="44"/>
  <c r="A6" i="44"/>
  <c r="O5" i="44"/>
  <c r="E5" i="44" s="1"/>
  <c r="N5" i="44"/>
  <c r="M5" i="44"/>
  <c r="L5" i="44"/>
  <c r="K5" i="44"/>
  <c r="A5" i="44"/>
  <c r="O4" i="44"/>
  <c r="E4" i="44" s="1"/>
  <c r="N4" i="44"/>
  <c r="M4" i="44"/>
  <c r="L4" i="44"/>
  <c r="K4" i="44"/>
  <c r="A4" i="44" s="1"/>
  <c r="O3" i="44"/>
  <c r="N3" i="44"/>
  <c r="M3" i="44"/>
  <c r="L3" i="44"/>
  <c r="K3" i="44"/>
  <c r="E3" i="44"/>
  <c r="A3" i="44"/>
  <c r="O2" i="44"/>
  <c r="E2" i="44" s="1"/>
  <c r="N2" i="44"/>
  <c r="M2" i="44"/>
  <c r="L2" i="44"/>
  <c r="K2" i="44"/>
  <c r="A2" i="44"/>
  <c r="A75" i="3"/>
  <c r="E79" i="3"/>
  <c r="A79" i="3"/>
  <c r="A58" i="3"/>
  <c r="Q11" i="3"/>
  <c r="P3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L79" i="3"/>
  <c r="M79" i="3"/>
  <c r="N79" i="3"/>
  <c r="O79" i="3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C4" i="31"/>
  <c r="C5" i="31"/>
  <c r="C6" i="31"/>
  <c r="C7" i="31"/>
  <c r="C8" i="31"/>
  <c r="C9" i="31"/>
  <c r="C10" i="31"/>
  <c r="C11" i="31"/>
  <c r="C12" i="31"/>
  <c r="C13" i="31"/>
  <c r="C14" i="31"/>
  <c r="C16" i="31"/>
  <c r="C17" i="31"/>
  <c r="C18" i="31"/>
  <c r="C19" i="31"/>
  <c r="C20" i="31"/>
  <c r="C21" i="31"/>
  <c r="C3" i="3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L10" i="31" l="1"/>
  <c r="L11" i="31"/>
  <c r="L7" i="31"/>
  <c r="L6" i="31"/>
  <c r="L18" i="31"/>
  <c r="L12" i="31"/>
  <c r="L8" i="31"/>
  <c r="L21" i="31"/>
  <c r="L20" i="31"/>
  <c r="L19" i="31"/>
  <c r="L9" i="31"/>
  <c r="L17" i="31"/>
  <c r="L16" i="31"/>
  <c r="L3" i="31"/>
  <c r="L15" i="31"/>
  <c r="L13" i="31"/>
  <c r="P4" i="31"/>
  <c r="L5" i="31" s="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E3" i="31"/>
  <c r="H3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L4" i="31" l="1"/>
  <c r="L14" i="31"/>
  <c r="D15" i="31"/>
  <c r="D17" i="31"/>
  <c r="D21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<sst xmlns="http://schemas.openxmlformats.org/spreadsheetml/2006/main" count="4572" uniqueCount="262">
  <si>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</si>
  <si>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</si>
  <si>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</si>
  <si>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</si>
  <si>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</si>
  <si>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</si>
  <si>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</si>
  <si>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</si>
  <si>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</si>
  <si>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</si>
  <si>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</si>
  <si>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</si>
  <si>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</si>
  <si>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</si>
  <si>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</si>
  <si>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</si>
  <si>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</si>
  <si>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</si>
  <si>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</si>
  <si>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</si>
  <si>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</si>
  <si>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PAÍSES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</si>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</sst>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3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4"/>
      <color theme="0"/>
      <name val="ADLaM Display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1"/>
      <color theme="1" tint="0.499984740745262"/>
      <name val="ADLaM Display"/>
    </font>
    <font>
      <sz val="11"/>
      <color theme="0" tint="-0.499984740745262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0"/>
      <color rgb="FF0070C0"/>
      <name val="ADLaM Display"/>
    </font>
    <font>
      <sz val="10"/>
      <color rgb="FFFF0000"/>
      <name val="ADLaM Display"/>
    </font>
  </fonts>
  <fills count="1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</fills>
  <borders count="27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18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6" borderId="0" xfId="0" applyFont="1" applyFill="1" applyAlignment="1">
      <alignment horizontal="right" vertical="center"/>
    </xf>
    <xf numFmtId="0" fontId="0" fillId="16" borderId="0" xfId="0" applyFill="1" applyAlignment="1">
      <alignment horizontal="center" vertical="center"/>
    </xf>
    <xf numFmtId="0" fontId="0" fillId="16" borderId="0" xfId="0" applyFill="1" applyAlignment="1">
      <alignment horizontal="left" vertical="center"/>
    </xf>
    <xf numFmtId="0" fontId="0" fillId="16" borderId="0" xfId="0" applyFill="1" applyAlignment="1">
      <alignment vertical="center"/>
    </xf>
    <xf numFmtId="0" fontId="0" fillId="16" borderId="0" xfId="0" applyFill="1" applyAlignment="1">
      <alignment horizontal="right" vertical="center"/>
    </xf>
    <xf numFmtId="0" fontId="0" fillId="16" borderId="5" xfId="0" applyFill="1" applyBorder="1" applyAlignment="1">
      <alignment horizontal="right" vertical="center"/>
    </xf>
    <xf numFmtId="0" fontId="0" fillId="16" borderId="5" xfId="0" applyFill="1" applyBorder="1" applyAlignment="1">
      <alignment horizontal="center" vertical="center"/>
    </xf>
    <xf numFmtId="0" fontId="0" fillId="16" borderId="5" xfId="0" applyFill="1" applyBorder="1" applyAlignment="1">
      <alignment horizontal="left" vertical="center"/>
    </xf>
    <xf numFmtId="0" fontId="0" fillId="16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5" borderId="5" xfId="0" applyFill="1" applyBorder="1" applyAlignment="1">
      <alignment vertical="center"/>
    </xf>
    <xf numFmtId="0" fontId="9" fillId="15" borderId="5" xfId="0" applyFont="1" applyFill="1" applyBorder="1" applyAlignment="1">
      <alignment horizontal="left" vertical="center"/>
    </xf>
    <xf numFmtId="0" fontId="9" fillId="15" borderId="5" xfId="0" applyFont="1" applyFill="1" applyBorder="1" applyAlignment="1">
      <alignment vertical="center"/>
    </xf>
    <xf numFmtId="0" fontId="0" fillId="15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5" borderId="5" xfId="0" applyFont="1" applyFill="1" applyBorder="1" applyAlignment="1">
      <alignment horizontal="left" vertical="center"/>
    </xf>
    <xf numFmtId="0" fontId="12" fillId="15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6" borderId="4" xfId="0" applyFill="1" applyBorder="1" applyAlignment="1">
      <alignment horizontal="right" vertical="center"/>
    </xf>
    <xf numFmtId="0" fontId="14" fillId="16" borderId="5" xfId="0" applyFont="1" applyFill="1" applyBorder="1" applyAlignment="1">
      <alignment horizontal="center" vertical="center"/>
    </xf>
    <xf numFmtId="0" fontId="1" fillId="16" borderId="5" xfId="0" applyFont="1" applyFill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5" fillId="11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2" fillId="6" borderId="4" xfId="0" applyFont="1" applyFill="1" applyBorder="1" applyAlignment="1">
      <alignment horizontal="center" vertical="center"/>
    </xf>
    <xf numFmtId="0" fontId="22" fillId="6" borderId="5" xfId="0" applyFont="1" applyFill="1" applyBorder="1" applyAlignment="1">
      <alignment horizontal="center" vertical="center"/>
    </xf>
    <xf numFmtId="0" fontId="22" fillId="6" borderId="6" xfId="0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2" fillId="12" borderId="4" xfId="0" applyFont="1" applyFill="1" applyBorder="1" applyAlignment="1">
      <alignment horizontal="center" vertical="center"/>
    </xf>
    <xf numFmtId="0" fontId="22" fillId="12" borderId="5" xfId="0" applyFont="1" applyFill="1" applyBorder="1" applyAlignment="1">
      <alignment horizontal="center" vertical="center"/>
    </xf>
    <xf numFmtId="0" fontId="22" fillId="12" borderId="6" xfId="0" applyFont="1" applyFill="1" applyBorder="1" applyAlignment="1">
      <alignment horizontal="center" vertical="center"/>
    </xf>
    <xf numFmtId="0" fontId="22" fillId="13" borderId="4" xfId="0" applyFont="1" applyFill="1" applyBorder="1" applyAlignment="1">
      <alignment horizontal="center" vertical="center"/>
    </xf>
    <xf numFmtId="0" fontId="22" fillId="13" borderId="5" xfId="0" applyFont="1" applyFill="1" applyBorder="1" applyAlignment="1">
      <alignment horizontal="center" vertical="center"/>
    </xf>
    <xf numFmtId="0" fontId="22" fillId="13" borderId="6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/>
    </xf>
    <xf numFmtId="0" fontId="22" fillId="0" borderId="24" xfId="0" applyFont="1" applyBorder="1" applyAlignment="1">
      <alignment horizontal="right" vertical="center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9" fillId="2" borderId="0" xfId="0" applyFont="1" applyFill="1" applyAlignment="1">
      <alignment horizontal="center" vertical="center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31" fillId="11" borderId="6" xfId="0" applyFont="1" applyFill="1" applyBorder="1" applyAlignment="1">
      <alignment horizontal="center" vertical="center" wrapText="1"/>
    </xf>
    <xf numFmtId="0" fontId="32" fillId="11" borderId="5" xfId="0" applyFont="1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1" fillId="15" borderId="2" xfId="0" applyFont="1" applyFill="1" applyBorder="1" applyAlignment="1">
      <alignment horizontal="center" vertical="center"/>
    </xf>
    <xf numFmtId="0" fontId="21" fillId="15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13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5" borderId="13" xfId="0" applyFont="1" applyFill="1" applyBorder="1" applyAlignment="1">
      <alignment horizontal="center" vertical="center"/>
    </xf>
    <xf numFmtId="0" fontId="1" fillId="15" borderId="14" xfId="0" applyFont="1" applyFill="1" applyBorder="1" applyAlignment="1">
      <alignment horizontal="center" vertical="center"/>
    </xf>
    <xf numFmtId="0" fontId="1" fillId="15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5" borderId="0" xfId="0" applyFill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0" fillId="18" borderId="0" xfId="0" applyFill="1" applyAlignment="1">
      <alignment horizontal="right" vertical="center"/>
    </xf>
    <xf numFmtId="0" fontId="0" fillId="18" borderId="0" xfId="0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FFCC"/>
      <color rgb="FFFFFF99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A1"/>
  <sheetViews>
    <sheetView workbookViewId="0">
      <selection sqref="A1:XFD1048576"/>
    </sheetView>
  </sheetViews>
  <sheetFormatPr defaultColWidth="4" defaultRowHeight="14.4" x14ac:dyDescent="0.3"/>
  <sheetData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7"/>
  <sheetViews>
    <sheetView zoomScaleNormal="100" workbookViewId="0">
      <selection sqref="A1:E24"/>
    </sheetView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149</v>
      </c>
      <c r="B1" s="31" t="s">
        <v>150</v>
      </c>
      <c r="C1" s="31" t="s">
        <v>143</v>
      </c>
      <c r="D1" s="31" t="s">
        <v>144</v>
      </c>
      <c r="E1" s="31" t="s">
        <v>145</v>
      </c>
    </row>
    <row r="2" spans="1:37" x14ac:dyDescent="0.3">
      <c r="A2" s="32" t="s">
        <v>46</v>
      </c>
      <c r="B2" s="34" t="s">
        <v>8</v>
      </c>
      <c r="C2" s="37" t="s">
        <v>5</v>
      </c>
      <c r="D2" s="34" t="s">
        <v>96</v>
      </c>
      <c r="E2" s="34" t="s">
        <v>105</v>
      </c>
      <c r="I2" s="96" t="s">
        <v>185</v>
      </c>
      <c r="J2" s="96"/>
      <c r="K2" s="96"/>
      <c r="L2" s="96"/>
      <c r="M2" s="96"/>
      <c r="O2" s="96" t="s">
        <v>179</v>
      </c>
      <c r="P2" s="96"/>
      <c r="Q2" s="96"/>
      <c r="R2" s="96"/>
      <c r="S2" s="96"/>
      <c r="U2" s="96" t="s">
        <v>171</v>
      </c>
      <c r="V2" s="96"/>
      <c r="W2" s="96"/>
      <c r="X2" s="96"/>
      <c r="Y2" s="96"/>
      <c r="AA2" s="96" t="s">
        <v>163</v>
      </c>
      <c r="AB2" s="96"/>
      <c r="AC2" s="96"/>
      <c r="AD2" s="96"/>
      <c r="AE2" s="96"/>
      <c r="AG2" s="96" t="s">
        <v>153</v>
      </c>
      <c r="AH2" s="96"/>
      <c r="AI2" s="96"/>
      <c r="AJ2" s="96"/>
      <c r="AK2" s="96"/>
    </row>
    <row r="3" spans="1:37" x14ac:dyDescent="0.3">
      <c r="A3" s="33" t="s">
        <v>65</v>
      </c>
      <c r="B3" s="34" t="s">
        <v>8</v>
      </c>
      <c r="C3" s="34" t="s">
        <v>7</v>
      </c>
      <c r="D3" s="34" t="s">
        <v>96</v>
      </c>
      <c r="E3" s="37" t="s">
        <v>97</v>
      </c>
      <c r="I3" s="27" t="s">
        <v>9</v>
      </c>
      <c r="J3" s="28">
        <v>1</v>
      </c>
      <c r="K3" s="28" t="s">
        <v>34</v>
      </c>
      <c r="L3" s="28">
        <v>1</v>
      </c>
      <c r="M3" s="29" t="s">
        <v>15</v>
      </c>
      <c r="O3" s="27" t="s">
        <v>9</v>
      </c>
      <c r="P3" s="28">
        <v>0</v>
      </c>
      <c r="Q3" s="28" t="s">
        <v>34</v>
      </c>
      <c r="R3" s="28">
        <v>2</v>
      </c>
      <c r="S3" s="29" t="s">
        <v>15</v>
      </c>
      <c r="U3" s="27" t="s">
        <v>9</v>
      </c>
      <c r="V3" s="28">
        <v>1</v>
      </c>
      <c r="W3" s="28" t="s">
        <v>34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34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34</v>
      </c>
      <c r="AJ3" s="28">
        <v>1</v>
      </c>
      <c r="AK3" s="29" t="s">
        <v>15</v>
      </c>
    </row>
    <row r="4" spans="1:37" x14ac:dyDescent="0.3">
      <c r="A4" s="33" t="s">
        <v>66</v>
      </c>
      <c r="B4" s="34" t="s">
        <v>13</v>
      </c>
      <c r="C4" s="34" t="s">
        <v>8</v>
      </c>
      <c r="D4" s="34" t="s">
        <v>106</v>
      </c>
      <c r="E4" s="34" t="s">
        <v>96</v>
      </c>
      <c r="I4" s="97" t="s">
        <v>186</v>
      </c>
      <c r="J4" s="97"/>
      <c r="K4" s="97"/>
      <c r="L4" s="97"/>
      <c r="M4" s="97"/>
      <c r="O4" s="98" t="s">
        <v>180</v>
      </c>
      <c r="P4" s="98"/>
      <c r="Q4" s="98"/>
      <c r="R4" s="98"/>
      <c r="S4" s="98"/>
      <c r="U4" s="97" t="s">
        <v>172</v>
      </c>
      <c r="V4" s="97"/>
      <c r="W4" s="97"/>
      <c r="X4" s="97"/>
      <c r="Y4" s="97"/>
      <c r="AA4" s="98" t="s">
        <v>164</v>
      </c>
      <c r="AB4" s="98"/>
      <c r="AC4" s="98"/>
      <c r="AD4" s="98"/>
      <c r="AE4" s="98"/>
      <c r="AG4" s="97" t="s">
        <v>154</v>
      </c>
      <c r="AH4" s="97"/>
      <c r="AI4" s="97"/>
      <c r="AJ4" s="97"/>
      <c r="AK4" s="97"/>
    </row>
    <row r="5" spans="1:37" x14ac:dyDescent="0.3">
      <c r="A5" s="32" t="s">
        <v>45</v>
      </c>
      <c r="B5" s="39" t="s">
        <v>11</v>
      </c>
      <c r="C5" s="34" t="s">
        <v>7</v>
      </c>
      <c r="D5" s="37" t="s">
        <v>97</v>
      </c>
      <c r="E5" s="39" t="s">
        <v>99</v>
      </c>
      <c r="I5" s="27" t="s">
        <v>5</v>
      </c>
      <c r="J5" s="28">
        <v>1</v>
      </c>
      <c r="K5" s="28" t="s">
        <v>34</v>
      </c>
      <c r="L5" s="28">
        <v>0</v>
      </c>
      <c r="M5" s="29" t="s">
        <v>11</v>
      </c>
      <c r="O5" s="27" t="s">
        <v>5</v>
      </c>
      <c r="P5" s="28">
        <v>2</v>
      </c>
      <c r="Q5" s="28" t="s">
        <v>34</v>
      </c>
      <c r="R5" s="28">
        <v>2</v>
      </c>
      <c r="S5" s="29" t="s">
        <v>11</v>
      </c>
      <c r="U5" s="27" t="s">
        <v>5</v>
      </c>
      <c r="V5" s="28">
        <v>2</v>
      </c>
      <c r="W5" s="28" t="s">
        <v>34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34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34</v>
      </c>
      <c r="AJ5" s="28">
        <v>2</v>
      </c>
      <c r="AK5" s="29" t="s">
        <v>11</v>
      </c>
    </row>
    <row r="6" spans="1:37" x14ac:dyDescent="0.3">
      <c r="A6" s="38" t="s">
        <v>48</v>
      </c>
      <c r="B6" s="34" t="s">
        <v>8</v>
      </c>
      <c r="C6" s="37" t="s">
        <v>5</v>
      </c>
      <c r="D6" s="37" t="s">
        <v>97</v>
      </c>
      <c r="E6" s="39" t="s">
        <v>105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47</v>
      </c>
      <c r="B7" s="34" t="s">
        <v>8</v>
      </c>
      <c r="C7" s="37" t="s">
        <v>5</v>
      </c>
      <c r="D7" s="34" t="s">
        <v>96</v>
      </c>
      <c r="E7" s="39" t="s">
        <v>97</v>
      </c>
      <c r="I7" s="96" t="s">
        <v>183</v>
      </c>
      <c r="J7" s="96"/>
      <c r="K7" s="96"/>
      <c r="L7" s="96"/>
      <c r="M7" s="96"/>
      <c r="O7" s="96" t="s">
        <v>177</v>
      </c>
      <c r="P7" s="96"/>
      <c r="Q7" s="96"/>
      <c r="R7" s="96"/>
      <c r="S7" s="96"/>
      <c r="U7" s="96" t="s">
        <v>169</v>
      </c>
      <c r="V7" s="96"/>
      <c r="W7" s="96"/>
      <c r="X7" s="96"/>
      <c r="Y7" s="96"/>
      <c r="AA7" s="96" t="s">
        <v>161</v>
      </c>
      <c r="AB7" s="96"/>
      <c r="AC7" s="96"/>
      <c r="AD7" s="96"/>
      <c r="AE7" s="96"/>
      <c r="AG7" s="96" t="s">
        <v>151</v>
      </c>
      <c r="AH7" s="96"/>
      <c r="AI7" s="96"/>
      <c r="AJ7" s="96"/>
      <c r="AK7" s="96"/>
    </row>
    <row r="8" spans="1:37" x14ac:dyDescent="0.3">
      <c r="A8" s="33" t="s">
        <v>49</v>
      </c>
      <c r="B8" s="34" t="s">
        <v>8</v>
      </c>
      <c r="C8" s="39" t="s">
        <v>11</v>
      </c>
      <c r="D8" s="34" t="s">
        <v>106</v>
      </c>
      <c r="E8" s="39" t="s">
        <v>107</v>
      </c>
      <c r="I8" s="27" t="s">
        <v>9</v>
      </c>
      <c r="J8" s="28">
        <v>1</v>
      </c>
      <c r="K8" s="28" t="s">
        <v>34</v>
      </c>
      <c r="L8" s="28">
        <v>0</v>
      </c>
      <c r="M8" s="29" t="s">
        <v>15</v>
      </c>
      <c r="O8" s="27" t="s">
        <v>9</v>
      </c>
      <c r="P8" s="28">
        <v>2</v>
      </c>
      <c r="Q8" s="28" t="s">
        <v>34</v>
      </c>
      <c r="R8" s="28">
        <v>1</v>
      </c>
      <c r="S8" s="29" t="s">
        <v>15</v>
      </c>
      <c r="U8" s="27" t="s">
        <v>9</v>
      </c>
      <c r="V8" s="28">
        <v>1</v>
      </c>
      <c r="W8" s="28" t="s">
        <v>34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34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34</v>
      </c>
      <c r="AJ8" s="28">
        <v>2</v>
      </c>
      <c r="AK8" s="29" t="s">
        <v>15</v>
      </c>
    </row>
    <row r="9" spans="1:37" x14ac:dyDescent="0.3">
      <c r="A9" s="33" t="s">
        <v>50</v>
      </c>
      <c r="B9" s="34" t="s">
        <v>8</v>
      </c>
      <c r="C9" s="34" t="s">
        <v>10</v>
      </c>
      <c r="D9" s="34" t="s">
        <v>107</v>
      </c>
      <c r="E9" s="34" t="s">
        <v>106</v>
      </c>
      <c r="I9" s="98" t="s">
        <v>184</v>
      </c>
      <c r="J9" s="98"/>
      <c r="K9" s="98"/>
      <c r="L9" s="98"/>
      <c r="M9" s="98"/>
      <c r="O9" s="97" t="s">
        <v>178</v>
      </c>
      <c r="P9" s="97"/>
      <c r="Q9" s="97"/>
      <c r="R9" s="97"/>
      <c r="S9" s="97"/>
      <c r="U9" s="98" t="s">
        <v>170</v>
      </c>
      <c r="V9" s="98"/>
      <c r="W9" s="98"/>
      <c r="X9" s="98"/>
      <c r="Y9" s="98"/>
      <c r="AA9" s="97" t="s">
        <v>162</v>
      </c>
      <c r="AB9" s="97"/>
      <c r="AC9" s="97"/>
      <c r="AD9" s="97"/>
      <c r="AE9" s="97"/>
      <c r="AG9" s="98" t="s">
        <v>152</v>
      </c>
      <c r="AH9" s="98"/>
      <c r="AI9" s="98"/>
      <c r="AJ9" s="98"/>
      <c r="AK9" s="98"/>
    </row>
    <row r="10" spans="1:37" x14ac:dyDescent="0.3">
      <c r="A10" s="32" t="s">
        <v>51</v>
      </c>
      <c r="B10" s="34" t="s">
        <v>8</v>
      </c>
      <c r="C10" s="37" t="s">
        <v>5</v>
      </c>
      <c r="D10" s="39" t="s">
        <v>99</v>
      </c>
      <c r="E10" s="34" t="s">
        <v>105</v>
      </c>
      <c r="I10" s="27" t="s">
        <v>5</v>
      </c>
      <c r="J10" s="28">
        <v>2</v>
      </c>
      <c r="K10" s="28" t="s">
        <v>34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34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34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34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34</v>
      </c>
      <c r="AJ10" s="28">
        <v>1</v>
      </c>
      <c r="AK10" s="29" t="s">
        <v>11</v>
      </c>
    </row>
    <row r="11" spans="1:37" x14ac:dyDescent="0.3">
      <c r="A11" s="32" t="s">
        <v>52</v>
      </c>
      <c r="B11" s="34" t="s">
        <v>8</v>
      </c>
      <c r="C11" s="37" t="s">
        <v>5</v>
      </c>
      <c r="D11" s="34" t="s">
        <v>103</v>
      </c>
      <c r="E11" s="39" t="s">
        <v>99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53</v>
      </c>
      <c r="B12" s="34" t="s">
        <v>8</v>
      </c>
      <c r="C12" s="36" t="s">
        <v>11</v>
      </c>
      <c r="D12" s="34" t="s">
        <v>96</v>
      </c>
      <c r="E12" s="39" t="s">
        <v>99</v>
      </c>
      <c r="I12" s="96" t="s">
        <v>181</v>
      </c>
      <c r="J12" s="96"/>
      <c r="K12" s="96"/>
      <c r="L12" s="96"/>
      <c r="M12" s="96"/>
      <c r="O12" s="96" t="s">
        <v>175</v>
      </c>
      <c r="P12" s="96"/>
      <c r="Q12" s="96"/>
      <c r="R12" s="96"/>
      <c r="S12" s="96"/>
      <c r="U12" s="96" t="s">
        <v>167</v>
      </c>
      <c r="V12" s="96"/>
      <c r="W12" s="96"/>
      <c r="X12" s="96"/>
      <c r="Y12" s="96"/>
      <c r="AA12" s="96" t="s">
        <v>159</v>
      </c>
      <c r="AB12" s="96"/>
      <c r="AC12" s="96"/>
      <c r="AD12" s="96"/>
      <c r="AE12" s="96"/>
      <c r="AG12" s="96" t="s">
        <v>188</v>
      </c>
      <c r="AH12" s="96"/>
      <c r="AI12" s="96"/>
      <c r="AJ12" s="96"/>
      <c r="AK12" s="96"/>
    </row>
    <row r="13" spans="1:37" x14ac:dyDescent="0.3">
      <c r="A13" s="32" t="s">
        <v>54</v>
      </c>
      <c r="B13" s="34" t="s">
        <v>8</v>
      </c>
      <c r="C13" s="34" t="s">
        <v>4</v>
      </c>
      <c r="D13" s="37" t="s">
        <v>97</v>
      </c>
      <c r="E13" s="39" t="s">
        <v>102</v>
      </c>
      <c r="I13" s="27" t="s">
        <v>9</v>
      </c>
      <c r="J13" s="28">
        <v>2</v>
      </c>
      <c r="K13" s="28" t="s">
        <v>34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34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34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34</v>
      </c>
      <c r="AD13" s="28">
        <v>1</v>
      </c>
      <c r="AE13" s="29" t="s">
        <v>15</v>
      </c>
      <c r="AG13" s="30" t="s">
        <v>9</v>
      </c>
      <c r="AH13" s="28" t="s">
        <v>187</v>
      </c>
      <c r="AI13" s="28" t="s">
        <v>34</v>
      </c>
      <c r="AJ13" s="28" t="s">
        <v>187</v>
      </c>
      <c r="AK13" s="30" t="s">
        <v>15</v>
      </c>
    </row>
    <row r="14" spans="1:37" x14ac:dyDescent="0.3">
      <c r="A14" s="32" t="s">
        <v>55</v>
      </c>
      <c r="B14" s="34" t="s">
        <v>8</v>
      </c>
      <c r="C14" s="37" t="s">
        <v>5</v>
      </c>
      <c r="D14" s="34" t="s">
        <v>96</v>
      </c>
      <c r="E14" s="39" t="s">
        <v>100</v>
      </c>
      <c r="I14" s="97" t="s">
        <v>182</v>
      </c>
      <c r="J14" s="97"/>
      <c r="K14" s="97"/>
      <c r="L14" s="97"/>
      <c r="M14" s="97"/>
      <c r="O14" s="98" t="s">
        <v>176</v>
      </c>
      <c r="P14" s="98"/>
      <c r="Q14" s="98"/>
      <c r="R14" s="98"/>
      <c r="S14" s="98"/>
      <c r="U14" s="97" t="s">
        <v>168</v>
      </c>
      <c r="V14" s="97"/>
      <c r="W14" s="97"/>
      <c r="X14" s="97"/>
      <c r="Y14" s="97"/>
      <c r="AA14" s="98" t="s">
        <v>160</v>
      </c>
      <c r="AB14" s="98"/>
      <c r="AC14" s="98"/>
      <c r="AD14" s="98"/>
      <c r="AE14" s="98"/>
      <c r="AG14" s="97" t="s">
        <v>189</v>
      </c>
      <c r="AH14" s="97"/>
      <c r="AI14" s="97"/>
      <c r="AJ14" s="97"/>
      <c r="AK14" s="97"/>
    </row>
    <row r="15" spans="1:37" x14ac:dyDescent="0.3">
      <c r="A15" s="33" t="s">
        <v>56</v>
      </c>
      <c r="B15" s="34" t="s">
        <v>8</v>
      </c>
      <c r="C15" s="34" t="s">
        <v>12</v>
      </c>
      <c r="D15" s="34" t="s">
        <v>96</v>
      </c>
      <c r="E15" s="39" t="s">
        <v>99</v>
      </c>
      <c r="I15" s="27" t="s">
        <v>5</v>
      </c>
      <c r="J15" s="28">
        <v>1</v>
      </c>
      <c r="K15" s="28" t="s">
        <v>34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34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34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34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34</v>
      </c>
      <c r="AJ15" s="28">
        <v>2</v>
      </c>
      <c r="AK15" s="30" t="s">
        <v>11</v>
      </c>
    </row>
    <row r="16" spans="1:37" x14ac:dyDescent="0.3">
      <c r="A16" s="32" t="s">
        <v>57</v>
      </c>
      <c r="B16" s="34" t="s">
        <v>8</v>
      </c>
      <c r="C16" s="37" t="s">
        <v>5</v>
      </c>
      <c r="D16" s="34" t="s">
        <v>96</v>
      </c>
      <c r="E16" s="39" t="s">
        <v>100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58</v>
      </c>
      <c r="B17" s="34" t="s">
        <v>10</v>
      </c>
      <c r="C17" s="34" t="s">
        <v>6</v>
      </c>
      <c r="D17" s="34" t="s">
        <v>96</v>
      </c>
      <c r="E17" s="39" t="s">
        <v>101</v>
      </c>
      <c r="I17" s="96" t="s">
        <v>173</v>
      </c>
      <c r="J17" s="96"/>
      <c r="K17" s="96"/>
      <c r="L17" s="96"/>
      <c r="M17" s="96"/>
      <c r="O17" s="96" t="s">
        <v>165</v>
      </c>
      <c r="P17" s="96"/>
      <c r="Q17" s="96"/>
      <c r="R17" s="96"/>
      <c r="S17" s="96"/>
      <c r="U17" s="96" t="s">
        <v>157</v>
      </c>
      <c r="V17" s="96"/>
      <c r="W17" s="96"/>
      <c r="X17" s="96"/>
      <c r="Y17" s="96"/>
      <c r="AA17" s="96" t="s">
        <v>155</v>
      </c>
      <c r="AB17" s="96"/>
      <c r="AC17" s="96"/>
      <c r="AD17" s="96"/>
      <c r="AE17" s="96"/>
      <c r="AG17" s="96" t="s">
        <v>190</v>
      </c>
      <c r="AH17" s="96"/>
      <c r="AI17" s="96"/>
      <c r="AJ17" s="96"/>
      <c r="AK17" s="96"/>
    </row>
    <row r="18" spans="1:37" x14ac:dyDescent="0.3">
      <c r="A18" s="33" t="s">
        <v>59</v>
      </c>
      <c r="B18" s="34" t="s">
        <v>8</v>
      </c>
      <c r="C18" s="34" t="s">
        <v>12</v>
      </c>
      <c r="D18" s="34" t="s">
        <v>102</v>
      </c>
      <c r="E18" s="39" t="s">
        <v>99</v>
      </c>
      <c r="I18" s="27" t="s">
        <v>9</v>
      </c>
      <c r="J18" s="28">
        <v>2</v>
      </c>
      <c r="K18" s="28" t="s">
        <v>34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34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34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34</v>
      </c>
      <c r="AD18" s="28">
        <v>1</v>
      </c>
      <c r="AE18" s="29" t="s">
        <v>15</v>
      </c>
      <c r="AG18" s="30" t="s">
        <v>9</v>
      </c>
      <c r="AH18" s="28" t="s">
        <v>187</v>
      </c>
      <c r="AI18" s="28" t="s">
        <v>34</v>
      </c>
      <c r="AJ18" s="28" t="s">
        <v>187</v>
      </c>
      <c r="AK18" s="30" t="s">
        <v>15</v>
      </c>
    </row>
    <row r="19" spans="1:37" x14ac:dyDescent="0.3">
      <c r="A19" s="33" t="s">
        <v>60</v>
      </c>
      <c r="B19" s="34" t="s">
        <v>8</v>
      </c>
      <c r="C19" s="34" t="s">
        <v>35</v>
      </c>
      <c r="D19" s="34" t="s">
        <v>96</v>
      </c>
      <c r="E19" s="39" t="s">
        <v>104</v>
      </c>
      <c r="I19" s="98" t="s">
        <v>174</v>
      </c>
      <c r="J19" s="98"/>
      <c r="K19" s="98"/>
      <c r="L19" s="98"/>
      <c r="M19" s="98"/>
      <c r="O19" s="97" t="s">
        <v>166</v>
      </c>
      <c r="P19" s="97"/>
      <c r="Q19" s="97"/>
      <c r="R19" s="97"/>
      <c r="S19" s="97"/>
      <c r="U19" s="98" t="s">
        <v>158</v>
      </c>
      <c r="V19" s="98"/>
      <c r="W19" s="98"/>
      <c r="X19" s="98"/>
      <c r="Y19" s="98"/>
      <c r="AA19" s="97" t="s">
        <v>156</v>
      </c>
      <c r="AB19" s="97"/>
      <c r="AC19" s="97"/>
      <c r="AD19" s="97"/>
      <c r="AE19" s="97"/>
      <c r="AG19" s="98" t="s">
        <v>191</v>
      </c>
      <c r="AH19" s="98"/>
      <c r="AI19" s="98"/>
      <c r="AJ19" s="98"/>
      <c r="AK19" s="98"/>
    </row>
    <row r="20" spans="1:37" x14ac:dyDescent="0.3">
      <c r="A20" s="32" t="s">
        <v>67</v>
      </c>
      <c r="B20" s="34" t="s">
        <v>8</v>
      </c>
      <c r="C20" s="34" t="s">
        <v>12</v>
      </c>
      <c r="D20" s="34" t="s">
        <v>96</v>
      </c>
      <c r="E20" s="37" t="s">
        <v>99</v>
      </c>
      <c r="I20" s="27" t="s">
        <v>5</v>
      </c>
      <c r="J20" s="28">
        <v>1</v>
      </c>
      <c r="K20" s="28" t="s">
        <v>34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34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34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34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34</v>
      </c>
      <c r="AJ20" s="28">
        <v>1</v>
      </c>
      <c r="AK20" s="30" t="s">
        <v>11</v>
      </c>
    </row>
    <row r="21" spans="1:37" x14ac:dyDescent="0.3">
      <c r="A21" s="32" t="s">
        <v>61</v>
      </c>
      <c r="B21" s="35" t="s">
        <v>8</v>
      </c>
      <c r="C21" s="40" t="s">
        <v>11</v>
      </c>
      <c r="D21" s="35" t="s">
        <v>96</v>
      </c>
      <c r="E21" s="38" t="s">
        <v>97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62</v>
      </c>
      <c r="B22" s="35" t="s">
        <v>8</v>
      </c>
      <c r="C22" s="40" t="s">
        <v>17</v>
      </c>
      <c r="D22" s="35" t="s">
        <v>100</v>
      </c>
      <c r="E22" s="38" t="s">
        <v>97</v>
      </c>
      <c r="I22" s="96" t="s">
        <v>192</v>
      </c>
      <c r="J22" s="96"/>
      <c r="K22" s="96"/>
      <c r="L22" s="96"/>
      <c r="M22" s="96"/>
      <c r="O22" s="96" t="s">
        <v>194</v>
      </c>
      <c r="P22" s="96"/>
      <c r="Q22" s="96"/>
      <c r="R22" s="96"/>
      <c r="S22" s="96"/>
    </row>
    <row r="23" spans="1:37" x14ac:dyDescent="0.3">
      <c r="A23" s="32" t="s">
        <v>63</v>
      </c>
      <c r="B23" s="35" t="s">
        <v>8</v>
      </c>
      <c r="C23" s="40" t="s">
        <v>11</v>
      </c>
      <c r="D23" s="38" t="s">
        <v>97</v>
      </c>
      <c r="E23" s="40" t="s">
        <v>99</v>
      </c>
      <c r="I23" s="27" t="s">
        <v>9</v>
      </c>
      <c r="J23" s="28" t="s">
        <v>187</v>
      </c>
      <c r="K23" s="28" t="s">
        <v>34</v>
      </c>
      <c r="L23" s="28" t="s">
        <v>187</v>
      </c>
      <c r="M23" s="29" t="s">
        <v>15</v>
      </c>
      <c r="O23" s="30" t="s">
        <v>9</v>
      </c>
      <c r="P23" s="28" t="s">
        <v>187</v>
      </c>
      <c r="Q23" s="28" t="s">
        <v>34</v>
      </c>
      <c r="R23" s="28" t="s">
        <v>187</v>
      </c>
      <c r="S23" s="30" t="s">
        <v>15</v>
      </c>
    </row>
    <row r="24" spans="1:37" x14ac:dyDescent="0.3">
      <c r="A24" s="33" t="s">
        <v>64</v>
      </c>
      <c r="B24" s="35" t="s">
        <v>8</v>
      </c>
      <c r="C24" s="35" t="s">
        <v>10</v>
      </c>
      <c r="D24" s="35" t="s">
        <v>98</v>
      </c>
      <c r="E24" s="40" t="s">
        <v>99</v>
      </c>
      <c r="I24" s="97" t="s">
        <v>193</v>
      </c>
      <c r="J24" s="97"/>
      <c r="K24" s="97"/>
      <c r="L24" s="97"/>
      <c r="M24" s="97"/>
      <c r="O24" s="98" t="s">
        <v>195</v>
      </c>
      <c r="P24" s="98"/>
      <c r="Q24" s="98"/>
      <c r="R24" s="98"/>
      <c r="S24" s="98"/>
    </row>
    <row r="25" spans="1:37" x14ac:dyDescent="0.3">
      <c r="I25" s="27" t="s">
        <v>5</v>
      </c>
      <c r="J25" s="28">
        <v>1</v>
      </c>
      <c r="K25" s="28" t="s">
        <v>34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34</v>
      </c>
      <c r="R25" s="28">
        <v>3</v>
      </c>
      <c r="S25" s="30" t="s">
        <v>11</v>
      </c>
    </row>
    <row r="86" spans="15:19" x14ac:dyDescent="0.3">
      <c r="O86" s="26"/>
      <c r="P86" s="23"/>
      <c r="Q86" s="23"/>
      <c r="R86" s="23"/>
      <c r="S86" s="24"/>
    </row>
    <row r="87" spans="15:19" x14ac:dyDescent="0.3">
      <c r="O87" s="26"/>
      <c r="P87" s="23"/>
      <c r="Q87" s="23"/>
      <c r="R87" s="23"/>
      <c r="S87" s="24"/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400"/>
  <sheetViews>
    <sheetView showGridLines="0" zoomScale="90" zoomScaleNormal="90" workbookViewId="0">
      <pane ySplit="2" topLeftCell="A3" activePane="bottomLeft" state="frozen"/>
      <selection pane="bottomLeft" activeCell="B2" sqref="B2"/>
    </sheetView>
  </sheetViews>
  <sheetFormatPr defaultColWidth="9.109375" defaultRowHeight="15.6" x14ac:dyDescent="0.3"/>
  <cols>
    <col min="1" max="1" width="1.5546875" style="60" customWidth="1"/>
    <col min="2" max="2" width="7.88671875" style="83" customWidth="1"/>
    <col min="3" max="3" width="20.88671875" style="83" bestFit="1" customWidth="1"/>
    <col min="4" max="4" width="20" style="83" customWidth="1"/>
    <col min="5" max="9" width="20" style="60" customWidth="1"/>
    <col min="10" max="10" width="2.6640625" style="60" customWidth="1"/>
    <col min="11" max="11" width="19.109375" style="60" bestFit="1" customWidth="1"/>
    <col min="12" max="12" width="6.109375" style="60" customWidth="1"/>
    <col min="13" max="13" width="6.44140625" style="60" customWidth="1"/>
    <col min="14" max="14" width="5.6640625" style="60" customWidth="1"/>
    <col min="15" max="15" width="12.109375" style="60" bestFit="1" customWidth="1"/>
    <col min="16" max="16" width="5.6640625" style="83" customWidth="1"/>
    <col min="17" max="21" width="5.6640625" style="84" customWidth="1"/>
    <col min="22" max="27" width="5.6640625" style="60" customWidth="1"/>
    <col min="28" max="16384" width="9.109375" style="60"/>
  </cols>
  <sheetData>
    <row r="1" spans="2:24" ht="21.75" customHeight="1" thickTop="1" x14ac:dyDescent="0.3">
      <c r="B1" s="102" t="s">
        <v>248</v>
      </c>
      <c r="C1" s="103"/>
      <c r="D1" s="103"/>
      <c r="E1" s="103"/>
      <c r="F1" s="103"/>
      <c r="G1" s="103"/>
      <c r="H1" s="103"/>
      <c r="I1" s="104"/>
      <c r="M1" s="100"/>
      <c r="N1" s="100"/>
      <c r="O1" s="100"/>
      <c r="P1" s="101"/>
      <c r="Q1" s="101"/>
      <c r="R1" s="101"/>
      <c r="S1" s="100"/>
      <c r="T1" s="100"/>
      <c r="U1" s="100"/>
      <c r="V1" s="101"/>
      <c r="W1" s="101"/>
      <c r="X1" s="101"/>
    </row>
    <row r="2" spans="2:24" s="63" customFormat="1" ht="51" customHeight="1" x14ac:dyDescent="0.3">
      <c r="B2" s="62"/>
      <c r="C2" s="91" t="s">
        <v>87</v>
      </c>
      <c r="D2" s="94" t="s">
        <v>33</v>
      </c>
      <c r="E2" s="92" t="s">
        <v>88</v>
      </c>
      <c r="F2" s="94" t="s">
        <v>91</v>
      </c>
      <c r="G2" s="92" t="s">
        <v>89</v>
      </c>
      <c r="H2" s="94" t="s">
        <v>92</v>
      </c>
      <c r="I2" s="93" t="s">
        <v>90</v>
      </c>
      <c r="Q2" s="64"/>
      <c r="R2" s="64"/>
      <c r="S2" s="64"/>
      <c r="T2" s="64"/>
      <c r="U2" s="64"/>
    </row>
    <row r="3" spans="2:24" x14ac:dyDescent="0.3">
      <c r="B3" s="65" t="s">
        <v>68</v>
      </c>
      <c r="C3" s="66" t="str">
        <f t="shared" ref="C3:C21" si="0">K3</f>
        <v>Ivan</v>
      </c>
      <c r="D3" s="66">
        <f t="shared" ref="D3:D21" si="1">VLOOKUP(C3,O$3:U$21,2,0)</f>
        <v>0</v>
      </c>
      <c r="E3" s="66">
        <f t="shared" ref="E3:E21" si="2">VLOOKUP(C3,O$3:U$21,3,0)</f>
        <v>0</v>
      </c>
      <c r="F3" s="66">
        <f t="shared" ref="F3:F21" si="3">VLOOKUP(C3,O$3:U$21,4,0)</f>
        <v>0</v>
      </c>
      <c r="G3" s="66">
        <f t="shared" ref="G3:G21" si="4">VLOOKUP(C3,O$3:U$21,5,0)</f>
        <v>0</v>
      </c>
      <c r="H3" s="66">
        <f t="shared" ref="H3:H21" si="5">VLOOKUP(C3,O$3:U$21,6,0)</f>
        <v>0</v>
      </c>
      <c r="I3" s="67">
        <f>VLOOKUP(C3,O$3:U$21,7,0)</f>
        <v>1</v>
      </c>
      <c r="K3" s="60" t="str">
        <f>O3</f>
        <v>Ivan</v>
      </c>
      <c r="L3" s="60">
        <f t="shared" ref="L3:L21" si="6">P3</f>
        <v>0</v>
      </c>
      <c r="O3" s="68" t="s">
        <v>244</v>
      </c>
      <c r="P3" s="69">
        <f>'1.Ivan'!Q$11</f>
        <v>0</v>
      </c>
      <c r="Q3" s="18"/>
      <c r="R3" s="18"/>
      <c r="S3" s="18"/>
      <c r="T3" s="18"/>
      <c r="U3" s="18">
        <v>1</v>
      </c>
      <c r="V3" s="70"/>
    </row>
    <row r="4" spans="2:24" x14ac:dyDescent="0.3">
      <c r="B4" s="71" t="s">
        <v>69</v>
      </c>
      <c r="C4" s="72" t="str">
        <f t="shared" si="0"/>
        <v>Sérginho</v>
      </c>
      <c r="D4" s="72">
        <f t="shared" si="1"/>
        <v>0</v>
      </c>
      <c r="E4" s="72">
        <f t="shared" si="2"/>
        <v>0</v>
      </c>
      <c r="F4" s="72">
        <f t="shared" si="3"/>
        <v>0</v>
      </c>
      <c r="G4" s="72">
        <f t="shared" si="4"/>
        <v>0</v>
      </c>
      <c r="H4" s="72">
        <f t="shared" si="5"/>
        <v>0</v>
      </c>
      <c r="I4" s="73">
        <f t="shared" ref="I4:I21" si="7">VLOOKUP(C4,O$3:U$21,7,0)</f>
        <v>1</v>
      </c>
      <c r="K4" s="60" t="str">
        <f t="shared" ref="K4:K21" si="8">O4</f>
        <v>Sérginho</v>
      </c>
      <c r="L4" s="60">
        <f t="shared" si="6"/>
        <v>0</v>
      </c>
      <c r="O4" s="68" t="s">
        <v>235</v>
      </c>
      <c r="P4" s="69">
        <f>'2.Sérginho'!Q$11</f>
        <v>0</v>
      </c>
      <c r="Q4" s="18"/>
      <c r="R4" s="18"/>
      <c r="S4" s="18"/>
      <c r="T4" s="18"/>
      <c r="U4" s="18">
        <v>1</v>
      </c>
      <c r="V4" s="70"/>
    </row>
    <row r="5" spans="2:24" x14ac:dyDescent="0.3">
      <c r="B5" s="74" t="s">
        <v>70</v>
      </c>
      <c r="C5" s="75" t="str">
        <f t="shared" si="0"/>
        <v>Jean</v>
      </c>
      <c r="D5" s="75">
        <f t="shared" si="1"/>
        <v>0</v>
      </c>
      <c r="E5" s="75">
        <f t="shared" si="2"/>
        <v>0</v>
      </c>
      <c r="F5" s="75">
        <f t="shared" si="3"/>
        <v>0</v>
      </c>
      <c r="G5" s="75">
        <f t="shared" si="4"/>
        <v>0</v>
      </c>
      <c r="H5" s="75">
        <f t="shared" si="5"/>
        <v>0</v>
      </c>
      <c r="I5" s="76">
        <f t="shared" si="7"/>
        <v>1</v>
      </c>
      <c r="K5" s="60" t="str">
        <f t="shared" si="8"/>
        <v>Jean</v>
      </c>
      <c r="L5" s="60">
        <f t="shared" si="6"/>
        <v>0</v>
      </c>
      <c r="O5" s="68" t="s">
        <v>54</v>
      </c>
      <c r="P5" s="69">
        <f>'3.Jean'!Q$11</f>
        <v>0</v>
      </c>
      <c r="Q5" s="18"/>
      <c r="R5" s="18"/>
      <c r="S5" s="18"/>
      <c r="T5" s="18"/>
      <c r="U5" s="18">
        <v>1</v>
      </c>
      <c r="V5" s="70"/>
    </row>
    <row r="6" spans="2:24" x14ac:dyDescent="0.3">
      <c r="B6" s="77" t="s">
        <v>71</v>
      </c>
      <c r="C6" s="78" t="str">
        <f t="shared" si="0"/>
        <v>Macélio Henrique</v>
      </c>
      <c r="D6" s="78">
        <f t="shared" si="1"/>
        <v>10</v>
      </c>
      <c r="E6" s="78">
        <f t="shared" si="2"/>
        <v>0</v>
      </c>
      <c r="F6" s="78">
        <f t="shared" si="3"/>
        <v>0</v>
      </c>
      <c r="G6" s="78">
        <f t="shared" si="4"/>
        <v>1</v>
      </c>
      <c r="H6" s="78">
        <f t="shared" si="5"/>
        <v>0</v>
      </c>
      <c r="I6" s="79">
        <f t="shared" si="7"/>
        <v>0</v>
      </c>
      <c r="K6" s="60" t="str">
        <f t="shared" si="8"/>
        <v>Macélio Henrique</v>
      </c>
      <c r="L6" s="60">
        <f t="shared" si="6"/>
        <v>10</v>
      </c>
      <c r="O6" s="68" t="s">
        <v>236</v>
      </c>
      <c r="P6" s="69">
        <f>'4.Macélio Henrique'!Q11</f>
        <v>10</v>
      </c>
      <c r="Q6" s="18"/>
      <c r="R6" s="18"/>
      <c r="S6" s="18">
        <v>1</v>
      </c>
      <c r="T6" s="18"/>
      <c r="U6" s="18">
        <v>0</v>
      </c>
      <c r="V6" s="70"/>
    </row>
    <row r="7" spans="2:24" x14ac:dyDescent="0.3">
      <c r="B7" s="77" t="s">
        <v>72</v>
      </c>
      <c r="C7" s="78" t="str">
        <f t="shared" si="0"/>
        <v>Macélio</v>
      </c>
      <c r="D7" s="78">
        <f t="shared" si="1"/>
        <v>0</v>
      </c>
      <c r="E7" s="78">
        <f t="shared" si="2"/>
        <v>0</v>
      </c>
      <c r="F7" s="78">
        <f t="shared" si="3"/>
        <v>0</v>
      </c>
      <c r="G7" s="78">
        <f t="shared" si="4"/>
        <v>0</v>
      </c>
      <c r="H7" s="78">
        <f t="shared" si="5"/>
        <v>0</v>
      </c>
      <c r="I7" s="79">
        <f t="shared" si="7"/>
        <v>1</v>
      </c>
      <c r="K7" s="60" t="str">
        <f t="shared" si="8"/>
        <v>Macélio</v>
      </c>
      <c r="L7" s="60">
        <f t="shared" si="6"/>
        <v>0</v>
      </c>
      <c r="O7" s="68" t="s">
        <v>46</v>
      </c>
      <c r="P7" s="69">
        <f>'5.Macélio'!Q11</f>
        <v>0</v>
      </c>
      <c r="Q7" s="18"/>
      <c r="R7" s="18"/>
      <c r="S7" s="18"/>
      <c r="T7" s="18"/>
      <c r="U7" s="18">
        <v>1</v>
      </c>
      <c r="V7" s="70"/>
    </row>
    <row r="8" spans="2:24" x14ac:dyDescent="0.3">
      <c r="B8" s="77" t="s">
        <v>73</v>
      </c>
      <c r="C8" s="78" t="str">
        <f t="shared" si="0"/>
        <v>Mateus Aires</v>
      </c>
      <c r="D8" s="78">
        <f t="shared" si="1"/>
        <v>5</v>
      </c>
      <c r="E8" s="78">
        <f t="shared" si="2"/>
        <v>0</v>
      </c>
      <c r="F8" s="78">
        <f t="shared" si="3"/>
        <v>0</v>
      </c>
      <c r="G8" s="78">
        <f t="shared" si="4"/>
        <v>0</v>
      </c>
      <c r="H8" s="78">
        <f t="shared" si="5"/>
        <v>1</v>
      </c>
      <c r="I8" s="79">
        <f t="shared" si="7"/>
        <v>0</v>
      </c>
      <c r="K8" s="60" t="str">
        <f t="shared" si="8"/>
        <v>Mateus Aires</v>
      </c>
      <c r="L8" s="60">
        <f t="shared" si="6"/>
        <v>5</v>
      </c>
      <c r="O8" s="68" t="s">
        <v>245</v>
      </c>
      <c r="P8" s="69">
        <f>'6.Mateus Aires'!Q11</f>
        <v>5</v>
      </c>
      <c r="Q8" s="18"/>
      <c r="R8" s="18"/>
      <c r="S8" s="18"/>
      <c r="T8" s="18">
        <v>1</v>
      </c>
      <c r="U8" s="18">
        <v>0</v>
      </c>
      <c r="V8" s="70"/>
    </row>
    <row r="9" spans="2:24" x14ac:dyDescent="0.3">
      <c r="B9" s="77" t="s">
        <v>74</v>
      </c>
      <c r="C9" s="78" t="str">
        <f t="shared" si="0"/>
        <v>Bruno</v>
      </c>
      <c r="D9" s="78">
        <f t="shared" si="1"/>
        <v>0</v>
      </c>
      <c r="E9" s="78">
        <f t="shared" si="2"/>
        <v>0</v>
      </c>
      <c r="F9" s="78">
        <f t="shared" si="3"/>
        <v>0</v>
      </c>
      <c r="G9" s="78">
        <f t="shared" si="4"/>
        <v>0</v>
      </c>
      <c r="H9" s="78">
        <f t="shared" si="5"/>
        <v>0</v>
      </c>
      <c r="I9" s="79">
        <f t="shared" si="7"/>
        <v>1</v>
      </c>
      <c r="K9" s="60" t="str">
        <f t="shared" si="8"/>
        <v>Bruno</v>
      </c>
      <c r="L9" s="60">
        <f t="shared" si="6"/>
        <v>0</v>
      </c>
      <c r="O9" s="68" t="s">
        <v>249</v>
      </c>
      <c r="P9" s="69">
        <f>'7.Bruno'!Q11</f>
        <v>0</v>
      </c>
      <c r="Q9" s="18"/>
      <c r="R9" s="18"/>
      <c r="S9" s="18"/>
      <c r="T9" s="18"/>
      <c r="U9" s="18">
        <v>1</v>
      </c>
      <c r="V9" s="70"/>
    </row>
    <row r="10" spans="2:24" x14ac:dyDescent="0.3">
      <c r="B10" s="77" t="s">
        <v>75</v>
      </c>
      <c r="C10" s="78" t="str">
        <f t="shared" si="0"/>
        <v>Naldinho</v>
      </c>
      <c r="D10" s="78">
        <f t="shared" si="1"/>
        <v>5</v>
      </c>
      <c r="E10" s="78">
        <f t="shared" si="2"/>
        <v>0</v>
      </c>
      <c r="F10" s="78">
        <f t="shared" si="3"/>
        <v>0</v>
      </c>
      <c r="G10" s="78">
        <f t="shared" si="4"/>
        <v>0</v>
      </c>
      <c r="H10" s="78">
        <f t="shared" si="5"/>
        <v>1</v>
      </c>
      <c r="I10" s="79">
        <f t="shared" si="7"/>
        <v>0</v>
      </c>
      <c r="K10" s="60" t="str">
        <f t="shared" si="8"/>
        <v>Naldinho</v>
      </c>
      <c r="L10" s="60">
        <f t="shared" si="6"/>
        <v>5</v>
      </c>
      <c r="O10" s="68" t="s">
        <v>238</v>
      </c>
      <c r="P10" s="69">
        <f>'8.Naldinho'!Q11</f>
        <v>5</v>
      </c>
      <c r="Q10" s="18"/>
      <c r="R10" s="18"/>
      <c r="S10" s="18"/>
      <c r="T10" s="18">
        <v>1</v>
      </c>
      <c r="U10" s="18">
        <v>0</v>
      </c>
      <c r="V10" s="70"/>
    </row>
    <row r="11" spans="2:24" x14ac:dyDescent="0.3">
      <c r="B11" s="77" t="s">
        <v>76</v>
      </c>
      <c r="C11" s="78" t="str">
        <f t="shared" si="0"/>
        <v>Julio Santos</v>
      </c>
      <c r="D11" s="78">
        <f t="shared" si="1"/>
        <v>5</v>
      </c>
      <c r="E11" s="78">
        <f t="shared" si="2"/>
        <v>0</v>
      </c>
      <c r="F11" s="78">
        <f t="shared" si="3"/>
        <v>0</v>
      </c>
      <c r="G11" s="78">
        <f t="shared" si="4"/>
        <v>0</v>
      </c>
      <c r="H11" s="78">
        <f t="shared" si="5"/>
        <v>1</v>
      </c>
      <c r="I11" s="79">
        <f t="shared" si="7"/>
        <v>0</v>
      </c>
      <c r="K11" s="60" t="str">
        <f t="shared" si="8"/>
        <v>Julio Santos</v>
      </c>
      <c r="L11" s="60">
        <f t="shared" si="6"/>
        <v>5</v>
      </c>
      <c r="O11" s="68" t="s">
        <v>237</v>
      </c>
      <c r="P11" s="69">
        <f>'9.Julio Santos'!Q11</f>
        <v>5</v>
      </c>
      <c r="Q11" s="18"/>
      <c r="R11" s="18"/>
      <c r="S11" s="18"/>
      <c r="T11" s="18">
        <v>1</v>
      </c>
      <c r="U11" s="18">
        <v>0</v>
      </c>
      <c r="V11" s="70"/>
    </row>
    <row r="12" spans="2:24" x14ac:dyDescent="0.3">
      <c r="B12" s="77" t="s">
        <v>77</v>
      </c>
      <c r="C12" s="78" t="str">
        <f t="shared" si="0"/>
        <v>Joseir</v>
      </c>
      <c r="D12" s="78">
        <f t="shared" si="1"/>
        <v>5</v>
      </c>
      <c r="E12" s="78">
        <f t="shared" si="2"/>
        <v>0</v>
      </c>
      <c r="F12" s="78">
        <f t="shared" si="3"/>
        <v>0</v>
      </c>
      <c r="G12" s="78">
        <f t="shared" si="4"/>
        <v>0</v>
      </c>
      <c r="H12" s="78">
        <f t="shared" si="5"/>
        <v>1</v>
      </c>
      <c r="I12" s="79">
        <f t="shared" si="7"/>
        <v>0</v>
      </c>
      <c r="K12" s="60" t="str">
        <f t="shared" si="8"/>
        <v>Joseir</v>
      </c>
      <c r="L12" s="60">
        <f t="shared" si="6"/>
        <v>5</v>
      </c>
      <c r="O12" s="68" t="s">
        <v>240</v>
      </c>
      <c r="P12" s="69">
        <f>'10.Joseir'!Q11</f>
        <v>5</v>
      </c>
      <c r="Q12" s="18"/>
      <c r="R12" s="18"/>
      <c r="S12" s="18"/>
      <c r="T12" s="18">
        <v>1</v>
      </c>
      <c r="U12" s="18">
        <v>0</v>
      </c>
      <c r="V12" s="70"/>
    </row>
    <row r="13" spans="2:24" x14ac:dyDescent="0.3">
      <c r="B13" s="77" t="s">
        <v>78</v>
      </c>
      <c r="C13" s="78" t="str">
        <f t="shared" si="0"/>
        <v>Juninho</v>
      </c>
      <c r="D13" s="78">
        <f t="shared" si="1"/>
        <v>10</v>
      </c>
      <c r="E13" s="78">
        <f t="shared" si="2"/>
        <v>0</v>
      </c>
      <c r="F13" s="78">
        <f t="shared" si="3"/>
        <v>0</v>
      </c>
      <c r="G13" s="78">
        <f t="shared" si="4"/>
        <v>1</v>
      </c>
      <c r="H13" s="78">
        <f t="shared" si="5"/>
        <v>0</v>
      </c>
      <c r="I13" s="79">
        <f t="shared" si="7"/>
        <v>0</v>
      </c>
      <c r="K13" s="60" t="str">
        <f t="shared" si="8"/>
        <v>Juninho</v>
      </c>
      <c r="L13" s="60">
        <f t="shared" si="6"/>
        <v>10</v>
      </c>
      <c r="O13" s="68" t="s">
        <v>239</v>
      </c>
      <c r="P13" s="69">
        <f>'11.Juninho'!Q11</f>
        <v>10</v>
      </c>
      <c r="Q13" s="18"/>
      <c r="R13" s="18"/>
      <c r="S13" s="18">
        <v>1</v>
      </c>
      <c r="T13" s="18"/>
      <c r="U13" s="18">
        <v>0</v>
      </c>
      <c r="V13" s="70"/>
    </row>
    <row r="14" spans="2:24" x14ac:dyDescent="0.3">
      <c r="B14" s="77" t="s">
        <v>79</v>
      </c>
      <c r="C14" s="78" t="str">
        <f t="shared" si="0"/>
        <v>Ivani</v>
      </c>
      <c r="D14" s="78">
        <f t="shared" si="1"/>
        <v>10</v>
      </c>
      <c r="E14" s="78">
        <f t="shared" si="2"/>
        <v>0</v>
      </c>
      <c r="F14" s="78">
        <f t="shared" si="3"/>
        <v>0</v>
      </c>
      <c r="G14" s="78">
        <f t="shared" si="4"/>
        <v>1</v>
      </c>
      <c r="H14" s="78">
        <f t="shared" si="5"/>
        <v>0</v>
      </c>
      <c r="I14" s="79">
        <f t="shared" si="7"/>
        <v>0</v>
      </c>
      <c r="K14" s="60" t="str">
        <f t="shared" si="8"/>
        <v>Ivani</v>
      </c>
      <c r="L14" s="60">
        <f t="shared" si="6"/>
        <v>10</v>
      </c>
      <c r="O14" s="68" t="s">
        <v>60</v>
      </c>
      <c r="P14" s="69">
        <f>'12.Ivani'!Q11</f>
        <v>10</v>
      </c>
      <c r="Q14" s="18"/>
      <c r="R14" s="18"/>
      <c r="S14" s="18">
        <v>1</v>
      </c>
      <c r="T14" s="18"/>
      <c r="U14" s="18">
        <v>0</v>
      </c>
      <c r="V14" s="70"/>
    </row>
    <row r="15" spans="2:24" x14ac:dyDescent="0.3">
      <c r="B15" s="77" t="s">
        <v>80</v>
      </c>
      <c r="C15" s="78" t="str">
        <f t="shared" si="0"/>
        <v>Manoel</v>
      </c>
      <c r="D15" s="78">
        <f t="shared" si="1"/>
        <v>0</v>
      </c>
      <c r="E15" s="78">
        <f t="shared" si="2"/>
        <v>0</v>
      </c>
      <c r="F15" s="78">
        <f t="shared" si="3"/>
        <v>0</v>
      </c>
      <c r="G15" s="78">
        <f t="shared" si="4"/>
        <v>0</v>
      </c>
      <c r="H15" s="78">
        <f t="shared" si="5"/>
        <v>0</v>
      </c>
      <c r="I15" s="79">
        <f t="shared" si="7"/>
        <v>1</v>
      </c>
      <c r="K15" s="60" t="str">
        <f t="shared" si="8"/>
        <v>Manoel</v>
      </c>
      <c r="L15" s="60">
        <f t="shared" si="6"/>
        <v>0</v>
      </c>
      <c r="O15" s="68" t="s">
        <v>241</v>
      </c>
      <c r="P15" s="69">
        <f>'13.Manoel'!Q11</f>
        <v>0</v>
      </c>
      <c r="Q15" s="18"/>
      <c r="R15" s="18"/>
      <c r="S15" s="18"/>
      <c r="T15" s="18"/>
      <c r="U15" s="18">
        <v>1</v>
      </c>
      <c r="V15" s="70"/>
    </row>
    <row r="16" spans="2:24" x14ac:dyDescent="0.3">
      <c r="B16" s="77" t="s">
        <v>81</v>
      </c>
      <c r="C16" s="78" t="str">
        <f t="shared" si="0"/>
        <v>Mateus Henrique</v>
      </c>
      <c r="D16" s="78">
        <f t="shared" si="1"/>
        <v>0</v>
      </c>
      <c r="E16" s="78">
        <f t="shared" si="2"/>
        <v>0</v>
      </c>
      <c r="F16" s="78">
        <f t="shared" si="3"/>
        <v>0</v>
      </c>
      <c r="G16" s="78">
        <f t="shared" si="4"/>
        <v>0</v>
      </c>
      <c r="H16" s="78">
        <f t="shared" si="5"/>
        <v>0</v>
      </c>
      <c r="I16" s="79">
        <f t="shared" si="7"/>
        <v>1</v>
      </c>
      <c r="K16" s="60" t="str">
        <f t="shared" si="8"/>
        <v>Mateus Henrique</v>
      </c>
      <c r="L16" s="60">
        <f t="shared" si="6"/>
        <v>0</v>
      </c>
      <c r="O16" s="68" t="s">
        <v>247</v>
      </c>
      <c r="P16" s="69">
        <f>'14.Mateus Henrique'!Q11</f>
        <v>0</v>
      </c>
      <c r="Q16" s="18"/>
      <c r="R16" s="18"/>
      <c r="S16" s="18"/>
      <c r="T16" s="18"/>
      <c r="U16" s="18">
        <v>1</v>
      </c>
      <c r="V16" s="70"/>
    </row>
    <row r="17" spans="2:22" x14ac:dyDescent="0.3">
      <c r="B17" s="77" t="s">
        <v>82</v>
      </c>
      <c r="C17" s="78" t="str">
        <f t="shared" si="0"/>
        <v>Gabriel</v>
      </c>
      <c r="D17" s="78">
        <f t="shared" si="1"/>
        <v>0</v>
      </c>
      <c r="E17" s="78">
        <f t="shared" si="2"/>
        <v>0</v>
      </c>
      <c r="F17" s="78">
        <f t="shared" si="3"/>
        <v>0</v>
      </c>
      <c r="G17" s="78">
        <f t="shared" si="4"/>
        <v>0</v>
      </c>
      <c r="H17" s="78">
        <f t="shared" si="5"/>
        <v>0</v>
      </c>
      <c r="I17" s="79">
        <f t="shared" si="7"/>
        <v>1</v>
      </c>
      <c r="K17" s="60" t="str">
        <f t="shared" si="8"/>
        <v>Gabriel</v>
      </c>
      <c r="L17" s="60">
        <f t="shared" si="6"/>
        <v>0</v>
      </c>
      <c r="O17" s="68" t="s">
        <v>48</v>
      </c>
      <c r="P17" s="69">
        <f>'15.Gabriel'!Q11</f>
        <v>0</v>
      </c>
      <c r="Q17" s="18"/>
      <c r="R17" s="18"/>
      <c r="S17" s="18"/>
      <c r="T17" s="18"/>
      <c r="U17" s="18">
        <v>1</v>
      </c>
      <c r="V17" s="70"/>
    </row>
    <row r="18" spans="2:22" x14ac:dyDescent="0.3">
      <c r="B18" s="77" t="s">
        <v>83</v>
      </c>
      <c r="C18" s="78" t="str">
        <f t="shared" si="0"/>
        <v>Marcel</v>
      </c>
      <c r="D18" s="78">
        <f t="shared" si="1"/>
        <v>0</v>
      </c>
      <c r="E18" s="78">
        <f t="shared" si="2"/>
        <v>0</v>
      </c>
      <c r="F18" s="78">
        <f t="shared" si="3"/>
        <v>0</v>
      </c>
      <c r="G18" s="78">
        <f t="shared" si="4"/>
        <v>0</v>
      </c>
      <c r="H18" s="78">
        <f t="shared" si="5"/>
        <v>0</v>
      </c>
      <c r="I18" s="79">
        <f t="shared" si="7"/>
        <v>1</v>
      </c>
      <c r="K18" s="60" t="str">
        <f t="shared" si="8"/>
        <v>Marcel</v>
      </c>
      <c r="L18" s="60">
        <f t="shared" si="6"/>
        <v>0</v>
      </c>
      <c r="O18" s="68" t="s">
        <v>242</v>
      </c>
      <c r="P18" s="69">
        <f>'16.Marcel'!Q11</f>
        <v>0</v>
      </c>
      <c r="Q18" s="18"/>
      <c r="R18" s="18"/>
      <c r="S18" s="18"/>
      <c r="T18" s="18"/>
      <c r="U18" s="18">
        <v>1</v>
      </c>
      <c r="V18" s="70"/>
    </row>
    <row r="19" spans="2:22" x14ac:dyDescent="0.3">
      <c r="B19" s="77" t="s">
        <v>84</v>
      </c>
      <c r="C19" s="78" t="str">
        <f t="shared" si="0"/>
        <v>Luana</v>
      </c>
      <c r="D19" s="78">
        <f t="shared" si="1"/>
        <v>10</v>
      </c>
      <c r="E19" s="78">
        <f t="shared" si="2"/>
        <v>0</v>
      </c>
      <c r="F19" s="78">
        <f t="shared" si="3"/>
        <v>0</v>
      </c>
      <c r="G19" s="78">
        <f t="shared" si="4"/>
        <v>1</v>
      </c>
      <c r="H19" s="78">
        <f t="shared" si="5"/>
        <v>0</v>
      </c>
      <c r="I19" s="79">
        <f t="shared" si="7"/>
        <v>0</v>
      </c>
      <c r="K19" s="60" t="str">
        <f t="shared" si="8"/>
        <v>Luana</v>
      </c>
      <c r="L19" s="60">
        <f t="shared" si="6"/>
        <v>10</v>
      </c>
      <c r="O19" s="68" t="s">
        <v>51</v>
      </c>
      <c r="P19" s="69">
        <f>'17.Luana'!Q11</f>
        <v>10</v>
      </c>
      <c r="Q19" s="18"/>
      <c r="R19" s="18"/>
      <c r="S19" s="18">
        <v>1</v>
      </c>
      <c r="T19" s="18"/>
      <c r="U19" s="18">
        <v>0</v>
      </c>
      <c r="V19" s="70"/>
    </row>
    <row r="20" spans="2:22" x14ac:dyDescent="0.3">
      <c r="B20" s="77" t="s">
        <v>85</v>
      </c>
      <c r="C20" s="78" t="str">
        <f t="shared" si="0"/>
        <v>Julio Oliveira</v>
      </c>
      <c r="D20" s="78">
        <f t="shared" si="1"/>
        <v>5</v>
      </c>
      <c r="E20" s="78">
        <f t="shared" si="2"/>
        <v>0</v>
      </c>
      <c r="F20" s="78">
        <f t="shared" si="3"/>
        <v>0</v>
      </c>
      <c r="G20" s="78">
        <f t="shared" si="4"/>
        <v>0</v>
      </c>
      <c r="H20" s="78">
        <f t="shared" si="5"/>
        <v>1</v>
      </c>
      <c r="I20" s="79">
        <f t="shared" si="7"/>
        <v>0</v>
      </c>
      <c r="K20" s="60" t="str">
        <f t="shared" si="8"/>
        <v>Julio Oliveira</v>
      </c>
      <c r="L20" s="60">
        <f t="shared" si="6"/>
        <v>5</v>
      </c>
      <c r="O20" s="68" t="s">
        <v>243</v>
      </c>
      <c r="P20" s="69">
        <f>'18.Julio Oliveira'!Q11</f>
        <v>5</v>
      </c>
      <c r="Q20" s="18"/>
      <c r="R20" s="18"/>
      <c r="S20" s="18"/>
      <c r="T20" s="18">
        <v>1</v>
      </c>
      <c r="U20" s="18">
        <v>0</v>
      </c>
      <c r="V20" s="70"/>
    </row>
    <row r="21" spans="2:22" ht="16.2" thickBot="1" x14ac:dyDescent="0.35">
      <c r="B21" s="80" t="s">
        <v>86</v>
      </c>
      <c r="C21" s="81" t="str">
        <f t="shared" si="0"/>
        <v>Miguel</v>
      </c>
      <c r="D21" s="81">
        <f t="shared" si="1"/>
        <v>5</v>
      </c>
      <c r="E21" s="81">
        <f t="shared" si="2"/>
        <v>0</v>
      </c>
      <c r="F21" s="81">
        <f t="shared" si="3"/>
        <v>0</v>
      </c>
      <c r="G21" s="81">
        <f t="shared" si="4"/>
        <v>0</v>
      </c>
      <c r="H21" s="81">
        <f t="shared" si="5"/>
        <v>1</v>
      </c>
      <c r="I21" s="82">
        <f t="shared" si="7"/>
        <v>0</v>
      </c>
      <c r="K21" s="60" t="str">
        <f t="shared" si="8"/>
        <v>Miguel</v>
      </c>
      <c r="L21" s="60">
        <f t="shared" si="6"/>
        <v>5</v>
      </c>
      <c r="O21" s="68" t="s">
        <v>246</v>
      </c>
      <c r="P21" s="69">
        <f>'19.Miguel'!Q11</f>
        <v>5</v>
      </c>
      <c r="Q21" s="18"/>
      <c r="R21" s="18"/>
      <c r="S21" s="18"/>
      <c r="T21" s="18">
        <v>1</v>
      </c>
      <c r="U21" s="18">
        <v>0</v>
      </c>
      <c r="V21" s="70"/>
    </row>
    <row r="22" spans="2:22" ht="16.2" thickTop="1" x14ac:dyDescent="0.3">
      <c r="P22" s="69"/>
    </row>
    <row r="23" spans="2:22" ht="16.2" thickBot="1" x14ac:dyDescent="0.35"/>
    <row r="24" spans="2:22" ht="18" thickTop="1" thickBot="1" x14ac:dyDescent="0.35">
      <c r="B24" s="85"/>
      <c r="C24" s="86" t="s">
        <v>204</v>
      </c>
      <c r="D24" s="87">
        <v>6</v>
      </c>
      <c r="E24" s="87" t="s">
        <v>34</v>
      </c>
      <c r="F24" s="87">
        <v>0</v>
      </c>
      <c r="G24" s="88" t="s">
        <v>205</v>
      </c>
      <c r="H24" s="61"/>
      <c r="I24" s="89"/>
    </row>
    <row r="25" spans="2:22" ht="16.2" thickTop="1" x14ac:dyDescent="0.3">
      <c r="B25" s="84"/>
    </row>
    <row r="26" spans="2:22" x14ac:dyDescent="0.3">
      <c r="B26" s="84"/>
    </row>
    <row r="27" spans="2:22" ht="16.8" x14ac:dyDescent="0.3">
      <c r="E27" s="85"/>
      <c r="F27" s="61"/>
      <c r="G27" s="90" t="s">
        <v>148</v>
      </c>
      <c r="H27" s="61"/>
      <c r="I27" s="89"/>
    </row>
    <row r="28" spans="2:22" ht="16.8" x14ac:dyDescent="0.3">
      <c r="E28" s="85"/>
      <c r="F28" s="61"/>
      <c r="G28" s="61"/>
      <c r="H28" s="61"/>
      <c r="I28" s="89"/>
    </row>
    <row r="29" spans="2:22" ht="16.8" x14ac:dyDescent="0.3">
      <c r="E29" s="85"/>
      <c r="F29" s="61"/>
      <c r="G29" s="61"/>
      <c r="H29" s="61"/>
      <c r="I29" s="89"/>
    </row>
    <row r="30" spans="2:22" ht="16.8" x14ac:dyDescent="0.3">
      <c r="E30" s="85"/>
      <c r="F30" s="61"/>
      <c r="G30" s="61"/>
      <c r="H30" s="61"/>
      <c r="I30" s="89"/>
    </row>
    <row r="31" spans="2:22" ht="16.8" x14ac:dyDescent="0.3">
      <c r="E31" s="85"/>
      <c r="F31" s="61"/>
      <c r="G31" s="61"/>
      <c r="H31" s="61"/>
      <c r="I31" s="89"/>
    </row>
    <row r="32" spans="2:22" ht="16.8" x14ac:dyDescent="0.3">
      <c r="E32" s="85"/>
      <c r="F32" s="61"/>
      <c r="G32" s="61"/>
      <c r="H32" s="61"/>
      <c r="I32" s="89"/>
    </row>
    <row r="33" spans="5:9" ht="16.8" x14ac:dyDescent="0.3">
      <c r="E33" s="85"/>
      <c r="F33" s="61"/>
      <c r="G33" s="61"/>
      <c r="H33" s="61"/>
      <c r="I33" s="89"/>
    </row>
    <row r="34" spans="5:9" ht="16.8" x14ac:dyDescent="0.3">
      <c r="E34" s="85"/>
      <c r="F34" s="61"/>
      <c r="G34" s="61"/>
      <c r="H34" s="61"/>
      <c r="I34" s="89"/>
    </row>
    <row r="35" spans="5:9" ht="16.8" x14ac:dyDescent="0.3">
      <c r="E35" s="85"/>
      <c r="F35" s="61"/>
      <c r="G35" s="61"/>
      <c r="H35" s="61"/>
      <c r="I35" s="89"/>
    </row>
    <row r="36" spans="5:9" ht="16.8" x14ac:dyDescent="0.3">
      <c r="E36" s="85"/>
      <c r="F36" s="61"/>
      <c r="G36" s="61"/>
      <c r="H36" s="61"/>
      <c r="I36" s="89"/>
    </row>
    <row r="37" spans="5:9" ht="16.8" x14ac:dyDescent="0.3">
      <c r="E37" s="85"/>
      <c r="F37" s="61"/>
      <c r="G37" s="61"/>
      <c r="H37" s="61"/>
      <c r="I37" s="89"/>
    </row>
    <row r="38" spans="5:9" ht="16.8" x14ac:dyDescent="0.3">
      <c r="E38" s="85"/>
      <c r="F38" s="61"/>
      <c r="G38" s="61"/>
      <c r="H38" s="61"/>
      <c r="I38" s="89"/>
    </row>
    <row r="39" spans="5:9" ht="16.8" x14ac:dyDescent="0.3">
      <c r="E39" s="85"/>
      <c r="F39" s="61"/>
      <c r="G39" s="61"/>
      <c r="H39" s="61"/>
      <c r="I39" s="89"/>
    </row>
    <row r="40" spans="5:9" ht="16.8" x14ac:dyDescent="0.3">
      <c r="E40" s="85"/>
      <c r="F40" s="61"/>
      <c r="G40" s="61"/>
      <c r="H40" s="61"/>
      <c r="I40" s="89"/>
    </row>
    <row r="41" spans="5:9" ht="16.8" x14ac:dyDescent="0.3">
      <c r="E41" s="85"/>
      <c r="F41" s="61"/>
      <c r="G41" s="61"/>
      <c r="H41" s="61"/>
      <c r="I41" s="89"/>
    </row>
    <row r="42" spans="5:9" ht="16.8" x14ac:dyDescent="0.3">
      <c r="E42" s="85"/>
      <c r="F42" s="61"/>
      <c r="G42" s="61"/>
      <c r="H42" s="61"/>
      <c r="I42" s="89"/>
    </row>
    <row r="43" spans="5:9" ht="16.8" x14ac:dyDescent="0.3">
      <c r="E43" s="85"/>
      <c r="F43" s="61"/>
      <c r="G43" s="61"/>
      <c r="H43" s="61"/>
      <c r="I43" s="89"/>
    </row>
    <row r="44" spans="5:9" ht="16.8" x14ac:dyDescent="0.3">
      <c r="E44" s="85"/>
      <c r="F44" s="61"/>
      <c r="G44" s="61"/>
      <c r="H44" s="61"/>
      <c r="I44" s="89"/>
    </row>
    <row r="45" spans="5:9" ht="16.8" x14ac:dyDescent="0.3">
      <c r="E45" s="85"/>
      <c r="F45" s="61"/>
      <c r="G45" s="61"/>
      <c r="H45" s="61"/>
      <c r="I45" s="89"/>
    </row>
    <row r="46" spans="5:9" ht="16.8" x14ac:dyDescent="0.3">
      <c r="E46" s="85"/>
      <c r="F46" s="61"/>
      <c r="G46" s="61"/>
      <c r="H46" s="61"/>
      <c r="I46" s="89"/>
    </row>
    <row r="47" spans="5:9" ht="16.8" x14ac:dyDescent="0.3">
      <c r="E47" s="85"/>
      <c r="F47" s="61"/>
      <c r="G47" s="61"/>
      <c r="H47" s="61"/>
      <c r="I47" s="89"/>
    </row>
    <row r="48" spans="5:9" ht="16.8" x14ac:dyDescent="0.3">
      <c r="E48" s="85"/>
      <c r="F48" s="61"/>
      <c r="G48" s="61"/>
      <c r="H48" s="61"/>
      <c r="I48" s="89"/>
    </row>
    <row r="49" spans="2:10" ht="16.8" x14ac:dyDescent="0.3">
      <c r="E49" s="85"/>
      <c r="F49" s="61"/>
      <c r="G49" s="61"/>
      <c r="H49" s="61"/>
      <c r="I49" s="89"/>
    </row>
    <row r="50" spans="2:10" ht="16.8" x14ac:dyDescent="0.3">
      <c r="E50" s="85"/>
      <c r="F50" s="61"/>
      <c r="G50" s="61"/>
      <c r="H50" s="61"/>
      <c r="I50" s="89"/>
    </row>
    <row r="51" spans="2:10" ht="16.8" x14ac:dyDescent="0.3">
      <c r="E51" s="85"/>
      <c r="F51" s="61"/>
      <c r="G51" s="61"/>
      <c r="H51" s="61"/>
      <c r="I51" s="89"/>
    </row>
    <row r="52" spans="2:10" ht="16.8" x14ac:dyDescent="0.3">
      <c r="E52" s="85"/>
      <c r="F52" s="61"/>
      <c r="G52" s="61"/>
      <c r="H52" s="61"/>
      <c r="I52" s="89"/>
    </row>
    <row r="53" spans="2:10" ht="16.8" x14ac:dyDescent="0.3">
      <c r="E53" s="85"/>
      <c r="F53" s="61"/>
      <c r="G53" s="61"/>
      <c r="H53" s="61"/>
      <c r="I53" s="89"/>
    </row>
    <row r="54" spans="2:10" ht="16.8" x14ac:dyDescent="0.3">
      <c r="E54" s="85"/>
      <c r="F54" s="61"/>
      <c r="G54" s="61"/>
      <c r="H54" s="61"/>
      <c r="I54" s="89"/>
    </row>
    <row r="55" spans="2:10" ht="16.8" x14ac:dyDescent="0.3">
      <c r="E55" s="85"/>
      <c r="F55" s="61"/>
      <c r="G55" s="61"/>
      <c r="H55" s="61"/>
      <c r="I55" s="89"/>
    </row>
    <row r="56" spans="2:10" ht="16.8" x14ac:dyDescent="0.3">
      <c r="E56" s="85"/>
      <c r="F56" s="61"/>
      <c r="G56" s="61"/>
      <c r="H56" s="61"/>
      <c r="I56" s="89"/>
    </row>
    <row r="57" spans="2:10" ht="16.8" x14ac:dyDescent="0.3">
      <c r="E57" s="85"/>
      <c r="F57" s="61"/>
      <c r="G57" s="61"/>
      <c r="H57" s="61"/>
      <c r="I57" s="89"/>
    </row>
    <row r="62" spans="2:10" x14ac:dyDescent="0.3">
      <c r="B62" s="99"/>
      <c r="C62" s="99"/>
      <c r="D62" s="99"/>
      <c r="E62" s="83"/>
      <c r="F62" s="83"/>
      <c r="G62" s="83"/>
      <c r="H62" s="99"/>
      <c r="I62" s="99"/>
      <c r="J62" s="99"/>
    </row>
    <row r="68" spans="2:10" x14ac:dyDescent="0.3">
      <c r="B68" s="99"/>
      <c r="C68" s="99"/>
      <c r="D68" s="99"/>
      <c r="E68" s="83"/>
      <c r="F68" s="83"/>
      <c r="G68" s="83"/>
      <c r="H68" s="99"/>
      <c r="I68" s="99"/>
      <c r="J68" s="99"/>
    </row>
    <row r="74" spans="2:10" x14ac:dyDescent="0.3">
      <c r="B74" s="99"/>
      <c r="C74" s="99"/>
      <c r="D74" s="99"/>
      <c r="E74" s="83"/>
      <c r="F74" s="83"/>
      <c r="G74" s="83"/>
      <c r="H74" s="99"/>
      <c r="I74" s="99"/>
      <c r="J74" s="99"/>
    </row>
    <row r="80" spans="2:10" x14ac:dyDescent="0.3">
      <c r="B80" s="99"/>
      <c r="C80" s="99"/>
      <c r="D80" s="99"/>
      <c r="E80" s="83"/>
      <c r="F80" s="83"/>
      <c r="G80" s="83"/>
      <c r="H80" s="99"/>
      <c r="I80" s="99"/>
      <c r="J80" s="99"/>
    </row>
    <row r="81" spans="2:10" x14ac:dyDescent="0.3">
      <c r="B81" s="99"/>
      <c r="C81" s="99"/>
      <c r="D81" s="99"/>
      <c r="E81" s="83"/>
      <c r="F81" s="83"/>
      <c r="G81" s="83"/>
      <c r="H81" s="99"/>
      <c r="I81" s="99"/>
      <c r="J81" s="99"/>
    </row>
    <row r="86" spans="2:10" x14ac:dyDescent="0.3">
      <c r="B86" s="99"/>
      <c r="C86" s="99"/>
      <c r="D86" s="99"/>
      <c r="E86" s="83"/>
      <c r="F86" s="83"/>
      <c r="G86" s="83"/>
      <c r="H86" s="99"/>
      <c r="I86" s="99"/>
      <c r="J86" s="99"/>
    </row>
    <row r="87" spans="2:10" x14ac:dyDescent="0.3">
      <c r="B87" s="99"/>
      <c r="C87" s="99"/>
      <c r="D87" s="99"/>
      <c r="E87" s="83"/>
      <c r="F87" s="83"/>
      <c r="G87" s="83"/>
      <c r="H87" s="99"/>
      <c r="I87" s="99"/>
      <c r="J87" s="99"/>
    </row>
    <row r="92" spans="2:10" x14ac:dyDescent="0.3">
      <c r="B92" s="99"/>
      <c r="C92" s="99"/>
      <c r="D92" s="99"/>
      <c r="E92" s="83"/>
      <c r="F92" s="83"/>
      <c r="G92" s="83"/>
      <c r="H92" s="99"/>
      <c r="I92" s="99"/>
      <c r="J92" s="99"/>
    </row>
    <row r="98" spans="2:10" x14ac:dyDescent="0.3">
      <c r="B98" s="99"/>
      <c r="C98" s="99"/>
      <c r="D98" s="99"/>
      <c r="E98" s="83"/>
      <c r="F98" s="83"/>
      <c r="G98" s="83"/>
      <c r="H98" s="99"/>
      <c r="I98" s="99"/>
      <c r="J98" s="99"/>
    </row>
    <row r="104" spans="2:10" x14ac:dyDescent="0.3">
      <c r="B104" s="99"/>
      <c r="C104" s="99"/>
      <c r="D104" s="99"/>
      <c r="E104" s="83"/>
      <c r="F104" s="83"/>
      <c r="G104" s="83"/>
      <c r="H104" s="99"/>
      <c r="I104" s="99"/>
      <c r="J104" s="99"/>
    </row>
    <row r="105" spans="2:10" x14ac:dyDescent="0.3">
      <c r="B105" s="99"/>
      <c r="C105" s="99"/>
      <c r="D105" s="99"/>
      <c r="E105" s="83"/>
      <c r="F105" s="83"/>
      <c r="G105" s="83"/>
      <c r="H105" s="99"/>
      <c r="I105" s="99"/>
      <c r="J105" s="99"/>
    </row>
    <row r="110" spans="2:10" x14ac:dyDescent="0.3">
      <c r="B110" s="99"/>
      <c r="C110" s="99"/>
      <c r="D110" s="99"/>
      <c r="E110" s="83"/>
      <c r="F110" s="83"/>
      <c r="G110" s="83"/>
      <c r="H110" s="99"/>
      <c r="I110" s="99"/>
      <c r="J110" s="99"/>
    </row>
    <row r="111" spans="2:10" x14ac:dyDescent="0.3">
      <c r="B111" s="99"/>
      <c r="C111" s="99"/>
      <c r="D111" s="99"/>
      <c r="E111" s="83"/>
      <c r="F111" s="83"/>
      <c r="G111" s="83"/>
      <c r="H111" s="99"/>
      <c r="I111" s="99"/>
      <c r="J111" s="99"/>
    </row>
    <row r="112" spans="2:10" x14ac:dyDescent="0.3">
      <c r="B112" s="99"/>
      <c r="C112" s="99"/>
      <c r="D112" s="99"/>
      <c r="E112" s="83"/>
      <c r="F112" s="83"/>
      <c r="G112" s="83"/>
      <c r="H112" s="99"/>
      <c r="I112" s="99"/>
      <c r="J112" s="99"/>
    </row>
    <row r="116" spans="2:10" x14ac:dyDescent="0.3">
      <c r="B116" s="99"/>
      <c r="C116" s="99"/>
      <c r="D116" s="99"/>
      <c r="E116" s="83"/>
      <c r="F116" s="83"/>
      <c r="G116" s="83"/>
      <c r="H116" s="99"/>
      <c r="I116" s="99"/>
      <c r="J116" s="99"/>
    </row>
    <row r="117" spans="2:10" x14ac:dyDescent="0.3">
      <c r="B117" s="99"/>
      <c r="C117" s="99"/>
      <c r="D117" s="99"/>
      <c r="E117" s="83"/>
      <c r="F117" s="83"/>
      <c r="G117" s="83"/>
      <c r="H117" s="99"/>
      <c r="I117" s="99"/>
      <c r="J117" s="99"/>
    </row>
    <row r="122" spans="2:10" x14ac:dyDescent="0.3">
      <c r="B122" s="99"/>
      <c r="C122" s="99"/>
      <c r="D122" s="99"/>
      <c r="E122" s="83"/>
      <c r="F122" s="83"/>
      <c r="G122" s="83"/>
      <c r="H122" s="99"/>
      <c r="I122" s="99"/>
      <c r="J122" s="99"/>
    </row>
    <row r="128" spans="2:10" x14ac:dyDescent="0.3">
      <c r="B128" s="99"/>
      <c r="C128" s="99"/>
      <c r="D128" s="99"/>
      <c r="E128" s="83"/>
      <c r="F128" s="83"/>
      <c r="G128" s="83"/>
      <c r="H128" s="99"/>
      <c r="I128" s="99"/>
      <c r="J128" s="99"/>
    </row>
    <row r="129" spans="2:10" x14ac:dyDescent="0.3">
      <c r="B129" s="99"/>
      <c r="C129" s="99"/>
      <c r="D129" s="99"/>
      <c r="E129" s="83"/>
      <c r="F129" s="83"/>
      <c r="G129" s="83"/>
      <c r="H129" s="99"/>
      <c r="I129" s="99"/>
      <c r="J129" s="99"/>
    </row>
    <row r="130" spans="2:10" x14ac:dyDescent="0.3">
      <c r="B130" s="99"/>
      <c r="C130" s="99"/>
      <c r="D130" s="99"/>
      <c r="E130" s="83"/>
      <c r="F130" s="83"/>
      <c r="G130" s="83"/>
      <c r="H130" s="99"/>
      <c r="I130" s="99"/>
      <c r="J130" s="99"/>
    </row>
    <row r="134" spans="2:10" x14ac:dyDescent="0.3">
      <c r="B134" s="99"/>
      <c r="C134" s="99"/>
      <c r="D134" s="99"/>
      <c r="E134" s="83"/>
      <c r="F134" s="83"/>
      <c r="G134" s="83"/>
      <c r="H134" s="99"/>
      <c r="I134" s="99"/>
      <c r="J134" s="99"/>
    </row>
    <row r="135" spans="2:10" x14ac:dyDescent="0.3">
      <c r="B135" s="99"/>
      <c r="C135" s="99"/>
      <c r="D135" s="99"/>
      <c r="E135" s="83"/>
      <c r="F135" s="83"/>
      <c r="G135" s="83"/>
      <c r="H135" s="99"/>
      <c r="I135" s="99"/>
      <c r="J135" s="99"/>
    </row>
    <row r="140" spans="2:10" x14ac:dyDescent="0.3">
      <c r="B140" s="99"/>
      <c r="C140" s="99"/>
      <c r="D140" s="99"/>
      <c r="E140" s="83"/>
      <c r="F140" s="83"/>
      <c r="G140" s="83"/>
      <c r="H140" s="99"/>
      <c r="I140" s="99"/>
      <c r="J140" s="99"/>
    </row>
    <row r="146" spans="2:10" x14ac:dyDescent="0.3">
      <c r="B146" s="99"/>
      <c r="C146" s="99"/>
      <c r="D146" s="99"/>
      <c r="E146" s="83"/>
      <c r="F146" s="83"/>
      <c r="G146" s="83"/>
      <c r="H146" s="99"/>
      <c r="I146" s="99"/>
      <c r="J146" s="99"/>
    </row>
    <row r="147" spans="2:10" x14ac:dyDescent="0.3">
      <c r="B147" s="99"/>
      <c r="C147" s="99"/>
      <c r="D147" s="99"/>
      <c r="E147" s="83"/>
      <c r="F147" s="83"/>
      <c r="G147" s="83"/>
      <c r="H147" s="99"/>
      <c r="I147" s="99"/>
      <c r="J147" s="99"/>
    </row>
    <row r="148" spans="2:10" x14ac:dyDescent="0.3">
      <c r="B148" s="99"/>
      <c r="C148" s="99"/>
      <c r="D148" s="99"/>
      <c r="E148" s="83"/>
      <c r="F148" s="83"/>
      <c r="G148" s="83"/>
      <c r="H148" s="99"/>
      <c r="I148" s="99"/>
      <c r="J148" s="99"/>
    </row>
    <row r="149" spans="2:10" x14ac:dyDescent="0.3">
      <c r="B149" s="99"/>
      <c r="C149" s="99"/>
      <c r="D149" s="99"/>
      <c r="E149" s="83"/>
      <c r="F149" s="83"/>
      <c r="G149" s="83"/>
      <c r="H149" s="99"/>
      <c r="I149" s="99"/>
      <c r="J149" s="99"/>
    </row>
    <row r="152" spans="2:10" x14ac:dyDescent="0.3">
      <c r="B152" s="99"/>
      <c r="C152" s="99"/>
      <c r="D152" s="99"/>
      <c r="E152" s="83"/>
      <c r="F152" s="83"/>
      <c r="G152" s="83"/>
      <c r="H152" s="99"/>
      <c r="I152" s="99"/>
      <c r="J152" s="99"/>
    </row>
    <row r="158" spans="2:10" x14ac:dyDescent="0.3">
      <c r="B158" s="99"/>
      <c r="C158" s="99"/>
      <c r="D158" s="99"/>
      <c r="E158" s="83"/>
      <c r="F158" s="83"/>
      <c r="G158" s="83"/>
      <c r="H158" s="99"/>
      <c r="I158" s="99"/>
      <c r="J158" s="99"/>
    </row>
    <row r="159" spans="2:10" x14ac:dyDescent="0.3">
      <c r="B159" s="99"/>
      <c r="C159" s="99"/>
      <c r="D159" s="99"/>
      <c r="E159" s="83"/>
      <c r="F159" s="83"/>
      <c r="G159" s="83"/>
      <c r="H159" s="99"/>
      <c r="I159" s="99"/>
      <c r="J159" s="99"/>
    </row>
    <row r="162" spans="2:10" x14ac:dyDescent="0.3">
      <c r="B162" s="99"/>
      <c r="C162" s="99"/>
      <c r="D162" s="99"/>
      <c r="E162" s="83"/>
      <c r="F162" s="83"/>
      <c r="G162" s="83"/>
      <c r="H162" s="99"/>
      <c r="I162" s="99"/>
      <c r="J162" s="99"/>
    </row>
    <row r="168" spans="2:10" x14ac:dyDescent="0.3">
      <c r="B168" s="99"/>
      <c r="C168" s="99"/>
      <c r="D168" s="99"/>
      <c r="E168" s="83"/>
      <c r="F168" s="83"/>
      <c r="G168" s="83"/>
      <c r="H168" s="99"/>
      <c r="I168" s="99"/>
      <c r="J168" s="99"/>
    </row>
    <row r="174" spans="2:10" x14ac:dyDescent="0.3">
      <c r="B174" s="99"/>
      <c r="C174" s="99"/>
      <c r="D174" s="99"/>
      <c r="E174" s="83"/>
      <c r="F174" s="83"/>
      <c r="G174" s="83"/>
      <c r="H174" s="99"/>
      <c r="I174" s="99"/>
      <c r="J174" s="99"/>
    </row>
    <row r="180" spans="2:10" x14ac:dyDescent="0.3">
      <c r="B180" s="99"/>
      <c r="C180" s="99"/>
      <c r="D180" s="99"/>
      <c r="E180" s="83"/>
      <c r="F180" s="83"/>
      <c r="G180" s="83"/>
      <c r="H180" s="99"/>
      <c r="I180" s="99"/>
      <c r="J180" s="99"/>
    </row>
    <row r="186" spans="2:10" x14ac:dyDescent="0.3">
      <c r="B186" s="99"/>
      <c r="C186" s="99"/>
      <c r="D186" s="99"/>
      <c r="E186" s="83"/>
      <c r="F186" s="83"/>
      <c r="G186" s="83"/>
      <c r="H186" s="99"/>
      <c r="I186" s="99"/>
      <c r="J186" s="99"/>
    </row>
    <row r="187" spans="2:10" x14ac:dyDescent="0.3">
      <c r="B187" s="99"/>
      <c r="C187" s="99"/>
      <c r="D187" s="99"/>
      <c r="E187" s="83"/>
      <c r="F187" s="83"/>
      <c r="G187" s="83"/>
      <c r="H187" s="99"/>
      <c r="I187" s="99"/>
      <c r="J187" s="99"/>
    </row>
    <row r="192" spans="2:10" x14ac:dyDescent="0.3">
      <c r="B192" s="99"/>
      <c r="C192" s="99"/>
      <c r="D192" s="99"/>
      <c r="E192" s="83"/>
      <c r="F192" s="83"/>
      <c r="G192" s="83"/>
      <c r="H192" s="99"/>
      <c r="I192" s="99"/>
      <c r="J192" s="99"/>
    </row>
    <row r="193" spans="2:10" x14ac:dyDescent="0.3">
      <c r="B193" s="99"/>
      <c r="C193" s="99"/>
      <c r="D193" s="99"/>
      <c r="E193" s="83"/>
      <c r="F193" s="83"/>
      <c r="G193" s="83"/>
      <c r="H193" s="99"/>
      <c r="I193" s="99"/>
      <c r="J193" s="99"/>
    </row>
    <row r="198" spans="2:10" x14ac:dyDescent="0.3">
      <c r="B198" s="99"/>
      <c r="C198" s="99"/>
      <c r="D198" s="99"/>
      <c r="E198" s="83"/>
      <c r="F198" s="83"/>
      <c r="G198" s="83"/>
      <c r="H198" s="99"/>
      <c r="I198" s="99"/>
      <c r="J198" s="99"/>
    </row>
    <row r="204" spans="2:10" x14ac:dyDescent="0.3">
      <c r="B204" s="99"/>
      <c r="C204" s="99"/>
      <c r="D204" s="99"/>
      <c r="E204" s="83"/>
      <c r="F204" s="83"/>
      <c r="G204" s="83"/>
      <c r="H204" s="99"/>
      <c r="I204" s="99"/>
      <c r="J204" s="99"/>
    </row>
    <row r="210" spans="2:10" x14ac:dyDescent="0.3">
      <c r="B210" s="99"/>
      <c r="C210" s="99"/>
      <c r="D210" s="99"/>
      <c r="E210" s="83"/>
      <c r="F210" s="83"/>
      <c r="G210" s="83"/>
      <c r="H210" s="99"/>
      <c r="I210" s="99"/>
      <c r="J210" s="99"/>
    </row>
    <row r="211" spans="2:10" x14ac:dyDescent="0.3">
      <c r="B211" s="99"/>
      <c r="C211" s="99"/>
      <c r="D211" s="99"/>
      <c r="E211" s="83"/>
      <c r="F211" s="83"/>
      <c r="G211" s="83"/>
      <c r="H211" s="99"/>
      <c r="I211" s="99"/>
      <c r="J211" s="99"/>
    </row>
    <row r="216" spans="2:10" x14ac:dyDescent="0.3">
      <c r="B216" s="99"/>
      <c r="C216" s="99"/>
      <c r="D216" s="99"/>
      <c r="E216" s="83"/>
      <c r="F216" s="83"/>
      <c r="G216" s="83"/>
      <c r="H216" s="99"/>
      <c r="I216" s="99"/>
      <c r="J216" s="99"/>
    </row>
    <row r="217" spans="2:10" x14ac:dyDescent="0.3">
      <c r="B217" s="99"/>
      <c r="C217" s="99"/>
      <c r="D217" s="99"/>
      <c r="E217" s="83"/>
      <c r="F217" s="83"/>
      <c r="G217" s="83"/>
      <c r="H217" s="99"/>
      <c r="I217" s="99"/>
      <c r="J217" s="99"/>
    </row>
    <row r="218" spans="2:10" x14ac:dyDescent="0.3">
      <c r="B218" s="99"/>
      <c r="C218" s="99"/>
      <c r="D218" s="99"/>
      <c r="E218" s="83"/>
      <c r="F218" s="83"/>
      <c r="G218" s="83"/>
      <c r="H218" s="99"/>
      <c r="I218" s="99"/>
      <c r="J218" s="99"/>
    </row>
    <row r="222" spans="2:10" x14ac:dyDescent="0.3">
      <c r="B222" s="99"/>
      <c r="C222" s="99"/>
      <c r="D222" s="99"/>
      <c r="E222" s="83"/>
      <c r="F222" s="83"/>
      <c r="G222" s="83"/>
      <c r="H222" s="99"/>
      <c r="I222" s="99"/>
      <c r="J222" s="99"/>
    </row>
    <row r="223" spans="2:10" x14ac:dyDescent="0.3">
      <c r="B223" s="99"/>
      <c r="C223" s="99"/>
      <c r="D223" s="99"/>
      <c r="E223" s="83"/>
      <c r="F223" s="83"/>
      <c r="G223" s="83"/>
      <c r="H223" s="99"/>
      <c r="I223" s="99"/>
      <c r="J223" s="99"/>
    </row>
    <row r="228" spans="2:10" x14ac:dyDescent="0.3">
      <c r="B228" s="99"/>
      <c r="C228" s="99"/>
      <c r="D228" s="99"/>
      <c r="E228" s="83"/>
      <c r="F228" s="83"/>
      <c r="G228" s="83"/>
      <c r="H228" s="99"/>
      <c r="I228" s="99"/>
      <c r="J228" s="99"/>
    </row>
    <row r="234" spans="2:10" x14ac:dyDescent="0.3">
      <c r="B234" s="99"/>
      <c r="C234" s="99"/>
      <c r="D234" s="99"/>
      <c r="E234" s="83"/>
      <c r="F234" s="83"/>
      <c r="G234" s="83"/>
      <c r="H234" s="99"/>
      <c r="I234" s="99"/>
      <c r="J234" s="99"/>
    </row>
    <row r="235" spans="2:10" x14ac:dyDescent="0.3">
      <c r="B235" s="99"/>
      <c r="C235" s="99"/>
      <c r="D235" s="99"/>
      <c r="E235" s="83"/>
      <c r="F235" s="83"/>
      <c r="G235" s="83"/>
      <c r="H235" s="99"/>
      <c r="I235" s="99"/>
      <c r="J235" s="99"/>
    </row>
    <row r="236" spans="2:10" x14ac:dyDescent="0.3">
      <c r="B236" s="99"/>
      <c r="C236" s="99"/>
      <c r="D236" s="99"/>
      <c r="E236" s="83"/>
      <c r="F236" s="83"/>
      <c r="G236" s="83"/>
      <c r="H236" s="99"/>
      <c r="I236" s="99"/>
      <c r="J236" s="99"/>
    </row>
    <row r="240" spans="2:10" x14ac:dyDescent="0.3">
      <c r="B240" s="99"/>
      <c r="C240" s="99"/>
      <c r="D240" s="99"/>
      <c r="E240" s="83"/>
      <c r="F240" s="83"/>
      <c r="G240" s="83"/>
      <c r="H240" s="99"/>
      <c r="I240" s="99"/>
      <c r="J240" s="99"/>
    </row>
    <row r="241" spans="2:10" x14ac:dyDescent="0.3">
      <c r="B241" s="99"/>
      <c r="C241" s="99"/>
      <c r="D241" s="99"/>
      <c r="E241" s="83"/>
      <c r="F241" s="83"/>
      <c r="G241" s="83"/>
      <c r="H241" s="99"/>
      <c r="I241" s="99"/>
      <c r="J241" s="99"/>
    </row>
    <row r="246" spans="2:10" x14ac:dyDescent="0.3">
      <c r="B246" s="99"/>
      <c r="C246" s="99"/>
      <c r="D246" s="99"/>
      <c r="E246" s="83"/>
      <c r="F246" s="83"/>
      <c r="G246" s="83"/>
      <c r="H246" s="99"/>
      <c r="I246" s="99"/>
      <c r="J246" s="99"/>
    </row>
    <row r="252" spans="2:10" x14ac:dyDescent="0.3">
      <c r="B252" s="99"/>
      <c r="C252" s="99"/>
      <c r="D252" s="99"/>
      <c r="E252" s="83"/>
      <c r="F252" s="83"/>
      <c r="G252" s="83"/>
      <c r="H252" s="99"/>
      <c r="I252" s="99"/>
      <c r="J252" s="99"/>
    </row>
    <row r="253" spans="2:10" x14ac:dyDescent="0.3">
      <c r="B253" s="99"/>
      <c r="C253" s="99"/>
      <c r="D253" s="99"/>
      <c r="E253" s="83"/>
      <c r="F253" s="83"/>
      <c r="G253" s="83"/>
      <c r="H253" s="99"/>
      <c r="I253" s="99"/>
      <c r="J253" s="99"/>
    </row>
    <row r="254" spans="2:10" x14ac:dyDescent="0.3">
      <c r="B254" s="99"/>
      <c r="C254" s="99"/>
      <c r="D254" s="99"/>
      <c r="E254" s="83"/>
      <c r="F254" s="83"/>
      <c r="G254" s="83"/>
      <c r="H254" s="99"/>
      <c r="I254" s="99"/>
      <c r="J254" s="99"/>
    </row>
    <row r="255" spans="2:10" x14ac:dyDescent="0.3">
      <c r="B255" s="99"/>
      <c r="C255" s="99"/>
      <c r="D255" s="99"/>
      <c r="E255" s="83"/>
      <c r="F255" s="83"/>
      <c r="G255" s="83"/>
      <c r="H255" s="99"/>
      <c r="I255" s="99"/>
      <c r="J255" s="99"/>
    </row>
    <row r="258" spans="2:10" x14ac:dyDescent="0.3">
      <c r="B258" s="99"/>
      <c r="C258" s="99"/>
      <c r="D258" s="99"/>
      <c r="E258" s="83"/>
      <c r="F258" s="83"/>
      <c r="G258" s="83"/>
      <c r="H258" s="99"/>
      <c r="I258" s="99"/>
      <c r="J258" s="99"/>
    </row>
    <row r="264" spans="2:10" x14ac:dyDescent="0.3">
      <c r="B264" s="99"/>
      <c r="C264" s="99"/>
      <c r="D264" s="99"/>
      <c r="E264" s="83"/>
      <c r="F264" s="83"/>
      <c r="G264" s="83"/>
      <c r="H264" s="99"/>
      <c r="I264" s="99"/>
      <c r="J264" s="99"/>
    </row>
    <row r="265" spans="2:10" x14ac:dyDescent="0.3">
      <c r="B265" s="99"/>
      <c r="C265" s="99"/>
      <c r="D265" s="99"/>
      <c r="E265" s="83"/>
      <c r="F265" s="83"/>
      <c r="G265" s="83"/>
      <c r="H265" s="99"/>
      <c r="I265" s="99"/>
      <c r="J265" s="99"/>
    </row>
    <row r="270" spans="2:10" x14ac:dyDescent="0.3">
      <c r="B270" s="99"/>
      <c r="C270" s="99"/>
      <c r="D270" s="99"/>
      <c r="E270" s="83"/>
      <c r="F270" s="83"/>
      <c r="G270" s="83"/>
      <c r="H270" s="99"/>
      <c r="I270" s="99"/>
      <c r="J270" s="99"/>
    </row>
    <row r="271" spans="2:10" x14ac:dyDescent="0.3">
      <c r="B271" s="99"/>
      <c r="C271" s="99"/>
      <c r="D271" s="99"/>
      <c r="E271" s="83"/>
      <c r="F271" s="83"/>
      <c r="G271" s="83"/>
      <c r="H271" s="99"/>
      <c r="I271" s="99"/>
      <c r="J271" s="99"/>
    </row>
    <row r="272" spans="2:10" x14ac:dyDescent="0.3">
      <c r="B272" s="99"/>
      <c r="C272" s="99"/>
      <c r="D272" s="99"/>
      <c r="E272" s="83"/>
      <c r="F272" s="83"/>
      <c r="G272" s="83"/>
      <c r="H272" s="99"/>
      <c r="I272" s="99"/>
      <c r="J272" s="99"/>
    </row>
    <row r="273" spans="2:10" x14ac:dyDescent="0.3">
      <c r="B273" s="99"/>
      <c r="C273" s="99"/>
      <c r="D273" s="99"/>
      <c r="E273" s="83"/>
      <c r="F273" s="83"/>
      <c r="G273" s="83"/>
      <c r="H273" s="99"/>
      <c r="I273" s="99"/>
      <c r="J273" s="99"/>
    </row>
    <row r="276" spans="2:10" x14ac:dyDescent="0.3">
      <c r="B276" s="99"/>
      <c r="C276" s="99"/>
      <c r="D276" s="99"/>
      <c r="E276" s="83"/>
      <c r="F276" s="83"/>
      <c r="G276" s="83"/>
      <c r="H276" s="99"/>
      <c r="I276" s="99"/>
      <c r="J276" s="99"/>
    </row>
    <row r="282" spans="2:10" x14ac:dyDescent="0.3">
      <c r="B282" s="99"/>
      <c r="C282" s="99"/>
      <c r="D282" s="99"/>
      <c r="E282" s="83"/>
      <c r="F282" s="83"/>
      <c r="G282" s="83"/>
      <c r="H282" s="99"/>
      <c r="I282" s="99"/>
      <c r="J282" s="99"/>
    </row>
    <row r="288" spans="2:10" x14ac:dyDescent="0.3">
      <c r="B288" s="99"/>
      <c r="C288" s="99"/>
      <c r="D288" s="99"/>
      <c r="E288" s="83"/>
      <c r="F288" s="83"/>
      <c r="G288" s="83"/>
      <c r="H288" s="99"/>
      <c r="I288" s="99"/>
      <c r="J288" s="99"/>
    </row>
    <row r="294" spans="2:10" x14ac:dyDescent="0.3">
      <c r="B294" s="99"/>
      <c r="C294" s="99"/>
      <c r="D294" s="99"/>
      <c r="E294" s="83"/>
      <c r="F294" s="83"/>
      <c r="G294" s="83"/>
      <c r="H294" s="99"/>
      <c r="I294" s="99"/>
      <c r="J294" s="99"/>
    </row>
    <row r="300" spans="2:10" x14ac:dyDescent="0.3">
      <c r="B300" s="99"/>
      <c r="C300" s="99"/>
      <c r="D300" s="99"/>
      <c r="E300" s="83"/>
      <c r="F300" s="83"/>
      <c r="G300" s="83"/>
      <c r="H300" s="99"/>
      <c r="I300" s="99"/>
      <c r="J300" s="99"/>
    </row>
    <row r="301" spans="2:10" x14ac:dyDescent="0.3">
      <c r="B301" s="99"/>
      <c r="C301" s="99"/>
      <c r="D301" s="99"/>
      <c r="E301" s="83"/>
      <c r="F301" s="83"/>
      <c r="G301" s="83"/>
      <c r="H301" s="99"/>
      <c r="I301" s="99"/>
      <c r="J301" s="99"/>
    </row>
    <row r="306" spans="2:10" x14ac:dyDescent="0.3">
      <c r="B306" s="99"/>
      <c r="C306" s="99"/>
      <c r="D306" s="99"/>
      <c r="E306" s="83"/>
      <c r="F306" s="83"/>
      <c r="G306" s="83"/>
      <c r="H306" s="99"/>
      <c r="I306" s="99"/>
      <c r="J306" s="99"/>
    </row>
    <row r="307" spans="2:10" x14ac:dyDescent="0.3">
      <c r="B307" s="99"/>
      <c r="C307" s="99"/>
      <c r="D307" s="99"/>
      <c r="E307" s="83"/>
      <c r="F307" s="83"/>
      <c r="G307" s="83"/>
      <c r="H307" s="99"/>
      <c r="I307" s="99"/>
      <c r="J307" s="99"/>
    </row>
    <row r="312" spans="2:10" x14ac:dyDescent="0.3">
      <c r="B312" s="99"/>
      <c r="C312" s="99"/>
      <c r="D312" s="99"/>
      <c r="E312" s="83"/>
      <c r="F312" s="83"/>
      <c r="G312" s="83"/>
      <c r="H312" s="99"/>
      <c r="I312" s="99"/>
      <c r="J312" s="99"/>
    </row>
    <row r="318" spans="2:10" x14ac:dyDescent="0.3">
      <c r="B318" s="99"/>
      <c r="C318" s="99"/>
      <c r="D318" s="99"/>
      <c r="E318" s="83"/>
      <c r="F318" s="83"/>
      <c r="G318" s="83"/>
      <c r="H318" s="99"/>
      <c r="I318" s="99"/>
      <c r="J318" s="99"/>
    </row>
    <row r="324" spans="2:10" x14ac:dyDescent="0.3">
      <c r="B324" s="99"/>
      <c r="C324" s="99"/>
      <c r="D324" s="99"/>
      <c r="E324" s="83"/>
      <c r="F324" s="83"/>
      <c r="G324" s="83"/>
      <c r="H324" s="99"/>
      <c r="I324" s="99"/>
      <c r="J324" s="99"/>
    </row>
    <row r="325" spans="2:10" x14ac:dyDescent="0.3">
      <c r="B325" s="99"/>
      <c r="C325" s="99"/>
      <c r="D325" s="99"/>
      <c r="E325" s="83"/>
      <c r="F325" s="83"/>
      <c r="G325" s="83"/>
      <c r="H325" s="99"/>
      <c r="I325" s="99"/>
      <c r="J325" s="99"/>
    </row>
    <row r="330" spans="2:10" x14ac:dyDescent="0.3">
      <c r="B330" s="99"/>
      <c r="C330" s="99"/>
      <c r="D330" s="99"/>
      <c r="E330" s="83"/>
      <c r="F330" s="83"/>
      <c r="G330" s="83"/>
      <c r="H330" s="99"/>
      <c r="I330" s="99"/>
      <c r="J330" s="99"/>
    </row>
    <row r="331" spans="2:10" x14ac:dyDescent="0.3">
      <c r="B331" s="99"/>
      <c r="C331" s="99"/>
      <c r="D331" s="99"/>
      <c r="E331" s="83"/>
      <c r="F331" s="83"/>
      <c r="G331" s="83"/>
      <c r="H331" s="99"/>
      <c r="I331" s="99"/>
      <c r="J331" s="99"/>
    </row>
    <row r="332" spans="2:10" x14ac:dyDescent="0.3">
      <c r="B332" s="99"/>
      <c r="C332" s="99"/>
      <c r="D332" s="99"/>
      <c r="E332" s="83"/>
      <c r="F332" s="83"/>
      <c r="G332" s="83"/>
      <c r="H332" s="99"/>
      <c r="I332" s="99"/>
      <c r="J332" s="99"/>
    </row>
    <row r="336" spans="2:10" x14ac:dyDescent="0.3">
      <c r="B336" s="99"/>
      <c r="C336" s="99"/>
      <c r="D336" s="99"/>
      <c r="E336" s="83"/>
      <c r="F336" s="83"/>
      <c r="G336" s="83"/>
      <c r="H336" s="99"/>
      <c r="I336" s="99"/>
      <c r="J336" s="99"/>
    </row>
    <row r="337" spans="2:10" x14ac:dyDescent="0.3">
      <c r="B337" s="99"/>
      <c r="C337" s="99"/>
      <c r="D337" s="99"/>
      <c r="E337" s="83"/>
      <c r="F337" s="83"/>
      <c r="G337" s="83"/>
      <c r="H337" s="99"/>
      <c r="I337" s="99"/>
      <c r="J337" s="99"/>
    </row>
    <row r="342" spans="2:10" x14ac:dyDescent="0.3">
      <c r="B342" s="99"/>
      <c r="C342" s="99"/>
      <c r="D342" s="99"/>
      <c r="E342" s="83"/>
      <c r="F342" s="83"/>
      <c r="G342" s="83"/>
      <c r="H342" s="99"/>
      <c r="I342" s="99"/>
      <c r="J342" s="99"/>
    </row>
    <row r="348" spans="2:10" x14ac:dyDescent="0.3">
      <c r="B348" s="99"/>
      <c r="C348" s="99"/>
      <c r="D348" s="99"/>
      <c r="E348" s="83"/>
      <c r="F348" s="83"/>
      <c r="G348" s="83"/>
      <c r="H348" s="99"/>
      <c r="I348" s="99"/>
      <c r="J348" s="99"/>
    </row>
    <row r="349" spans="2:10" x14ac:dyDescent="0.3">
      <c r="B349" s="99"/>
      <c r="C349" s="99"/>
      <c r="D349" s="99"/>
      <c r="E349" s="83"/>
      <c r="F349" s="83"/>
      <c r="G349" s="83"/>
      <c r="H349" s="99"/>
      <c r="I349" s="99"/>
      <c r="J349" s="99"/>
    </row>
    <row r="350" spans="2:10" x14ac:dyDescent="0.3">
      <c r="B350" s="99"/>
      <c r="C350" s="99"/>
      <c r="D350" s="99"/>
      <c r="E350" s="83"/>
      <c r="F350" s="83"/>
      <c r="G350" s="83"/>
      <c r="H350" s="99"/>
      <c r="I350" s="99"/>
      <c r="J350" s="99"/>
    </row>
    <row r="354" spans="2:10" x14ac:dyDescent="0.3">
      <c r="B354" s="99"/>
      <c r="C354" s="99"/>
      <c r="D354" s="99"/>
      <c r="E354" s="83"/>
      <c r="F354" s="83"/>
      <c r="G354" s="83"/>
      <c r="H354" s="99"/>
      <c r="I354" s="99"/>
      <c r="J354" s="99"/>
    </row>
    <row r="355" spans="2:10" x14ac:dyDescent="0.3">
      <c r="B355" s="99"/>
      <c r="C355" s="99"/>
      <c r="D355" s="99"/>
      <c r="E355" s="83"/>
      <c r="F355" s="83"/>
      <c r="G355" s="83"/>
      <c r="H355" s="99"/>
      <c r="I355" s="99"/>
      <c r="J355" s="99"/>
    </row>
    <row r="360" spans="2:10" x14ac:dyDescent="0.3">
      <c r="B360" s="99"/>
      <c r="C360" s="99"/>
      <c r="D360" s="99"/>
      <c r="E360" s="83"/>
      <c r="F360" s="83"/>
      <c r="G360" s="83"/>
      <c r="H360" s="99"/>
      <c r="I360" s="99"/>
      <c r="J360" s="99"/>
    </row>
    <row r="366" spans="2:10" x14ac:dyDescent="0.3">
      <c r="B366" s="99"/>
      <c r="C366" s="99"/>
      <c r="D366" s="99"/>
      <c r="E366" s="83"/>
      <c r="F366" s="83"/>
      <c r="G366" s="83"/>
      <c r="H366" s="99"/>
      <c r="I366" s="99"/>
      <c r="J366" s="99"/>
    </row>
    <row r="367" spans="2:10" x14ac:dyDescent="0.3">
      <c r="B367" s="99"/>
      <c r="C367" s="99"/>
      <c r="D367" s="99"/>
      <c r="E367" s="83"/>
      <c r="F367" s="83"/>
      <c r="G367" s="83"/>
      <c r="H367" s="99"/>
      <c r="I367" s="99"/>
      <c r="J367" s="99"/>
    </row>
    <row r="368" spans="2:10" x14ac:dyDescent="0.3">
      <c r="B368" s="99"/>
      <c r="C368" s="99"/>
      <c r="D368" s="99"/>
      <c r="E368" s="83"/>
      <c r="F368" s="83"/>
      <c r="G368" s="83"/>
      <c r="H368" s="99"/>
      <c r="I368" s="99"/>
      <c r="J368" s="99"/>
    </row>
    <row r="369" spans="2:10" x14ac:dyDescent="0.3">
      <c r="B369" s="99"/>
      <c r="C369" s="99"/>
      <c r="D369" s="99"/>
      <c r="E369" s="83"/>
      <c r="F369" s="83"/>
      <c r="G369" s="83"/>
      <c r="H369" s="99"/>
      <c r="I369" s="99"/>
      <c r="J369" s="99"/>
    </row>
    <row r="372" spans="2:10" x14ac:dyDescent="0.3">
      <c r="B372" s="99"/>
      <c r="C372" s="99"/>
      <c r="D372" s="99"/>
      <c r="E372" s="83"/>
      <c r="F372" s="83"/>
      <c r="G372" s="83"/>
      <c r="H372" s="99"/>
      <c r="I372" s="99"/>
      <c r="J372" s="99"/>
    </row>
    <row r="378" spans="2:10" x14ac:dyDescent="0.3">
      <c r="B378" s="99"/>
      <c r="C378" s="99"/>
      <c r="D378" s="99"/>
      <c r="E378" s="83"/>
      <c r="F378" s="83"/>
      <c r="G378" s="83"/>
      <c r="H378" s="99"/>
      <c r="I378" s="99"/>
      <c r="J378" s="99"/>
    </row>
    <row r="379" spans="2:10" x14ac:dyDescent="0.3">
      <c r="B379" s="99"/>
      <c r="C379" s="99"/>
      <c r="D379" s="99"/>
      <c r="E379" s="83"/>
      <c r="F379" s="83"/>
      <c r="G379" s="83"/>
      <c r="H379" s="99"/>
      <c r="I379" s="99"/>
      <c r="J379" s="99"/>
    </row>
    <row r="381" spans="2:10" x14ac:dyDescent="0.3">
      <c r="B381" s="99"/>
      <c r="C381" s="99"/>
      <c r="D381" s="99"/>
      <c r="E381" s="83"/>
      <c r="F381" s="83"/>
      <c r="G381" s="83"/>
      <c r="H381" s="99"/>
      <c r="I381" s="99"/>
      <c r="J381" s="99"/>
    </row>
    <row r="387" spans="2:10" x14ac:dyDescent="0.3">
      <c r="B387" s="99"/>
      <c r="C387" s="99"/>
      <c r="D387" s="99"/>
      <c r="E387" s="83"/>
      <c r="F387" s="83"/>
      <c r="G387" s="83"/>
      <c r="H387" s="99"/>
      <c r="I387" s="99"/>
      <c r="J387" s="99"/>
    </row>
    <row r="388" spans="2:10" x14ac:dyDescent="0.3">
      <c r="B388" s="99"/>
      <c r="C388" s="99"/>
      <c r="D388" s="99"/>
      <c r="E388" s="83"/>
      <c r="F388" s="83"/>
      <c r="G388" s="83"/>
      <c r="H388" s="99"/>
      <c r="I388" s="99"/>
      <c r="J388" s="99"/>
    </row>
    <row r="393" spans="2:10" x14ac:dyDescent="0.3">
      <c r="B393" s="99"/>
      <c r="C393" s="99"/>
      <c r="D393" s="99"/>
      <c r="E393" s="83"/>
      <c r="F393" s="83"/>
      <c r="G393" s="83"/>
      <c r="H393" s="99"/>
      <c r="I393" s="99"/>
      <c r="J393" s="99"/>
    </row>
    <row r="394" spans="2:10" x14ac:dyDescent="0.3">
      <c r="B394" s="99"/>
      <c r="C394" s="99"/>
      <c r="D394" s="99"/>
      <c r="E394" s="83"/>
      <c r="F394" s="83"/>
      <c r="G394" s="83"/>
      <c r="H394" s="99"/>
      <c r="I394" s="99"/>
      <c r="J394" s="99"/>
    </row>
    <row r="395" spans="2:10" x14ac:dyDescent="0.3">
      <c r="B395" s="99"/>
      <c r="C395" s="99"/>
      <c r="D395" s="99"/>
      <c r="E395" s="83"/>
      <c r="F395" s="83"/>
      <c r="G395" s="83"/>
      <c r="H395" s="99"/>
      <c r="I395" s="99"/>
      <c r="J395" s="99"/>
    </row>
    <row r="396" spans="2:10" x14ac:dyDescent="0.3">
      <c r="B396" s="99"/>
      <c r="C396" s="99"/>
      <c r="D396" s="99"/>
      <c r="E396" s="83"/>
      <c r="F396" s="83"/>
      <c r="G396" s="83"/>
      <c r="H396" s="99"/>
      <c r="I396" s="99"/>
      <c r="J396" s="99"/>
    </row>
    <row r="397" spans="2:10" x14ac:dyDescent="0.3">
      <c r="B397" s="99"/>
      <c r="C397" s="99"/>
      <c r="D397" s="99"/>
      <c r="E397" s="83"/>
      <c r="F397" s="83"/>
      <c r="G397" s="83"/>
      <c r="H397" s="99"/>
      <c r="I397" s="99"/>
      <c r="J397" s="99"/>
    </row>
    <row r="398" spans="2:10" x14ac:dyDescent="0.3">
      <c r="B398" s="99"/>
      <c r="C398" s="99"/>
      <c r="D398" s="99"/>
      <c r="E398" s="83"/>
      <c r="F398" s="83"/>
      <c r="G398" s="83"/>
      <c r="H398" s="99"/>
      <c r="I398" s="99"/>
      <c r="J398" s="99"/>
    </row>
    <row r="399" spans="2:10" x14ac:dyDescent="0.3">
      <c r="B399" s="99"/>
      <c r="C399" s="99"/>
      <c r="D399" s="99"/>
      <c r="E399" s="83"/>
      <c r="F399" s="83"/>
      <c r="G399" s="83"/>
      <c r="H399" s="99"/>
      <c r="I399" s="99"/>
      <c r="J399" s="99"/>
    </row>
    <row r="400" spans="2:10" x14ac:dyDescent="0.3">
      <c r="B400" s="99"/>
      <c r="C400" s="99"/>
      <c r="D400" s="99"/>
      <c r="E400" s="83"/>
      <c r="F400" s="83"/>
      <c r="G400" s="83"/>
      <c r="H400" s="99"/>
      <c r="I400" s="99"/>
      <c r="J400" s="99"/>
    </row>
  </sheetData>
  <mergeCells count="219">
    <mergeCell ref="M1:O1"/>
    <mergeCell ref="P1:R1"/>
    <mergeCell ref="S1:U1"/>
    <mergeCell ref="V1:X1"/>
    <mergeCell ref="B68:D68"/>
    <mergeCell ref="H68:J68"/>
    <mergeCell ref="B62:D62"/>
    <mergeCell ref="H62:J62"/>
    <mergeCell ref="B80:D80"/>
    <mergeCell ref="H80:J80"/>
    <mergeCell ref="B1:I1"/>
    <mergeCell ref="B81:D81"/>
    <mergeCell ref="H81:J81"/>
    <mergeCell ref="B74:D74"/>
    <mergeCell ref="H74:J74"/>
    <mergeCell ref="B92:D92"/>
    <mergeCell ref="H92:J92"/>
    <mergeCell ref="B86:D86"/>
    <mergeCell ref="H86:J86"/>
    <mergeCell ref="B87:D87"/>
    <mergeCell ref="H87:J87"/>
    <mergeCell ref="B104:D104"/>
    <mergeCell ref="H104:J104"/>
    <mergeCell ref="B105:D105"/>
    <mergeCell ref="H105:J105"/>
    <mergeCell ref="B98:D98"/>
    <mergeCell ref="H98:J98"/>
    <mergeCell ref="B110:D110"/>
    <mergeCell ref="H110:J110"/>
    <mergeCell ref="B111:D111"/>
    <mergeCell ref="H111:J111"/>
    <mergeCell ref="B112:D112"/>
    <mergeCell ref="H112:J112"/>
    <mergeCell ref="B122:D122"/>
    <mergeCell ref="H122:J122"/>
    <mergeCell ref="B116:D116"/>
    <mergeCell ref="H116:J116"/>
    <mergeCell ref="B117:D117"/>
    <mergeCell ref="H117:J117"/>
    <mergeCell ref="B128:D128"/>
    <mergeCell ref="H128:J128"/>
    <mergeCell ref="B129:D129"/>
    <mergeCell ref="H129:J129"/>
    <mergeCell ref="B130:D130"/>
    <mergeCell ref="H130:J130"/>
    <mergeCell ref="B149:D149"/>
    <mergeCell ref="H149:J149"/>
    <mergeCell ref="B140:D140"/>
    <mergeCell ref="H140:J140"/>
    <mergeCell ref="B134:D134"/>
    <mergeCell ref="H134:J134"/>
    <mergeCell ref="B135:D135"/>
    <mergeCell ref="H135:J135"/>
    <mergeCell ref="B146:D146"/>
    <mergeCell ref="H146:J146"/>
    <mergeCell ref="B147:D147"/>
    <mergeCell ref="H147:J147"/>
    <mergeCell ref="B148:D148"/>
    <mergeCell ref="H148:J148"/>
    <mergeCell ref="B158:D158"/>
    <mergeCell ref="H158:J158"/>
    <mergeCell ref="B159:D159"/>
    <mergeCell ref="H159:J159"/>
    <mergeCell ref="B152:D152"/>
    <mergeCell ref="H152:J152"/>
    <mergeCell ref="B174:D174"/>
    <mergeCell ref="H174:J174"/>
    <mergeCell ref="B168:D168"/>
    <mergeCell ref="H168:J168"/>
    <mergeCell ref="B162:D162"/>
    <mergeCell ref="H162:J162"/>
    <mergeCell ref="B186:D186"/>
    <mergeCell ref="H186:J186"/>
    <mergeCell ref="B187:D187"/>
    <mergeCell ref="H187:J187"/>
    <mergeCell ref="B180:D180"/>
    <mergeCell ref="H180:J180"/>
    <mergeCell ref="B198:D198"/>
    <mergeCell ref="H198:J198"/>
    <mergeCell ref="B192:D192"/>
    <mergeCell ref="H192:J192"/>
    <mergeCell ref="B193:D193"/>
    <mergeCell ref="H193:J193"/>
    <mergeCell ref="B210:D210"/>
    <mergeCell ref="H210:J210"/>
    <mergeCell ref="B211:D211"/>
    <mergeCell ref="H211:J211"/>
    <mergeCell ref="B204:D204"/>
    <mergeCell ref="H204:J204"/>
    <mergeCell ref="B216:D216"/>
    <mergeCell ref="H216:J216"/>
    <mergeCell ref="B217:D217"/>
    <mergeCell ref="H217:J217"/>
    <mergeCell ref="B218:D218"/>
    <mergeCell ref="H218:J218"/>
    <mergeCell ref="B228:D228"/>
    <mergeCell ref="H228:J228"/>
    <mergeCell ref="B222:D222"/>
    <mergeCell ref="H222:J222"/>
    <mergeCell ref="B223:D223"/>
    <mergeCell ref="H223:J223"/>
    <mergeCell ref="B234:D234"/>
    <mergeCell ref="H234:J234"/>
    <mergeCell ref="B235:D235"/>
    <mergeCell ref="H235:J235"/>
    <mergeCell ref="B236:D236"/>
    <mergeCell ref="H236:J236"/>
    <mergeCell ref="B246:D246"/>
    <mergeCell ref="H246:J246"/>
    <mergeCell ref="B240:D240"/>
    <mergeCell ref="H240:J240"/>
    <mergeCell ref="B241:D241"/>
    <mergeCell ref="H241:J241"/>
    <mergeCell ref="B258:D258"/>
    <mergeCell ref="H258:J258"/>
    <mergeCell ref="B252:D252"/>
    <mergeCell ref="H252:J252"/>
    <mergeCell ref="B253:D253"/>
    <mergeCell ref="H253:J253"/>
    <mergeCell ref="B254:D254"/>
    <mergeCell ref="H254:J254"/>
    <mergeCell ref="B255:D255"/>
    <mergeCell ref="H255:J255"/>
    <mergeCell ref="B273:D273"/>
    <mergeCell ref="H273:J273"/>
    <mergeCell ref="B264:D264"/>
    <mergeCell ref="H264:J264"/>
    <mergeCell ref="B265:D265"/>
    <mergeCell ref="H265:J265"/>
    <mergeCell ref="B270:D270"/>
    <mergeCell ref="H270:J270"/>
    <mergeCell ref="B271:D271"/>
    <mergeCell ref="H271:J271"/>
    <mergeCell ref="B272:D272"/>
    <mergeCell ref="H272:J272"/>
    <mergeCell ref="B366:D366"/>
    <mergeCell ref="H366:J366"/>
    <mergeCell ref="B367:D367"/>
    <mergeCell ref="H367:J367"/>
    <mergeCell ref="B368:D368"/>
    <mergeCell ref="H368:J368"/>
    <mergeCell ref="B369:D369"/>
    <mergeCell ref="H369:J369"/>
    <mergeCell ref="B399:D399"/>
    <mergeCell ref="H399:J399"/>
    <mergeCell ref="B387:D387"/>
    <mergeCell ref="H387:J387"/>
    <mergeCell ref="B388:D388"/>
    <mergeCell ref="H388:J388"/>
    <mergeCell ref="B381:D381"/>
    <mergeCell ref="H381:J381"/>
    <mergeCell ref="B378:D378"/>
    <mergeCell ref="H378:J378"/>
    <mergeCell ref="B379:D379"/>
    <mergeCell ref="H379:J379"/>
    <mergeCell ref="B372:D372"/>
    <mergeCell ref="H372:J372"/>
    <mergeCell ref="B400:D400"/>
    <mergeCell ref="H400:J400"/>
    <mergeCell ref="B393:D393"/>
    <mergeCell ref="H393:J393"/>
    <mergeCell ref="B394:D394"/>
    <mergeCell ref="H394:J394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60:D360"/>
    <mergeCell ref="H360:J360"/>
    <mergeCell ref="B354:D354"/>
    <mergeCell ref="H354:J354"/>
    <mergeCell ref="B355:D355"/>
    <mergeCell ref="H355:J355"/>
    <mergeCell ref="B348:D348"/>
    <mergeCell ref="H348:J348"/>
    <mergeCell ref="B349:D349"/>
    <mergeCell ref="H349:J349"/>
    <mergeCell ref="B350:D350"/>
    <mergeCell ref="H350:J350"/>
    <mergeCell ref="B342:D342"/>
    <mergeCell ref="H342:J342"/>
    <mergeCell ref="B336:D336"/>
    <mergeCell ref="H336:J336"/>
    <mergeCell ref="B337:D337"/>
    <mergeCell ref="H337:J337"/>
    <mergeCell ref="B330:D330"/>
    <mergeCell ref="H330:J330"/>
    <mergeCell ref="B331:D331"/>
    <mergeCell ref="H331:J331"/>
    <mergeCell ref="B332:D332"/>
    <mergeCell ref="H332:J332"/>
    <mergeCell ref="B324:D324"/>
    <mergeCell ref="H324:J324"/>
    <mergeCell ref="B325:D325"/>
    <mergeCell ref="H325:J325"/>
    <mergeCell ref="B318:D318"/>
    <mergeCell ref="H318:J318"/>
    <mergeCell ref="B312:D312"/>
    <mergeCell ref="H312:J312"/>
    <mergeCell ref="B306:D306"/>
    <mergeCell ref="H306:J306"/>
    <mergeCell ref="B307:D307"/>
    <mergeCell ref="H307:J307"/>
    <mergeCell ref="B276:D276"/>
    <mergeCell ref="H276:J276"/>
    <mergeCell ref="B300:D300"/>
    <mergeCell ref="H300:J300"/>
    <mergeCell ref="B301:D301"/>
    <mergeCell ref="H301:J301"/>
    <mergeCell ref="B294:D294"/>
    <mergeCell ref="H294:J294"/>
    <mergeCell ref="B288:D288"/>
    <mergeCell ref="H288:J288"/>
    <mergeCell ref="B282:D282"/>
    <mergeCell ref="H282:J282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112</v>
      </c>
    </row>
    <row r="2" spans="1:5" x14ac:dyDescent="0.3">
      <c r="A2" s="12" t="s">
        <v>12</v>
      </c>
      <c r="B2" s="2">
        <v>2</v>
      </c>
      <c r="C2" s="2" t="s">
        <v>34</v>
      </c>
      <c r="D2" s="2">
        <v>1</v>
      </c>
      <c r="E2" s="13" t="s">
        <v>135</v>
      </c>
    </row>
    <row r="3" spans="1:5" x14ac:dyDescent="0.3">
      <c r="A3" s="12" t="s">
        <v>5</v>
      </c>
      <c r="B3" s="2">
        <v>2</v>
      </c>
      <c r="C3" s="2" t="s">
        <v>34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34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34</v>
      </c>
      <c r="D5" s="2">
        <v>0</v>
      </c>
      <c r="E5" s="13" t="s">
        <v>136</v>
      </c>
    </row>
    <row r="6" spans="1:5" x14ac:dyDescent="0.3">
      <c r="A6" s="12" t="s">
        <v>13</v>
      </c>
      <c r="B6" s="2">
        <v>2</v>
      </c>
      <c r="C6" s="2" t="s">
        <v>34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34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34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34</v>
      </c>
      <c r="D9" s="2">
        <v>2</v>
      </c>
      <c r="E9" s="13" t="s">
        <v>19</v>
      </c>
    </row>
    <row r="11" spans="1:5" x14ac:dyDescent="0.3">
      <c r="A11" s="12" t="s">
        <v>113</v>
      </c>
    </row>
    <row r="12" spans="1:5" x14ac:dyDescent="0.3">
      <c r="A12" s="12" t="s">
        <v>12</v>
      </c>
      <c r="B12" s="2">
        <v>1</v>
      </c>
      <c r="C12" s="2" t="s">
        <v>34</v>
      </c>
      <c r="D12" s="2">
        <v>1</v>
      </c>
      <c r="E12" s="13" t="s">
        <v>135</v>
      </c>
    </row>
    <row r="13" spans="1:5" x14ac:dyDescent="0.3">
      <c r="A13" s="12" t="s">
        <v>5</v>
      </c>
      <c r="B13" s="2">
        <v>1</v>
      </c>
      <c r="C13" s="2" t="s">
        <v>34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34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34</v>
      </c>
      <c r="D15" s="2">
        <v>1</v>
      </c>
      <c r="E15" s="13" t="s">
        <v>136</v>
      </c>
    </row>
    <row r="16" spans="1:5" x14ac:dyDescent="0.3">
      <c r="A16" s="12" t="s">
        <v>13</v>
      </c>
      <c r="B16" s="2">
        <v>1</v>
      </c>
      <c r="C16" s="2" t="s">
        <v>34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34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34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34</v>
      </c>
      <c r="D19" s="2">
        <v>1</v>
      </c>
      <c r="E19" s="13" t="s">
        <v>19</v>
      </c>
    </row>
    <row r="21" spans="1:5" x14ac:dyDescent="0.3">
      <c r="A21" s="12" t="s">
        <v>114</v>
      </c>
    </row>
    <row r="22" spans="1:5" x14ac:dyDescent="0.3">
      <c r="A22" s="12" t="s">
        <v>12</v>
      </c>
      <c r="B22" s="2">
        <v>2</v>
      </c>
      <c r="C22" s="2" t="s">
        <v>34</v>
      </c>
      <c r="D22" s="2">
        <v>1</v>
      </c>
      <c r="E22" s="13" t="s">
        <v>135</v>
      </c>
    </row>
    <row r="23" spans="1:5" x14ac:dyDescent="0.3">
      <c r="A23" s="12" t="s">
        <v>5</v>
      </c>
      <c r="B23" s="2">
        <v>2</v>
      </c>
      <c r="C23" s="2" t="s">
        <v>34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34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34</v>
      </c>
      <c r="D25" s="2">
        <v>0</v>
      </c>
      <c r="E25" s="13" t="s">
        <v>136</v>
      </c>
    </row>
    <row r="26" spans="1:5" x14ac:dyDescent="0.3">
      <c r="A26" s="12" t="s">
        <v>13</v>
      </c>
      <c r="B26" s="2">
        <v>1</v>
      </c>
      <c r="C26" s="2" t="s">
        <v>34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34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34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34</v>
      </c>
      <c r="D29" s="2">
        <v>0</v>
      </c>
      <c r="E29" s="13" t="s">
        <v>19</v>
      </c>
    </row>
    <row r="31" spans="1:5" x14ac:dyDescent="0.3">
      <c r="A31" s="12" t="s">
        <v>115</v>
      </c>
    </row>
    <row r="32" spans="1:5" x14ac:dyDescent="0.3">
      <c r="A32" s="12" t="s">
        <v>12</v>
      </c>
      <c r="B32" s="2">
        <v>3</v>
      </c>
      <c r="C32" s="2" t="s">
        <v>34</v>
      </c>
      <c r="D32" s="2">
        <v>2</v>
      </c>
      <c r="E32" s="13" t="s">
        <v>135</v>
      </c>
    </row>
    <row r="33" spans="1:5" x14ac:dyDescent="0.3">
      <c r="A33" s="12" t="s">
        <v>5</v>
      </c>
      <c r="B33" s="2">
        <v>3</v>
      </c>
      <c r="C33" s="2" t="s">
        <v>34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34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34</v>
      </c>
      <c r="D35" s="2">
        <v>2</v>
      </c>
      <c r="E35" s="13" t="s">
        <v>136</v>
      </c>
    </row>
    <row r="36" spans="1:5" x14ac:dyDescent="0.3">
      <c r="A36" s="12" t="s">
        <v>13</v>
      </c>
      <c r="B36" s="2">
        <v>3</v>
      </c>
      <c r="C36" s="2" t="s">
        <v>34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34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34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34</v>
      </c>
      <c r="D39" s="2">
        <v>1</v>
      </c>
      <c r="E39" s="13" t="s">
        <v>19</v>
      </c>
    </row>
    <row r="41" spans="1:5" x14ac:dyDescent="0.3">
      <c r="A41" s="12" t="s">
        <v>116</v>
      </c>
    </row>
    <row r="42" spans="1:5" x14ac:dyDescent="0.3">
      <c r="A42" s="12" t="s">
        <v>12</v>
      </c>
      <c r="B42" s="2">
        <v>1</v>
      </c>
      <c r="C42" s="2" t="s">
        <v>34</v>
      </c>
      <c r="D42" s="2">
        <v>0</v>
      </c>
      <c r="E42" s="13" t="s">
        <v>135</v>
      </c>
    </row>
    <row r="43" spans="1:5" x14ac:dyDescent="0.3">
      <c r="A43" s="12" t="s">
        <v>5</v>
      </c>
      <c r="B43" s="2">
        <v>2</v>
      </c>
      <c r="C43" s="2" t="s">
        <v>34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34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34</v>
      </c>
      <c r="D45" s="2">
        <v>1</v>
      </c>
      <c r="E45" s="13" t="s">
        <v>136</v>
      </c>
    </row>
    <row r="46" spans="1:5" x14ac:dyDescent="0.3">
      <c r="A46" s="12" t="s">
        <v>13</v>
      </c>
      <c r="B46" s="2">
        <v>1</v>
      </c>
      <c r="C46" s="2" t="s">
        <v>34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34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34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34</v>
      </c>
      <c r="D49" s="2">
        <v>2</v>
      </c>
      <c r="E49" s="13" t="s">
        <v>19</v>
      </c>
    </row>
    <row r="51" spans="1:5" x14ac:dyDescent="0.3">
      <c r="A51" s="12" t="s">
        <v>117</v>
      </c>
    </row>
    <row r="52" spans="1:5" x14ac:dyDescent="0.3">
      <c r="A52" s="12" t="s">
        <v>12</v>
      </c>
      <c r="B52" s="2">
        <v>2</v>
      </c>
      <c r="C52" s="2" t="s">
        <v>34</v>
      </c>
      <c r="D52" s="2">
        <v>0</v>
      </c>
      <c r="E52" s="13" t="s">
        <v>135</v>
      </c>
    </row>
    <row r="53" spans="1:5" x14ac:dyDescent="0.3">
      <c r="A53" s="12" t="s">
        <v>5</v>
      </c>
      <c r="B53" s="2">
        <v>2</v>
      </c>
      <c r="C53" s="2" t="s">
        <v>34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34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34</v>
      </c>
      <c r="D55" s="2">
        <v>0</v>
      </c>
      <c r="E55" s="13" t="s">
        <v>136</v>
      </c>
    </row>
    <row r="56" spans="1:5" x14ac:dyDescent="0.3">
      <c r="A56" s="12" t="s">
        <v>13</v>
      </c>
      <c r="B56" s="2">
        <v>3</v>
      </c>
      <c r="C56" s="2" t="s">
        <v>34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34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34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34</v>
      </c>
      <c r="D59" s="2">
        <v>0</v>
      </c>
      <c r="E59" s="13" t="s">
        <v>19</v>
      </c>
    </row>
    <row r="61" spans="1:5" x14ac:dyDescent="0.3">
      <c r="A61" s="12" t="s">
        <v>118</v>
      </c>
    </row>
    <row r="62" spans="1:5" x14ac:dyDescent="0.3">
      <c r="A62" s="12" t="s">
        <v>12</v>
      </c>
      <c r="B62" s="2">
        <v>2</v>
      </c>
      <c r="C62" s="2" t="s">
        <v>34</v>
      </c>
      <c r="D62" s="2">
        <v>0</v>
      </c>
      <c r="E62" s="13" t="s">
        <v>135</v>
      </c>
    </row>
    <row r="63" spans="1:5" x14ac:dyDescent="0.3">
      <c r="A63" s="12" t="s">
        <v>5</v>
      </c>
      <c r="B63" s="2">
        <v>1</v>
      </c>
      <c r="C63" s="2" t="s">
        <v>34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34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34</v>
      </c>
      <c r="D65" s="2">
        <v>0</v>
      </c>
      <c r="E65" s="13" t="s">
        <v>136</v>
      </c>
    </row>
    <row r="66" spans="1:5" x14ac:dyDescent="0.3">
      <c r="A66" s="12" t="s">
        <v>13</v>
      </c>
      <c r="B66" s="2">
        <v>2</v>
      </c>
      <c r="C66" s="2" t="s">
        <v>34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34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34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34</v>
      </c>
      <c r="D69" s="2">
        <v>1</v>
      </c>
      <c r="E69" s="13" t="s">
        <v>19</v>
      </c>
    </row>
    <row r="71" spans="1:5" x14ac:dyDescent="0.3">
      <c r="A71" s="12" t="s">
        <v>119</v>
      </c>
    </row>
    <row r="72" spans="1:5" x14ac:dyDescent="0.3">
      <c r="A72" s="12" t="s">
        <v>12</v>
      </c>
      <c r="B72" s="2">
        <v>2</v>
      </c>
      <c r="C72" s="2" t="s">
        <v>34</v>
      </c>
      <c r="D72" s="2">
        <v>0</v>
      </c>
      <c r="E72" s="13" t="s">
        <v>135</v>
      </c>
    </row>
    <row r="73" spans="1:5" x14ac:dyDescent="0.3">
      <c r="A73" s="12" t="s">
        <v>5</v>
      </c>
      <c r="B73" s="2">
        <v>2</v>
      </c>
      <c r="C73" s="2" t="s">
        <v>34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34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34</v>
      </c>
      <c r="D75" s="2">
        <v>1</v>
      </c>
      <c r="E75" s="13" t="s">
        <v>136</v>
      </c>
    </row>
    <row r="76" spans="1:5" x14ac:dyDescent="0.3">
      <c r="A76" s="12" t="s">
        <v>13</v>
      </c>
      <c r="B76" s="2">
        <v>2</v>
      </c>
      <c r="C76" s="2" t="s">
        <v>34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34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34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34</v>
      </c>
      <c r="D79" s="2">
        <v>0</v>
      </c>
      <c r="E79" s="13" t="s">
        <v>19</v>
      </c>
    </row>
    <row r="81" spans="1:5" x14ac:dyDescent="0.3">
      <c r="A81" s="12" t="s">
        <v>120</v>
      </c>
    </row>
    <row r="82" spans="1:5" x14ac:dyDescent="0.3">
      <c r="A82" s="12" t="s">
        <v>12</v>
      </c>
      <c r="B82" s="2">
        <v>1</v>
      </c>
      <c r="C82" s="2" t="s">
        <v>34</v>
      </c>
      <c r="D82" s="2">
        <v>0</v>
      </c>
      <c r="E82" s="13" t="s">
        <v>135</v>
      </c>
    </row>
    <row r="83" spans="1:5" x14ac:dyDescent="0.3">
      <c r="A83" s="12" t="s">
        <v>5</v>
      </c>
      <c r="B83" s="2">
        <v>2</v>
      </c>
      <c r="C83" s="2" t="s">
        <v>34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34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34</v>
      </c>
      <c r="D85" s="2">
        <v>0</v>
      </c>
      <c r="E85" s="13" t="s">
        <v>136</v>
      </c>
    </row>
    <row r="86" spans="1:5" x14ac:dyDescent="0.3">
      <c r="A86" s="12" t="s">
        <v>13</v>
      </c>
      <c r="B86" s="2">
        <v>1</v>
      </c>
      <c r="C86" s="2" t="s">
        <v>34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34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34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34</v>
      </c>
      <c r="D89" s="2">
        <v>1</v>
      </c>
      <c r="E89" s="13" t="s">
        <v>19</v>
      </c>
    </row>
    <row r="91" spans="1:5" x14ac:dyDescent="0.3">
      <c r="A91" s="12" t="s">
        <v>121</v>
      </c>
    </row>
    <row r="92" spans="1:5" x14ac:dyDescent="0.3">
      <c r="A92" s="12" t="s">
        <v>12</v>
      </c>
      <c r="B92" s="2">
        <v>1</v>
      </c>
      <c r="C92" s="2" t="s">
        <v>34</v>
      </c>
      <c r="D92" s="2">
        <v>2</v>
      </c>
      <c r="E92" s="13" t="s">
        <v>135</v>
      </c>
    </row>
    <row r="93" spans="1:5" x14ac:dyDescent="0.3">
      <c r="A93" s="12" t="s">
        <v>5</v>
      </c>
      <c r="B93" s="2">
        <v>1</v>
      </c>
      <c r="C93" s="2" t="s">
        <v>34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34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34</v>
      </c>
      <c r="D95" s="2">
        <v>1</v>
      </c>
      <c r="E95" s="13" t="s">
        <v>136</v>
      </c>
    </row>
    <row r="96" spans="1:5" x14ac:dyDescent="0.3">
      <c r="A96" s="12" t="s">
        <v>13</v>
      </c>
      <c r="B96" s="2">
        <v>2</v>
      </c>
      <c r="C96" s="2" t="s">
        <v>34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34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34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34</v>
      </c>
      <c r="D99" s="2">
        <v>2</v>
      </c>
      <c r="E99" s="13" t="s">
        <v>19</v>
      </c>
    </row>
    <row r="101" spans="1:5" x14ac:dyDescent="0.3">
      <c r="A101" s="12" t="s">
        <v>122</v>
      </c>
    </row>
    <row r="102" spans="1:5" x14ac:dyDescent="0.3">
      <c r="A102" s="12" t="s">
        <v>12</v>
      </c>
      <c r="B102" s="2">
        <v>2</v>
      </c>
      <c r="C102" s="2" t="s">
        <v>34</v>
      </c>
      <c r="D102" s="2">
        <v>1</v>
      </c>
      <c r="E102" s="13" t="s">
        <v>135</v>
      </c>
    </row>
    <row r="103" spans="1:5" x14ac:dyDescent="0.3">
      <c r="A103" s="12" t="s">
        <v>5</v>
      </c>
      <c r="B103" s="2">
        <v>2</v>
      </c>
      <c r="C103" s="2" t="s">
        <v>34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34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34</v>
      </c>
      <c r="D105" s="2">
        <v>0</v>
      </c>
      <c r="E105" s="13" t="s">
        <v>136</v>
      </c>
    </row>
    <row r="106" spans="1:5" x14ac:dyDescent="0.3">
      <c r="A106" s="12" t="s">
        <v>13</v>
      </c>
      <c r="B106" s="2">
        <v>1</v>
      </c>
      <c r="C106" s="2" t="s">
        <v>34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34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34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34</v>
      </c>
      <c r="D109" s="2">
        <v>0</v>
      </c>
      <c r="E109" s="13" t="s">
        <v>19</v>
      </c>
    </row>
    <row r="111" spans="1:5" x14ac:dyDescent="0.3">
      <c r="A111" s="12" t="s">
        <v>123</v>
      </c>
    </row>
    <row r="112" spans="1:5" x14ac:dyDescent="0.3">
      <c r="A112" s="12" t="s">
        <v>12</v>
      </c>
      <c r="B112" s="2">
        <v>1</v>
      </c>
      <c r="C112" s="2" t="s">
        <v>34</v>
      </c>
      <c r="D112" s="2">
        <v>2</v>
      </c>
      <c r="E112" s="13" t="s">
        <v>135</v>
      </c>
    </row>
    <row r="113" spans="1:5" x14ac:dyDescent="0.3">
      <c r="A113" s="12" t="s">
        <v>5</v>
      </c>
      <c r="B113" s="2">
        <v>1</v>
      </c>
      <c r="C113" s="2" t="s">
        <v>34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34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34</v>
      </c>
      <c r="D115" s="2">
        <v>0</v>
      </c>
      <c r="E115" s="13" t="s">
        <v>136</v>
      </c>
    </row>
    <row r="116" spans="1:5" x14ac:dyDescent="0.3">
      <c r="A116" s="12" t="s">
        <v>13</v>
      </c>
      <c r="B116" s="2">
        <v>3</v>
      </c>
      <c r="C116" s="2" t="s">
        <v>34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34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34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34</v>
      </c>
      <c r="D119" s="2">
        <v>1</v>
      </c>
      <c r="E119" s="13" t="s">
        <v>19</v>
      </c>
    </row>
    <row r="121" spans="1:5" x14ac:dyDescent="0.3">
      <c r="A121" s="12" t="s">
        <v>124</v>
      </c>
    </row>
    <row r="122" spans="1:5" x14ac:dyDescent="0.3">
      <c r="A122" s="12" t="s">
        <v>12</v>
      </c>
      <c r="B122" s="2">
        <v>1</v>
      </c>
      <c r="C122" s="2" t="s">
        <v>34</v>
      </c>
      <c r="D122" s="2">
        <v>1</v>
      </c>
      <c r="E122" s="13" t="s">
        <v>135</v>
      </c>
    </row>
    <row r="123" spans="1:5" x14ac:dyDescent="0.3">
      <c r="A123" s="12" t="s">
        <v>5</v>
      </c>
      <c r="B123" s="2">
        <v>2</v>
      </c>
      <c r="C123" s="2" t="s">
        <v>34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34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34</v>
      </c>
      <c r="D125" s="2">
        <v>0</v>
      </c>
      <c r="E125" s="13" t="s">
        <v>136</v>
      </c>
    </row>
    <row r="126" spans="1:5" x14ac:dyDescent="0.3">
      <c r="A126" s="12" t="s">
        <v>13</v>
      </c>
      <c r="B126" s="2">
        <v>4</v>
      </c>
      <c r="C126" s="2" t="s">
        <v>34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34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34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34</v>
      </c>
      <c r="D129" s="2">
        <v>0</v>
      </c>
      <c r="E129" s="13" t="s">
        <v>19</v>
      </c>
    </row>
    <row r="131" spans="1:6" x14ac:dyDescent="0.3">
      <c r="A131" s="12" t="s">
        <v>125</v>
      </c>
    </row>
    <row r="132" spans="1:6" x14ac:dyDescent="0.3">
      <c r="A132" s="12" t="s">
        <v>12</v>
      </c>
      <c r="B132" s="2">
        <v>1</v>
      </c>
      <c r="C132" s="2" t="s">
        <v>34</v>
      </c>
      <c r="D132" s="2">
        <v>0</v>
      </c>
      <c r="E132" s="13" t="s">
        <v>137</v>
      </c>
      <c r="F132" t="s">
        <v>138</v>
      </c>
    </row>
    <row r="133" spans="1:6" x14ac:dyDescent="0.3">
      <c r="A133" s="12" t="s">
        <v>5</v>
      </c>
      <c r="B133" s="2">
        <v>2</v>
      </c>
      <c r="C133" s="2" t="s">
        <v>34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34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34</v>
      </c>
      <c r="D135" s="2">
        <v>0</v>
      </c>
      <c r="E135" s="13" t="s">
        <v>136</v>
      </c>
    </row>
    <row r="136" spans="1:6" x14ac:dyDescent="0.3">
      <c r="A136" s="12" t="s">
        <v>13</v>
      </c>
      <c r="B136" s="2">
        <v>1</v>
      </c>
      <c r="C136" s="2" t="s">
        <v>34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34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34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34</v>
      </c>
      <c r="D139" s="2">
        <v>0</v>
      </c>
      <c r="E139" s="13" t="s">
        <v>19</v>
      </c>
    </row>
    <row r="141" spans="1:6" x14ac:dyDescent="0.3">
      <c r="A141" s="12" t="s">
        <v>126</v>
      </c>
    </row>
    <row r="142" spans="1:6" x14ac:dyDescent="0.3">
      <c r="A142" s="12" t="s">
        <v>12</v>
      </c>
      <c r="B142" s="2">
        <v>1</v>
      </c>
      <c r="C142" s="2" t="s">
        <v>34</v>
      </c>
      <c r="D142" s="2">
        <v>0</v>
      </c>
      <c r="E142" s="13" t="s">
        <v>135</v>
      </c>
    </row>
    <row r="143" spans="1:6" x14ac:dyDescent="0.3">
      <c r="A143" s="12" t="s">
        <v>5</v>
      </c>
      <c r="B143" s="2">
        <v>0</v>
      </c>
      <c r="C143" s="2" t="s">
        <v>34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34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34</v>
      </c>
      <c r="D145" s="2">
        <v>1</v>
      </c>
      <c r="E145" s="13" t="s">
        <v>136</v>
      </c>
    </row>
    <row r="146" spans="1:5" x14ac:dyDescent="0.3">
      <c r="A146" s="12" t="s">
        <v>13</v>
      </c>
      <c r="B146" s="2">
        <v>1</v>
      </c>
      <c r="C146" s="2" t="s">
        <v>34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34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34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34</v>
      </c>
      <c r="D149" s="2">
        <v>0</v>
      </c>
      <c r="E149" s="13" t="s">
        <v>19</v>
      </c>
    </row>
    <row r="151" spans="1:5" x14ac:dyDescent="0.3">
      <c r="A151" s="12" t="s">
        <v>127</v>
      </c>
    </row>
    <row r="152" spans="1:5" x14ac:dyDescent="0.3">
      <c r="A152" s="12" t="s">
        <v>12</v>
      </c>
      <c r="B152" s="2">
        <v>1</v>
      </c>
      <c r="C152" s="2" t="s">
        <v>34</v>
      </c>
      <c r="D152" s="2">
        <v>2</v>
      </c>
      <c r="E152" s="13" t="s">
        <v>135</v>
      </c>
    </row>
    <row r="153" spans="1:5" x14ac:dyDescent="0.3">
      <c r="A153" s="12" t="s">
        <v>5</v>
      </c>
      <c r="B153" s="2">
        <v>2</v>
      </c>
      <c r="C153" s="2" t="s">
        <v>34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34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34</v>
      </c>
      <c r="D155" s="2">
        <v>1</v>
      </c>
      <c r="E155" s="13" t="s">
        <v>136</v>
      </c>
    </row>
    <row r="156" spans="1:5" x14ac:dyDescent="0.3">
      <c r="A156" s="12" t="s">
        <v>13</v>
      </c>
      <c r="B156" s="2">
        <v>1</v>
      </c>
      <c r="C156" s="2" t="s">
        <v>34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34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34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34</v>
      </c>
      <c r="D159" s="2">
        <v>1</v>
      </c>
      <c r="E159" s="13" t="s">
        <v>19</v>
      </c>
    </row>
    <row r="161" spans="1:5" x14ac:dyDescent="0.3">
      <c r="A161" s="12" t="s">
        <v>128</v>
      </c>
    </row>
    <row r="162" spans="1:5" x14ac:dyDescent="0.3">
      <c r="A162" s="12" t="s">
        <v>12</v>
      </c>
      <c r="B162" s="2">
        <v>2</v>
      </c>
      <c r="C162" s="2" t="s">
        <v>34</v>
      </c>
      <c r="D162" s="2">
        <v>1</v>
      </c>
      <c r="E162" s="13" t="s">
        <v>135</v>
      </c>
    </row>
    <row r="163" spans="1:5" x14ac:dyDescent="0.3">
      <c r="A163" s="12" t="s">
        <v>5</v>
      </c>
      <c r="B163" s="2">
        <v>1</v>
      </c>
      <c r="C163" s="2" t="s">
        <v>34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34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34</v>
      </c>
      <c r="D165" s="2">
        <v>0</v>
      </c>
      <c r="E165" s="13" t="s">
        <v>136</v>
      </c>
    </row>
    <row r="166" spans="1:5" x14ac:dyDescent="0.3">
      <c r="A166" s="12" t="s">
        <v>13</v>
      </c>
      <c r="B166" s="2">
        <v>1</v>
      </c>
      <c r="C166" s="2" t="s">
        <v>34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34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34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34</v>
      </c>
      <c r="D169" s="2">
        <v>1</v>
      </c>
      <c r="E169" s="13" t="s">
        <v>19</v>
      </c>
    </row>
    <row r="171" spans="1:5" x14ac:dyDescent="0.3">
      <c r="A171" s="12" t="s">
        <v>129</v>
      </c>
    </row>
    <row r="172" spans="1:5" x14ac:dyDescent="0.3">
      <c r="A172" s="12" t="s">
        <v>12</v>
      </c>
      <c r="B172" s="2">
        <v>1</v>
      </c>
      <c r="C172" s="2" t="s">
        <v>34</v>
      </c>
      <c r="D172" s="2">
        <v>2</v>
      </c>
      <c r="E172" s="13" t="s">
        <v>135</v>
      </c>
    </row>
    <row r="173" spans="1:5" x14ac:dyDescent="0.3">
      <c r="A173" s="12" t="s">
        <v>5</v>
      </c>
      <c r="B173" s="2">
        <v>1</v>
      </c>
      <c r="C173" s="2" t="s">
        <v>34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34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34</v>
      </c>
      <c r="D175" s="2">
        <v>0</v>
      </c>
      <c r="E175" s="13" t="s">
        <v>136</v>
      </c>
    </row>
    <row r="176" spans="1:5" x14ac:dyDescent="0.3">
      <c r="A176" s="12" t="s">
        <v>13</v>
      </c>
      <c r="B176" s="2">
        <v>0</v>
      </c>
      <c r="C176" s="2" t="s">
        <v>34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34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34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34</v>
      </c>
      <c r="D179" s="2">
        <v>1</v>
      </c>
      <c r="E179" s="13" t="s">
        <v>19</v>
      </c>
    </row>
    <row r="181" spans="1:5" x14ac:dyDescent="0.3">
      <c r="A181" s="12" t="s">
        <v>130</v>
      </c>
    </row>
    <row r="182" spans="1:5" x14ac:dyDescent="0.3">
      <c r="A182" s="12" t="s">
        <v>12</v>
      </c>
      <c r="B182" s="2">
        <v>3</v>
      </c>
      <c r="C182" s="2" t="s">
        <v>34</v>
      </c>
      <c r="D182" s="2">
        <v>0</v>
      </c>
      <c r="E182" s="13" t="s">
        <v>135</v>
      </c>
    </row>
    <row r="183" spans="1:5" x14ac:dyDescent="0.3">
      <c r="A183" s="12" t="s">
        <v>5</v>
      </c>
      <c r="B183" s="2">
        <v>2</v>
      </c>
      <c r="C183" s="2" t="s">
        <v>34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34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34</v>
      </c>
      <c r="D185" s="2">
        <v>0</v>
      </c>
      <c r="E185" s="13" t="s">
        <v>136</v>
      </c>
    </row>
    <row r="186" spans="1:5" x14ac:dyDescent="0.3">
      <c r="A186" s="12" t="s">
        <v>13</v>
      </c>
      <c r="B186" s="2">
        <v>2</v>
      </c>
      <c r="C186" s="2" t="s">
        <v>34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34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34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34</v>
      </c>
      <c r="D189" s="2">
        <v>2</v>
      </c>
      <c r="E189" s="13" t="s">
        <v>19</v>
      </c>
    </row>
    <row r="191" spans="1:5" x14ac:dyDescent="0.3">
      <c r="A191" s="12" t="s">
        <v>131</v>
      </c>
    </row>
    <row r="192" spans="1:5" x14ac:dyDescent="0.3">
      <c r="A192" s="12" t="s">
        <v>12</v>
      </c>
      <c r="B192" s="2">
        <v>2</v>
      </c>
      <c r="C192" s="2" t="s">
        <v>34</v>
      </c>
      <c r="D192" s="2">
        <v>1</v>
      </c>
      <c r="E192" s="13" t="s">
        <v>135</v>
      </c>
    </row>
    <row r="193" spans="1:5" x14ac:dyDescent="0.3">
      <c r="A193" s="12" t="s">
        <v>5</v>
      </c>
      <c r="B193" s="2">
        <v>2</v>
      </c>
      <c r="C193" s="2" t="s">
        <v>34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34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34</v>
      </c>
      <c r="D195" s="2">
        <v>0</v>
      </c>
      <c r="E195" s="13" t="s">
        <v>136</v>
      </c>
    </row>
    <row r="196" spans="1:5" x14ac:dyDescent="0.3">
      <c r="A196" s="12" t="s">
        <v>13</v>
      </c>
      <c r="B196" s="2">
        <v>2</v>
      </c>
      <c r="C196" s="2" t="s">
        <v>34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34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34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34</v>
      </c>
      <c r="D199" s="2">
        <v>1</v>
      </c>
      <c r="E199" s="13" t="s">
        <v>19</v>
      </c>
    </row>
    <row r="201" spans="1:5" x14ac:dyDescent="0.3">
      <c r="A201" s="12" t="s">
        <v>132</v>
      </c>
    </row>
    <row r="202" spans="1:5" x14ac:dyDescent="0.3">
      <c r="A202" s="12" t="s">
        <v>12</v>
      </c>
      <c r="B202" s="2">
        <v>1</v>
      </c>
      <c r="C202" s="2" t="s">
        <v>34</v>
      </c>
      <c r="D202" s="2">
        <v>0</v>
      </c>
      <c r="E202" s="13" t="s">
        <v>135</v>
      </c>
    </row>
    <row r="203" spans="1:5" x14ac:dyDescent="0.3">
      <c r="A203" s="12" t="s">
        <v>5</v>
      </c>
      <c r="B203" s="2">
        <v>2</v>
      </c>
      <c r="C203" s="2" t="s">
        <v>34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34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34</v>
      </c>
      <c r="D205" s="2">
        <v>1</v>
      </c>
      <c r="E205" s="13" t="s">
        <v>136</v>
      </c>
    </row>
    <row r="206" spans="1:5" x14ac:dyDescent="0.3">
      <c r="A206" s="12" t="s">
        <v>13</v>
      </c>
      <c r="B206" s="2">
        <v>1</v>
      </c>
      <c r="C206" s="2" t="s">
        <v>34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34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34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34</v>
      </c>
      <c r="D209" s="2">
        <v>1</v>
      </c>
      <c r="E209" s="13" t="s">
        <v>19</v>
      </c>
    </row>
    <row r="211" spans="1:5" x14ac:dyDescent="0.3">
      <c r="A211" s="12" t="s">
        <v>133</v>
      </c>
    </row>
    <row r="212" spans="1:5" x14ac:dyDescent="0.3">
      <c r="A212" s="12" t="s">
        <v>12</v>
      </c>
      <c r="B212" s="2">
        <v>1</v>
      </c>
      <c r="C212" s="2" t="s">
        <v>34</v>
      </c>
      <c r="D212" s="2">
        <v>2</v>
      </c>
      <c r="E212" s="13" t="s">
        <v>135</v>
      </c>
    </row>
    <row r="213" spans="1:5" x14ac:dyDescent="0.3">
      <c r="A213" s="12" t="s">
        <v>5</v>
      </c>
      <c r="B213" s="2">
        <v>2</v>
      </c>
      <c r="C213" s="2" t="s">
        <v>34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34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34</v>
      </c>
      <c r="D215" s="2">
        <v>1</v>
      </c>
      <c r="E215" s="13" t="s">
        <v>136</v>
      </c>
    </row>
    <row r="216" spans="1:5" x14ac:dyDescent="0.3">
      <c r="A216" s="12" t="s">
        <v>13</v>
      </c>
      <c r="B216" s="2">
        <v>0</v>
      </c>
      <c r="C216" s="2" t="s">
        <v>34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34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34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34</v>
      </c>
      <c r="D219" s="2">
        <v>0</v>
      </c>
      <c r="E219" s="13" t="s">
        <v>19</v>
      </c>
    </row>
    <row r="221" spans="1:5" x14ac:dyDescent="0.3">
      <c r="A221" s="12" t="s">
        <v>134</v>
      </c>
    </row>
    <row r="222" spans="1:5" x14ac:dyDescent="0.3">
      <c r="A222" s="12" t="s">
        <v>12</v>
      </c>
      <c r="B222" s="2">
        <v>1</v>
      </c>
      <c r="C222" s="2" t="s">
        <v>34</v>
      </c>
      <c r="D222" s="2">
        <v>0</v>
      </c>
      <c r="E222" s="13" t="s">
        <v>135</v>
      </c>
    </row>
    <row r="223" spans="1:5" x14ac:dyDescent="0.3">
      <c r="A223" s="12" t="s">
        <v>5</v>
      </c>
      <c r="B223" s="2">
        <v>2</v>
      </c>
      <c r="C223" s="2" t="s">
        <v>34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34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34</v>
      </c>
      <c r="D225" s="2">
        <v>1</v>
      </c>
      <c r="E225" s="13" t="s">
        <v>136</v>
      </c>
    </row>
    <row r="226" spans="1:5" x14ac:dyDescent="0.3">
      <c r="A226" s="12" t="s">
        <v>13</v>
      </c>
      <c r="B226" s="2">
        <v>1</v>
      </c>
      <c r="C226" s="2" t="s">
        <v>34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34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34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34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zoomScale="85" zoomScaleNormal="85" workbookViewId="0">
      <selection activeCell="F17" sqref="F17"/>
    </sheetView>
  </sheetViews>
  <sheetFormatPr defaultColWidth="8.88671875" defaultRowHeight="18" x14ac:dyDescent="0.3"/>
  <cols>
    <col min="1" max="1" width="18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8" style="13" customWidth="1"/>
    <col min="6" max="6" width="1.6640625" style="14" customWidth="1"/>
    <col min="7" max="7" width="18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8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20" width="8.109375" style="3" customWidth="1"/>
    <col min="21" max="21" width="1.88671875" style="3" customWidth="1"/>
    <col min="22" max="24" width="8.109375" style="3" customWidth="1"/>
    <col min="25" max="16384" width="8.88671875" style="3"/>
  </cols>
  <sheetData>
    <row r="1" spans="1:24" ht="16.8" thickTop="1" thickBot="1" x14ac:dyDescent="0.35">
      <c r="A1" s="162" t="s">
        <v>230</v>
      </c>
      <c r="B1" s="163"/>
      <c r="C1" s="163"/>
      <c r="D1" s="163"/>
      <c r="E1" s="163"/>
      <c r="F1" s="163"/>
      <c r="G1" s="163"/>
      <c r="H1" s="163"/>
      <c r="I1" s="163"/>
      <c r="J1" s="163"/>
      <c r="K1" s="164"/>
    </row>
    <row r="2" spans="1:24" ht="16.2" thickTop="1" x14ac:dyDescent="0.3">
      <c r="A2" s="108" t="s">
        <v>0</v>
      </c>
      <c r="B2" s="109"/>
      <c r="C2" s="109"/>
      <c r="D2" s="109"/>
      <c r="E2" s="109"/>
      <c r="F2" s="15"/>
      <c r="G2" s="109" t="s">
        <v>22</v>
      </c>
      <c r="H2" s="109"/>
      <c r="I2" s="109"/>
      <c r="J2" s="109"/>
      <c r="K2" s="116"/>
      <c r="O2" s="165" t="s">
        <v>21</v>
      </c>
      <c r="P2" s="166"/>
      <c r="R2" s="144" t="s">
        <v>228</v>
      </c>
      <c r="S2" s="145"/>
      <c r="T2" s="146"/>
      <c r="V2" s="135" t="s">
        <v>28</v>
      </c>
      <c r="W2" s="136"/>
      <c r="X2" s="137"/>
    </row>
    <row r="3" spans="1:24" ht="18" customHeight="1" x14ac:dyDescent="0.3">
      <c r="A3" s="56" t="s">
        <v>196</v>
      </c>
      <c r="B3" s="57">
        <v>0</v>
      </c>
      <c r="C3" s="58" t="s">
        <v>20</v>
      </c>
      <c r="D3" s="57">
        <v>0</v>
      </c>
      <c r="E3" s="29" t="s">
        <v>197</v>
      </c>
      <c r="F3" s="16"/>
      <c r="G3" s="47" t="s">
        <v>212</v>
      </c>
      <c r="H3" s="49"/>
      <c r="I3" s="6" t="s">
        <v>20</v>
      </c>
      <c r="J3" s="49"/>
      <c r="K3" s="45" t="s">
        <v>213</v>
      </c>
      <c r="O3" s="5" t="s">
        <v>196</v>
      </c>
      <c r="P3" s="9" t="s">
        <v>223</v>
      </c>
      <c r="R3" s="117">
        <f>V12*0.4</f>
        <v>80</v>
      </c>
      <c r="S3" s="118"/>
      <c r="T3" s="119"/>
      <c r="V3" s="152">
        <v>10</v>
      </c>
      <c r="W3" s="153"/>
      <c r="X3" s="154"/>
    </row>
    <row r="4" spans="1:24" ht="18" customHeight="1" x14ac:dyDescent="0.3">
      <c r="A4" s="56" t="s">
        <v>198</v>
      </c>
      <c r="B4" s="57"/>
      <c r="C4" s="58" t="s">
        <v>20</v>
      </c>
      <c r="D4" s="57"/>
      <c r="E4" s="29" t="s">
        <v>199</v>
      </c>
      <c r="F4" s="16"/>
      <c r="G4" s="47" t="s">
        <v>214</v>
      </c>
      <c r="H4" s="49"/>
      <c r="I4" s="6" t="s">
        <v>20</v>
      </c>
      <c r="J4" s="49"/>
      <c r="K4" s="45" t="s">
        <v>215</v>
      </c>
      <c r="O4" s="5" t="s">
        <v>222</v>
      </c>
      <c r="P4" s="9" t="s">
        <v>209</v>
      </c>
      <c r="R4" s="117"/>
      <c r="S4" s="118"/>
      <c r="T4" s="119"/>
      <c r="V4" s="152"/>
      <c r="W4" s="153"/>
      <c r="X4" s="154"/>
    </row>
    <row r="5" spans="1:24" ht="18" customHeight="1" x14ac:dyDescent="0.3">
      <c r="A5" s="56" t="s">
        <v>198</v>
      </c>
      <c r="B5" s="57"/>
      <c r="C5" s="58" t="s">
        <v>20</v>
      </c>
      <c r="D5" s="57"/>
      <c r="E5" s="29" t="s">
        <v>196</v>
      </c>
      <c r="F5" s="16"/>
      <c r="G5" s="47" t="s">
        <v>215</v>
      </c>
      <c r="H5" s="49"/>
      <c r="I5" s="6" t="s">
        <v>20</v>
      </c>
      <c r="J5" s="49"/>
      <c r="K5" s="45" t="s">
        <v>213</v>
      </c>
      <c r="O5" s="5" t="s">
        <v>225</v>
      </c>
      <c r="P5" s="9" t="s">
        <v>219</v>
      </c>
      <c r="R5" s="120"/>
      <c r="S5" s="121"/>
      <c r="T5" s="122"/>
      <c r="V5" s="155"/>
      <c r="W5" s="156"/>
      <c r="X5" s="157"/>
    </row>
    <row r="6" spans="1:24" x14ac:dyDescent="0.3">
      <c r="A6" s="56" t="s">
        <v>197</v>
      </c>
      <c r="B6" s="57"/>
      <c r="C6" s="58" t="s">
        <v>20</v>
      </c>
      <c r="D6" s="57"/>
      <c r="E6" s="29" t="s">
        <v>199</v>
      </c>
      <c r="F6" s="16"/>
      <c r="G6" s="47" t="s">
        <v>212</v>
      </c>
      <c r="H6" s="49"/>
      <c r="I6" s="6" t="s">
        <v>20</v>
      </c>
      <c r="J6" s="49"/>
      <c r="K6" s="45" t="s">
        <v>214</v>
      </c>
      <c r="O6" s="5" t="s">
        <v>201</v>
      </c>
      <c r="P6" s="9" t="s">
        <v>220</v>
      </c>
    </row>
    <row r="7" spans="1:24" x14ac:dyDescent="0.3">
      <c r="A7" s="56" t="s">
        <v>197</v>
      </c>
      <c r="B7" s="57"/>
      <c r="C7" s="58" t="s">
        <v>20</v>
      </c>
      <c r="D7" s="57"/>
      <c r="E7" s="29" t="s">
        <v>198</v>
      </c>
      <c r="F7" s="16"/>
      <c r="G7" s="47" t="s">
        <v>215</v>
      </c>
      <c r="H7" s="49"/>
      <c r="I7" s="6" t="s">
        <v>20</v>
      </c>
      <c r="J7" s="49"/>
      <c r="K7" s="45" t="s">
        <v>212</v>
      </c>
      <c r="O7" s="5" t="s">
        <v>205</v>
      </c>
      <c r="P7" s="9" t="s">
        <v>214</v>
      </c>
      <c r="R7" s="158" t="s">
        <v>31</v>
      </c>
      <c r="S7" s="159"/>
      <c r="T7" s="160"/>
      <c r="V7" s="135" t="s">
        <v>29</v>
      </c>
      <c r="W7" s="136"/>
      <c r="X7" s="137"/>
    </row>
    <row r="8" spans="1:24" x14ac:dyDescent="0.3">
      <c r="A8" s="56" t="s">
        <v>199</v>
      </c>
      <c r="B8" s="57"/>
      <c r="C8" s="58" t="s">
        <v>20</v>
      </c>
      <c r="D8" s="57"/>
      <c r="E8" s="29" t="s">
        <v>196</v>
      </c>
      <c r="F8" s="16"/>
      <c r="G8" s="47" t="s">
        <v>213</v>
      </c>
      <c r="H8" s="49"/>
      <c r="I8" s="6" t="s">
        <v>20</v>
      </c>
      <c r="J8" s="49"/>
      <c r="K8" s="45" t="s">
        <v>214</v>
      </c>
      <c r="O8" s="5" t="s">
        <v>204</v>
      </c>
      <c r="P8" s="9" t="s">
        <v>226</v>
      </c>
      <c r="R8" s="117">
        <f>V12*0.3</f>
        <v>60</v>
      </c>
      <c r="S8" s="118"/>
      <c r="T8" s="119"/>
      <c r="V8" s="129">
        <v>20</v>
      </c>
      <c r="W8" s="130"/>
      <c r="X8" s="131"/>
    </row>
    <row r="9" spans="1:24" ht="15.6" x14ac:dyDescent="0.3">
      <c r="A9" s="108" t="s">
        <v>1</v>
      </c>
      <c r="B9" s="109"/>
      <c r="C9" s="109"/>
      <c r="D9" s="109"/>
      <c r="E9" s="109"/>
      <c r="F9" s="16"/>
      <c r="G9" s="109" t="s">
        <v>23</v>
      </c>
      <c r="H9" s="109"/>
      <c r="I9" s="109"/>
      <c r="J9" s="109"/>
      <c r="K9" s="116"/>
      <c r="O9" s="5" t="s">
        <v>207</v>
      </c>
      <c r="P9" s="9" t="s">
        <v>198</v>
      </c>
      <c r="R9" s="120"/>
      <c r="S9" s="121"/>
      <c r="T9" s="122"/>
      <c r="V9" s="132"/>
      <c r="W9" s="133"/>
      <c r="X9" s="134"/>
    </row>
    <row r="10" spans="1:24" x14ac:dyDescent="0.3">
      <c r="A10" s="41" t="s">
        <v>200</v>
      </c>
      <c r="B10" s="49"/>
      <c r="C10" s="6" t="s">
        <v>20</v>
      </c>
      <c r="D10" s="49"/>
      <c r="E10" s="43" t="s">
        <v>201</v>
      </c>
      <c r="F10" s="16"/>
      <c r="G10" s="47" t="s">
        <v>216</v>
      </c>
      <c r="H10" s="49"/>
      <c r="I10" s="6" t="s">
        <v>20</v>
      </c>
      <c r="J10" s="49"/>
      <c r="K10" s="45" t="s">
        <v>231</v>
      </c>
      <c r="O10" s="5" t="s">
        <v>206</v>
      </c>
      <c r="P10" s="9" t="s">
        <v>199</v>
      </c>
    </row>
    <row r="11" spans="1:24" x14ac:dyDescent="0.3">
      <c r="A11" s="41" t="s">
        <v>202</v>
      </c>
      <c r="B11" s="49"/>
      <c r="C11" s="6" t="s">
        <v>20</v>
      </c>
      <c r="D11" s="49"/>
      <c r="E11" s="43" t="s">
        <v>203</v>
      </c>
      <c r="F11" s="16"/>
      <c r="G11" s="47" t="s">
        <v>218</v>
      </c>
      <c r="H11" s="49"/>
      <c r="I11" s="6" t="s">
        <v>20</v>
      </c>
      <c r="J11" s="49"/>
      <c r="K11" s="45" t="s">
        <v>219</v>
      </c>
      <c r="O11" s="5" t="s">
        <v>217</v>
      </c>
      <c r="P11" s="9" t="s">
        <v>200</v>
      </c>
      <c r="R11" s="141" t="s">
        <v>32</v>
      </c>
      <c r="S11" s="142"/>
      <c r="T11" s="143"/>
      <c r="V11" s="135" t="s">
        <v>30</v>
      </c>
      <c r="W11" s="136"/>
      <c r="X11" s="137"/>
    </row>
    <row r="12" spans="1:24" ht="15.75" customHeight="1" x14ac:dyDescent="0.3">
      <c r="A12" s="41" t="s">
        <v>203</v>
      </c>
      <c r="B12" s="49"/>
      <c r="C12" s="6" t="s">
        <v>20</v>
      </c>
      <c r="D12" s="49"/>
      <c r="E12" s="43" t="s">
        <v>201</v>
      </c>
      <c r="F12" s="16"/>
      <c r="G12" s="47" t="s">
        <v>219</v>
      </c>
      <c r="H12" s="49"/>
      <c r="I12" s="6" t="s">
        <v>20</v>
      </c>
      <c r="J12" s="49"/>
      <c r="K12" s="45" t="s">
        <v>231</v>
      </c>
      <c r="O12" s="5" t="s">
        <v>202</v>
      </c>
      <c r="P12" s="9" t="s">
        <v>227</v>
      </c>
      <c r="R12" s="117">
        <f>V12*0.2</f>
        <v>40</v>
      </c>
      <c r="S12" s="118"/>
      <c r="T12" s="119"/>
      <c r="V12" s="147">
        <f>V3*V8</f>
        <v>200</v>
      </c>
      <c r="W12" s="112"/>
      <c r="X12" s="148"/>
    </row>
    <row r="13" spans="1:24" ht="15.75" customHeight="1" x14ac:dyDescent="0.3">
      <c r="A13" s="41" t="s">
        <v>200</v>
      </c>
      <c r="B13" s="49"/>
      <c r="C13" s="6" t="s">
        <v>20</v>
      </c>
      <c r="D13" s="49"/>
      <c r="E13" s="43" t="s">
        <v>202</v>
      </c>
      <c r="F13" s="16"/>
      <c r="G13" s="47" t="s">
        <v>216</v>
      </c>
      <c r="H13" s="49"/>
      <c r="I13" s="6" t="s">
        <v>20</v>
      </c>
      <c r="J13" s="49"/>
      <c r="K13" s="45" t="s">
        <v>218</v>
      </c>
      <c r="O13" s="5" t="s">
        <v>208</v>
      </c>
      <c r="P13" s="9" t="s">
        <v>224</v>
      </c>
      <c r="R13" s="120"/>
      <c r="S13" s="121"/>
      <c r="T13" s="122"/>
      <c r="V13" s="149"/>
      <c r="W13" s="150"/>
      <c r="X13" s="151"/>
    </row>
    <row r="14" spans="1:24" ht="15.75" customHeight="1" x14ac:dyDescent="0.3">
      <c r="A14" s="41" t="s">
        <v>203</v>
      </c>
      <c r="B14" s="49"/>
      <c r="C14" s="6" t="s">
        <v>20</v>
      </c>
      <c r="D14" s="49"/>
      <c r="E14" s="43" t="s">
        <v>200</v>
      </c>
      <c r="F14" s="16"/>
      <c r="G14" s="47" t="s">
        <v>219</v>
      </c>
      <c r="H14" s="49"/>
      <c r="I14" s="6" t="s">
        <v>20</v>
      </c>
      <c r="J14" s="49"/>
      <c r="K14" s="45" t="s">
        <v>216</v>
      </c>
      <c r="O14" s="5" t="s">
        <v>211</v>
      </c>
      <c r="P14" s="9" t="s">
        <v>212</v>
      </c>
      <c r="V14" s="11"/>
      <c r="W14" s="11"/>
      <c r="X14" s="11"/>
    </row>
    <row r="15" spans="1:24" x14ac:dyDescent="0.3">
      <c r="A15" s="41" t="s">
        <v>201</v>
      </c>
      <c r="B15" s="49"/>
      <c r="C15" s="6" t="s">
        <v>20</v>
      </c>
      <c r="D15" s="49"/>
      <c r="E15" s="43" t="s">
        <v>202</v>
      </c>
      <c r="F15" s="16"/>
      <c r="G15" s="47" t="s">
        <v>217</v>
      </c>
      <c r="H15" s="49"/>
      <c r="I15" s="6" t="s">
        <v>20</v>
      </c>
      <c r="J15" s="49"/>
      <c r="K15" s="45" t="s">
        <v>218</v>
      </c>
      <c r="O15" s="5" t="s">
        <v>210</v>
      </c>
      <c r="P15" s="9" t="s">
        <v>203</v>
      </c>
      <c r="R15" s="138" t="s">
        <v>229</v>
      </c>
      <c r="S15" s="139"/>
      <c r="T15" s="140"/>
      <c r="V15" s="128"/>
      <c r="W15" s="128"/>
      <c r="X15" s="128"/>
    </row>
    <row r="16" spans="1:24" ht="21" customHeight="1" x14ac:dyDescent="0.3">
      <c r="A16" s="108" t="s">
        <v>2</v>
      </c>
      <c r="B16" s="109"/>
      <c r="C16" s="109"/>
      <c r="D16" s="109"/>
      <c r="E16" s="109"/>
      <c r="F16" s="16"/>
      <c r="G16" s="109" t="s">
        <v>24</v>
      </c>
      <c r="H16" s="109"/>
      <c r="I16" s="109"/>
      <c r="J16" s="109"/>
      <c r="K16" s="116"/>
      <c r="O16" s="5" t="s">
        <v>216</v>
      </c>
      <c r="P16" s="9" t="s">
        <v>218</v>
      </c>
      <c r="R16" s="117">
        <f>V12*0.1</f>
        <v>20</v>
      </c>
      <c r="S16" s="118"/>
      <c r="T16" s="119"/>
      <c r="V16" s="112"/>
      <c r="W16" s="112"/>
      <c r="X16" s="112"/>
    </row>
    <row r="17" spans="1:24" ht="21" customHeight="1" x14ac:dyDescent="0.3">
      <c r="A17" s="41" t="s">
        <v>204</v>
      </c>
      <c r="B17" s="49">
        <v>6</v>
      </c>
      <c r="C17" s="6" t="s">
        <v>20</v>
      </c>
      <c r="D17" s="49">
        <v>0</v>
      </c>
      <c r="E17" s="43" t="s">
        <v>205</v>
      </c>
      <c r="F17" s="16"/>
      <c r="G17" s="47" t="s">
        <v>220</v>
      </c>
      <c r="H17" s="49"/>
      <c r="I17" s="6" t="s">
        <v>20</v>
      </c>
      <c r="J17" s="49"/>
      <c r="K17" s="45" t="s">
        <v>221</v>
      </c>
      <c r="O17" s="5" t="s">
        <v>215</v>
      </c>
      <c r="P17" s="9" t="s">
        <v>213</v>
      </c>
      <c r="R17" s="120"/>
      <c r="S17" s="121"/>
      <c r="T17" s="122"/>
      <c r="V17" s="112"/>
      <c r="W17" s="112"/>
      <c r="X17" s="112"/>
    </row>
    <row r="18" spans="1:24" ht="18.600000000000001" thickBot="1" x14ac:dyDescent="0.35">
      <c r="A18" s="41" t="s">
        <v>206</v>
      </c>
      <c r="B18" s="49"/>
      <c r="C18" s="6" t="s">
        <v>20</v>
      </c>
      <c r="D18" s="49"/>
      <c r="E18" s="43" t="s">
        <v>207</v>
      </c>
      <c r="F18" s="16"/>
      <c r="G18" s="47" t="s">
        <v>222</v>
      </c>
      <c r="H18" s="49"/>
      <c r="I18" s="6" t="s">
        <v>20</v>
      </c>
      <c r="J18" s="49"/>
      <c r="K18" s="45" t="s">
        <v>223</v>
      </c>
      <c r="O18" s="7" t="s">
        <v>197</v>
      </c>
      <c r="P18" s="10" t="s">
        <v>221</v>
      </c>
    </row>
    <row r="19" spans="1:24" ht="18.600000000000001" thickTop="1" x14ac:dyDescent="0.3">
      <c r="A19" s="41" t="s">
        <v>207</v>
      </c>
      <c r="B19" s="49"/>
      <c r="C19" s="6" t="s">
        <v>20</v>
      </c>
      <c r="D19" s="49"/>
      <c r="E19" s="43" t="s">
        <v>205</v>
      </c>
      <c r="F19" s="16"/>
      <c r="G19" s="47" t="s">
        <v>223</v>
      </c>
      <c r="H19" s="49"/>
      <c r="I19" s="6" t="s">
        <v>20</v>
      </c>
      <c r="J19" s="49"/>
      <c r="K19" s="45" t="s">
        <v>221</v>
      </c>
    </row>
    <row r="20" spans="1:24" x14ac:dyDescent="0.3">
      <c r="A20" s="41" t="s">
        <v>204</v>
      </c>
      <c r="B20" s="49"/>
      <c r="C20" s="6" t="s">
        <v>20</v>
      </c>
      <c r="D20" s="49"/>
      <c r="E20" s="43" t="s">
        <v>206</v>
      </c>
      <c r="F20" s="16"/>
      <c r="G20" s="47" t="s">
        <v>220</v>
      </c>
      <c r="H20" s="49"/>
      <c r="I20" s="6" t="s">
        <v>20</v>
      </c>
      <c r="J20" s="49"/>
      <c r="K20" s="45" t="s">
        <v>222</v>
      </c>
      <c r="O20" s="114" t="s">
        <v>94</v>
      </c>
      <c r="P20" s="114"/>
      <c r="Q20" s="114"/>
      <c r="R20" s="113"/>
      <c r="S20" s="113"/>
      <c r="T20" s="113"/>
    </row>
    <row r="21" spans="1:24" x14ac:dyDescent="0.3">
      <c r="A21" s="41" t="s">
        <v>207</v>
      </c>
      <c r="B21" s="49"/>
      <c r="C21" s="6" t="s">
        <v>20</v>
      </c>
      <c r="D21" s="49"/>
      <c r="E21" s="43" t="s">
        <v>204</v>
      </c>
      <c r="F21" s="16"/>
      <c r="G21" s="47" t="s">
        <v>223</v>
      </c>
      <c r="H21" s="49"/>
      <c r="I21" s="6" t="s">
        <v>20</v>
      </c>
      <c r="J21" s="49"/>
      <c r="K21" s="45" t="s">
        <v>220</v>
      </c>
      <c r="O21" s="114" t="s">
        <v>95</v>
      </c>
      <c r="P21" s="114"/>
      <c r="Q21" s="114"/>
      <c r="R21" s="115"/>
      <c r="S21" s="115"/>
      <c r="T21" s="115"/>
    </row>
    <row r="22" spans="1:24" x14ac:dyDescent="0.3">
      <c r="A22" s="41" t="s">
        <v>205</v>
      </c>
      <c r="B22" s="49"/>
      <c r="C22" s="6" t="s">
        <v>20</v>
      </c>
      <c r="D22" s="49"/>
      <c r="E22" s="43" t="s">
        <v>206</v>
      </c>
      <c r="F22" s="16"/>
      <c r="G22" s="47" t="s">
        <v>221</v>
      </c>
      <c r="H22" s="49"/>
      <c r="I22" s="6" t="s">
        <v>20</v>
      </c>
      <c r="J22" s="49"/>
      <c r="K22" s="45" t="s">
        <v>222</v>
      </c>
    </row>
    <row r="23" spans="1:24" ht="15.6" x14ac:dyDescent="0.3">
      <c r="A23" s="108" t="s">
        <v>3</v>
      </c>
      <c r="B23" s="109"/>
      <c r="C23" s="109"/>
      <c r="D23" s="109"/>
      <c r="E23" s="109"/>
      <c r="F23" s="16"/>
      <c r="G23" s="109" t="s">
        <v>25</v>
      </c>
      <c r="H23" s="109"/>
      <c r="I23" s="109"/>
      <c r="J23" s="109"/>
      <c r="K23" s="116"/>
    </row>
    <row r="24" spans="1:24" x14ac:dyDescent="0.3">
      <c r="A24" s="41" t="s">
        <v>208</v>
      </c>
      <c r="B24" s="49"/>
      <c r="C24" s="6" t="s">
        <v>20</v>
      </c>
      <c r="D24" s="49"/>
      <c r="E24" s="43" t="s">
        <v>209</v>
      </c>
      <c r="F24" s="16"/>
      <c r="G24" s="47" t="s">
        <v>224</v>
      </c>
      <c r="H24" s="49"/>
      <c r="I24" s="6" t="s">
        <v>20</v>
      </c>
      <c r="J24" s="49"/>
      <c r="K24" s="45" t="s">
        <v>225</v>
      </c>
    </row>
    <row r="25" spans="1:24" x14ac:dyDescent="0.3">
      <c r="A25" s="41" t="s">
        <v>210</v>
      </c>
      <c r="B25" s="49"/>
      <c r="C25" s="6" t="s">
        <v>20</v>
      </c>
      <c r="D25" s="49"/>
      <c r="E25" s="43" t="s">
        <v>211</v>
      </c>
      <c r="F25" s="16"/>
      <c r="G25" s="47" t="s">
        <v>226</v>
      </c>
      <c r="H25" s="49"/>
      <c r="I25" s="6" t="s">
        <v>20</v>
      </c>
      <c r="J25" s="49"/>
      <c r="K25" s="45" t="s">
        <v>227</v>
      </c>
    </row>
    <row r="26" spans="1:24" x14ac:dyDescent="0.3">
      <c r="A26" s="41" t="s">
        <v>210</v>
      </c>
      <c r="B26" s="49"/>
      <c r="C26" s="6" t="s">
        <v>20</v>
      </c>
      <c r="D26" s="49"/>
      <c r="E26" s="43" t="s">
        <v>208</v>
      </c>
      <c r="F26" s="16"/>
      <c r="G26" s="47" t="s">
        <v>224</v>
      </c>
      <c r="H26" s="49"/>
      <c r="I26" s="6" t="s">
        <v>20</v>
      </c>
      <c r="J26" s="49"/>
      <c r="K26" s="45" t="s">
        <v>226</v>
      </c>
    </row>
    <row r="27" spans="1:24" x14ac:dyDescent="0.3">
      <c r="A27" s="41" t="s">
        <v>209</v>
      </c>
      <c r="B27" s="49"/>
      <c r="C27" s="6" t="s">
        <v>20</v>
      </c>
      <c r="D27" s="49"/>
      <c r="E27" s="43" t="s">
        <v>211</v>
      </c>
      <c r="F27" s="16"/>
      <c r="G27" s="47" t="s">
        <v>227</v>
      </c>
      <c r="H27" s="49"/>
      <c r="I27" s="6" t="s">
        <v>20</v>
      </c>
      <c r="J27" s="49"/>
      <c r="K27" s="45" t="s">
        <v>225</v>
      </c>
    </row>
    <row r="28" spans="1:24" x14ac:dyDescent="0.3">
      <c r="A28" s="41" t="s">
        <v>211</v>
      </c>
      <c r="B28" s="49"/>
      <c r="C28" s="6" t="s">
        <v>20</v>
      </c>
      <c r="D28" s="49"/>
      <c r="E28" s="43" t="s">
        <v>208</v>
      </c>
      <c r="F28" s="16"/>
      <c r="G28" s="47" t="s">
        <v>227</v>
      </c>
      <c r="H28" s="49"/>
      <c r="I28" s="6" t="s">
        <v>20</v>
      </c>
      <c r="J28" s="49"/>
      <c r="K28" s="45" t="s">
        <v>224</v>
      </c>
    </row>
    <row r="29" spans="1:24" ht="18.600000000000001" thickBot="1" x14ac:dyDescent="0.35">
      <c r="A29" s="42" t="s">
        <v>209</v>
      </c>
      <c r="B29" s="50"/>
      <c r="C29" s="8" t="s">
        <v>20</v>
      </c>
      <c r="D29" s="50"/>
      <c r="E29" s="44" t="s">
        <v>210</v>
      </c>
      <c r="F29" s="17"/>
      <c r="G29" s="48" t="s">
        <v>225</v>
      </c>
      <c r="H29" s="50"/>
      <c r="I29" s="8" t="s">
        <v>20</v>
      </c>
      <c r="J29" s="50"/>
      <c r="K29" s="46" t="s">
        <v>226</v>
      </c>
    </row>
    <row r="30" spans="1:24" ht="19.2" thickTop="1" thickBot="1" x14ac:dyDescent="0.35"/>
    <row r="31" spans="1:24" ht="16.2" thickTop="1" x14ac:dyDescent="0.3">
      <c r="A31" s="105" t="s">
        <v>139</v>
      </c>
      <c r="B31" s="106"/>
      <c r="C31" s="106"/>
      <c r="D31" s="106"/>
      <c r="E31" s="107"/>
      <c r="G31" s="108" t="s">
        <v>142</v>
      </c>
      <c r="H31" s="109"/>
      <c r="I31" s="109"/>
      <c r="J31" s="109"/>
      <c r="K31" s="109"/>
    </row>
    <row r="32" spans="1:24" x14ac:dyDescent="0.3">
      <c r="A32" s="41"/>
      <c r="B32" s="49"/>
      <c r="C32" s="6" t="s">
        <v>34</v>
      </c>
      <c r="D32" s="49"/>
      <c r="E32" s="45"/>
      <c r="G32" s="123"/>
      <c r="H32" s="124"/>
      <c r="I32" s="124"/>
      <c r="J32" s="124"/>
      <c r="K32" s="125"/>
    </row>
    <row r="33" spans="1:11" x14ac:dyDescent="0.3">
      <c r="A33" s="41"/>
      <c r="B33" s="49"/>
      <c r="C33" s="6" t="s">
        <v>34</v>
      </c>
      <c r="D33" s="49"/>
      <c r="E33" s="45"/>
    </row>
    <row r="34" spans="1:11" x14ac:dyDescent="0.3">
      <c r="A34" s="41"/>
      <c r="B34" s="49"/>
      <c r="C34" s="6" t="s">
        <v>34</v>
      </c>
      <c r="D34" s="49"/>
      <c r="E34" s="45"/>
      <c r="G34" s="126" t="s">
        <v>95</v>
      </c>
      <c r="H34" s="127"/>
      <c r="I34" s="127"/>
      <c r="J34" s="127"/>
      <c r="K34" s="127"/>
    </row>
    <row r="35" spans="1:11" x14ac:dyDescent="0.3">
      <c r="A35" s="41"/>
      <c r="B35" s="49"/>
      <c r="C35" s="6" t="s">
        <v>34</v>
      </c>
      <c r="D35" s="49"/>
      <c r="E35" s="45"/>
      <c r="G35" s="161"/>
      <c r="H35" s="161"/>
      <c r="I35" s="161"/>
      <c r="J35" s="161"/>
      <c r="K35" s="161"/>
    </row>
    <row r="36" spans="1:11" x14ac:dyDescent="0.3">
      <c r="A36" s="41"/>
      <c r="B36" s="49"/>
      <c r="C36" s="6" t="s">
        <v>34</v>
      </c>
      <c r="D36" s="49"/>
      <c r="E36" s="45"/>
    </row>
    <row r="37" spans="1:11" x14ac:dyDescent="0.3">
      <c r="A37" s="41"/>
      <c r="B37" s="49"/>
      <c r="C37" s="6" t="s">
        <v>34</v>
      </c>
      <c r="D37" s="49"/>
      <c r="E37" s="45"/>
    </row>
    <row r="38" spans="1:11" x14ac:dyDescent="0.3">
      <c r="A38" s="41"/>
      <c r="B38" s="49"/>
      <c r="C38" s="6" t="s">
        <v>34</v>
      </c>
      <c r="D38" s="49"/>
      <c r="E38" s="45"/>
    </row>
    <row r="39" spans="1:11" ht="18.600000000000001" thickBot="1" x14ac:dyDescent="0.35">
      <c r="A39" s="42"/>
      <c r="B39" s="50"/>
      <c r="C39" s="8" t="s">
        <v>34</v>
      </c>
      <c r="D39" s="50"/>
      <c r="E39" s="46"/>
    </row>
    <row r="40" spans="1:11" ht="19.2" thickTop="1" thickBot="1" x14ac:dyDescent="0.35"/>
    <row r="41" spans="1:11" ht="18.600000000000001" thickTop="1" x14ac:dyDescent="0.3">
      <c r="A41" s="105" t="s">
        <v>108</v>
      </c>
      <c r="B41" s="106"/>
      <c r="C41" s="106"/>
      <c r="D41" s="106"/>
      <c r="E41" s="107"/>
    </row>
    <row r="42" spans="1:11" x14ac:dyDescent="0.3">
      <c r="A42" s="41"/>
      <c r="B42" s="49"/>
      <c r="C42" s="6" t="s">
        <v>34</v>
      </c>
      <c r="D42" s="49"/>
      <c r="E42" s="45"/>
    </row>
    <row r="43" spans="1:11" x14ac:dyDescent="0.3">
      <c r="A43" s="41"/>
      <c r="B43" s="49"/>
      <c r="C43" s="6" t="s">
        <v>34</v>
      </c>
      <c r="D43" s="49"/>
      <c r="E43" s="45"/>
    </row>
    <row r="44" spans="1:11" x14ac:dyDescent="0.3">
      <c r="A44" s="41"/>
      <c r="B44" s="49"/>
      <c r="C44" s="6" t="s">
        <v>34</v>
      </c>
      <c r="D44" s="49"/>
      <c r="E44" s="45"/>
    </row>
    <row r="45" spans="1:11" ht="18.600000000000001" thickBot="1" x14ac:dyDescent="0.35">
      <c r="A45" s="42"/>
      <c r="B45" s="50"/>
      <c r="C45" s="8" t="s">
        <v>34</v>
      </c>
      <c r="D45" s="50"/>
      <c r="E45" s="46"/>
    </row>
    <row r="46" spans="1:11" ht="18.600000000000001" thickTop="1" x14ac:dyDescent="0.3"/>
    <row r="47" spans="1:11" x14ac:dyDescent="0.3">
      <c r="A47" s="108" t="s">
        <v>109</v>
      </c>
      <c r="B47" s="109"/>
      <c r="C47" s="109"/>
      <c r="D47" s="109"/>
      <c r="E47" s="109"/>
    </row>
    <row r="48" spans="1:11" x14ac:dyDescent="0.3">
      <c r="A48" s="41"/>
      <c r="B48" s="49"/>
      <c r="C48" s="6" t="s">
        <v>34</v>
      </c>
      <c r="D48" s="49"/>
      <c r="E48" s="43"/>
    </row>
    <row r="49" spans="1:5" x14ac:dyDescent="0.3">
      <c r="A49" s="41"/>
      <c r="B49" s="49"/>
      <c r="C49" s="6" t="s">
        <v>34</v>
      </c>
      <c r="D49" s="49"/>
      <c r="E49" s="43"/>
    </row>
    <row r="51" spans="1:5" x14ac:dyDescent="0.3">
      <c r="A51" s="108" t="s">
        <v>110</v>
      </c>
      <c r="B51" s="109"/>
      <c r="C51" s="109"/>
      <c r="D51" s="109"/>
      <c r="E51" s="109"/>
    </row>
    <row r="52" spans="1:5" x14ac:dyDescent="0.3">
      <c r="A52" s="41"/>
      <c r="B52" s="49"/>
      <c r="C52" s="6" t="s">
        <v>34</v>
      </c>
      <c r="D52" s="49"/>
      <c r="E52" s="43"/>
    </row>
    <row r="53" spans="1:5" x14ac:dyDescent="0.3">
      <c r="B53" s="52"/>
      <c r="C53" s="3"/>
      <c r="D53" s="52"/>
    </row>
    <row r="54" spans="1:5" x14ac:dyDescent="0.3">
      <c r="A54" s="110" t="s">
        <v>111</v>
      </c>
      <c r="B54" s="111"/>
      <c r="C54" s="111"/>
      <c r="D54" s="111"/>
      <c r="E54" s="111"/>
    </row>
    <row r="55" spans="1:5" x14ac:dyDescent="0.3">
      <c r="A55" s="41"/>
      <c r="B55" s="49"/>
      <c r="C55" s="6" t="s">
        <v>34</v>
      </c>
      <c r="D55" s="49"/>
      <c r="E55" s="43"/>
    </row>
  </sheetData>
  <mergeCells count="39">
    <mergeCell ref="G35:K35"/>
    <mergeCell ref="R3:T5"/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V15:X15"/>
    <mergeCell ref="V8:X9"/>
    <mergeCell ref="V11:X11"/>
    <mergeCell ref="R15:T15"/>
    <mergeCell ref="R11:T11"/>
    <mergeCell ref="R12:T13"/>
    <mergeCell ref="R8:T9"/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C27" sqref="AC27:AE27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178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178">
        <f>Tabela!F3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232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J3" s="178">
        <f>Tabela!F4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178">
        <f>Tabela!F5</f>
        <v>0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1</v>
      </c>
      <c r="E5" s="13" t="str">
        <f t="shared" si="1"/>
        <v>Porto</v>
      </c>
      <c r="J5" s="178">
        <f>Tabela!F6</f>
        <v>0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3</v>
      </c>
      <c r="C6" s="2" t="s">
        <v>34</v>
      </c>
      <c r="D6" s="2">
        <v>2</v>
      </c>
      <c r="E6" s="13" t="str">
        <f t="shared" si="1"/>
        <v>Palmeiras</v>
      </c>
      <c r="J6" s="178">
        <f>Tabela!F7</f>
        <v>0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1</v>
      </c>
      <c r="E7" s="13" t="str">
        <f t="shared" si="1"/>
        <v>Al Ahly</v>
      </c>
      <c r="J7" s="178">
        <f>Tabela!F8</f>
        <v>0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178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1</v>
      </c>
      <c r="E9" s="13" t="str">
        <f>O9</f>
        <v>Atlético de Madrid</v>
      </c>
      <c r="J9" s="178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178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178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178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178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178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0</v>
      </c>
      <c r="E16" s="13" t="str">
        <f>O16</f>
        <v>Auckland City</v>
      </c>
      <c r="J16" s="178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178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178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178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>
        <v>1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178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178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200</v>
      </c>
      <c r="T21" s="176"/>
      <c r="U21" s="176" t="s">
        <v>224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178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97</v>
      </c>
      <c r="T22" s="177"/>
      <c r="U22" s="177" t="s">
        <v>98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178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178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178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178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178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178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178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178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178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1</v>
      </c>
      <c r="E33" s="13" t="str">
        <f t="shared" si="9"/>
        <v>Monterrey</v>
      </c>
      <c r="J33" s="178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178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178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178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2</v>
      </c>
      <c r="E37" s="13" t="str">
        <f>O37</f>
        <v>Borussisa Dortmund</v>
      </c>
      <c r="J37" s="178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178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4</v>
      </c>
      <c r="E39" s="13" t="str">
        <f t="shared" si="11"/>
        <v>Borussisa Dortmund</v>
      </c>
      <c r="J39" s="178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178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3</v>
      </c>
      <c r="E41" s="13" t="str">
        <f t="shared" si="11"/>
        <v>Fluminense</v>
      </c>
      <c r="J41" s="178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34</v>
      </c>
      <c r="D42" s="2">
        <v>0</v>
      </c>
      <c r="E42" s="13" t="str">
        <f t="shared" si="11"/>
        <v>Ulsan HD</v>
      </c>
      <c r="J42" s="178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178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178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178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178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178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178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2</v>
      </c>
      <c r="E49" s="13" t="str">
        <f t="shared" si="13"/>
        <v>Al-Ain</v>
      </c>
      <c r="J49" s="178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178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178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178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178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178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4</v>
      </c>
      <c r="E55" s="13" t="str">
        <f t="shared" si="15"/>
        <v>Real Madrid</v>
      </c>
      <c r="J55" s="178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178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Ivan Alex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178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178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178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178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178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178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178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178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178" t="s">
        <v>233</v>
      </c>
    </row>
    <row r="68" spans="1:15" x14ac:dyDescent="0.3">
      <c r="A68" s="167" t="str">
        <f>_xlfn.CONCAT(W2,A67)</f>
        <v>Ivan Alex - Quartas de Final</v>
      </c>
      <c r="B68" s="167"/>
      <c r="C68" s="167"/>
      <c r="D68" s="167"/>
      <c r="E68" s="167"/>
      <c r="J68" s="178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178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178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178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178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178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Ivan Alex - Semi Final</v>
      </c>
      <c r="B74" s="167"/>
      <c r="C74" s="167"/>
      <c r="D74" s="167"/>
      <c r="E74" s="167"/>
      <c r="J74" s="178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178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178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178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Ivan Alex - Final</v>
      </c>
      <c r="B78" s="167"/>
      <c r="C78" s="167"/>
      <c r="D78" s="167"/>
      <c r="E78" s="167"/>
      <c r="J78" s="178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178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178" t="str">
        <f>IF(Tabela!F56="","",Tabela!F56)</f>
        <v/>
      </c>
    </row>
    <row r="81" spans="5:10" x14ac:dyDescent="0.3">
      <c r="E81" s="13" t="s">
        <v>142</v>
      </c>
      <c r="J81" s="178" t="s">
        <v>233</v>
      </c>
    </row>
    <row r="82" spans="5:10" x14ac:dyDescent="0.3">
      <c r="E82" s="13" t="s">
        <v>95</v>
      </c>
      <c r="J82" s="178" t="s">
        <v>233</v>
      </c>
    </row>
  </sheetData>
  <mergeCells count="76"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4:Y14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3</v>
      </c>
      <c r="E2" s="13" t="str">
        <f>O2</f>
        <v>Inter Miami</v>
      </c>
      <c r="H2" s="2">
        <v>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235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3</v>
      </c>
      <c r="C5" s="2" t="s">
        <v>34</v>
      </c>
      <c r="D5" s="2">
        <v>1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0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1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59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1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1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>
        <v>1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220</v>
      </c>
      <c r="T21" s="176"/>
      <c r="U21" s="176" t="s">
        <v>224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59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250</v>
      </c>
      <c r="T22" s="177"/>
      <c r="U22" s="177" t="s">
        <v>251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2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1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59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3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34</v>
      </c>
      <c r="D40" s="2">
        <v>2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59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59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0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2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2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Sérginho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67" t="str">
        <f>_xlfn.CONCAT(W2,A67)</f>
        <v>Sérginho - Quartas de Final</v>
      </c>
      <c r="B68" s="167"/>
      <c r="C68" s="167"/>
      <c r="D68" s="167"/>
      <c r="E68" s="167"/>
      <c r="J68" s="59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Sérginho - Semi Final</v>
      </c>
      <c r="B74" s="167"/>
      <c r="C74" s="167"/>
      <c r="D74" s="167"/>
      <c r="E74" s="167"/>
      <c r="J74" s="59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Sérginho - Final</v>
      </c>
      <c r="B78" s="167"/>
      <c r="C78" s="167"/>
      <c r="D78" s="167"/>
      <c r="E78" s="167"/>
      <c r="J78" s="59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234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2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59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2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>
        <v>1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198</v>
      </c>
      <c r="T21" s="176"/>
      <c r="U21" s="176" t="s">
        <v>200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59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252</v>
      </c>
      <c r="T22" s="177"/>
      <c r="U22" s="177" t="s">
        <v>250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3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Q25"/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Q26"/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Q29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170" t="s">
        <v>39</v>
      </c>
      <c r="B36" s="170"/>
      <c r="C36" s="170"/>
      <c r="D36" s="170"/>
      <c r="E36" s="170"/>
      <c r="J36" s="59" t="str">
        <f>IF(Tabela!L9="","",Tabela!L9)</f>
        <v/>
      </c>
      <c r="K36" s="171" t="s">
        <v>39</v>
      </c>
      <c r="L36" s="171"/>
      <c r="M36" s="171"/>
      <c r="N36" s="171"/>
      <c r="O36" s="171"/>
      <c r="V36"/>
    </row>
    <row r="37" spans="1:22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1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170" t="s">
        <v>38</v>
      </c>
      <c r="B43" s="170"/>
      <c r="C43" s="170"/>
      <c r="D43" s="170"/>
      <c r="E43" s="170"/>
      <c r="J43" s="59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22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0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59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1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Jean Carlos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67" t="str">
        <f>_xlfn.CONCAT(W2,A67)</f>
        <v>Jean Carlos - Quartas de Final</v>
      </c>
      <c r="B68" s="167"/>
      <c r="C68" s="167"/>
      <c r="D68" s="167"/>
      <c r="E68" s="167"/>
      <c r="J68" s="59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Jean Carlos - Semi Final</v>
      </c>
      <c r="B74" s="167"/>
      <c r="C74" s="167"/>
      <c r="D74" s="167"/>
      <c r="E74" s="167"/>
      <c r="J74" s="59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Jean Carlos - Final</v>
      </c>
      <c r="B78" s="167"/>
      <c r="C78" s="167"/>
      <c r="D78" s="167"/>
      <c r="E78" s="167"/>
      <c r="J78" s="59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2</v>
      </c>
      <c r="E2" s="13" t="str">
        <f>O2</f>
        <v>Inter Miami</v>
      </c>
      <c r="H2" s="2">
        <v>10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236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2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3</v>
      </c>
      <c r="C4" s="2" t="s">
        <v>34</v>
      </c>
      <c r="D4" s="2">
        <v>1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59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1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10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2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1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3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1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1</v>
      </c>
      <c r="T19" s="18"/>
      <c r="U19" s="18">
        <v>0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224</v>
      </c>
      <c r="T21" s="176"/>
      <c r="U21" s="176" t="s">
        <v>200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59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97</v>
      </c>
      <c r="T22" s="177"/>
      <c r="U22" s="177" t="s">
        <v>98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1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3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2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59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4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34</v>
      </c>
      <c r="D39" s="2">
        <v>2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34</v>
      </c>
      <c r="D41" s="2">
        <v>3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59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3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2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3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4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59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34</v>
      </c>
      <c r="D52" s="2">
        <v>1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2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Macélio Henrique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67" t="str">
        <f>_xlfn.CONCAT(W2,A67)</f>
        <v>Macélio Henrique - Quartas de Final</v>
      </c>
      <c r="B68" s="167"/>
      <c r="C68" s="167"/>
      <c r="D68" s="167"/>
      <c r="E68" s="167"/>
      <c r="J68" s="59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Macélio Henrique - Semi Final</v>
      </c>
      <c r="B74" s="167"/>
      <c r="C74" s="167"/>
      <c r="D74" s="167"/>
      <c r="E74" s="167"/>
      <c r="J74" s="59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Macélio Henrique - Final</v>
      </c>
      <c r="B78" s="167"/>
      <c r="C78" s="167"/>
      <c r="D78" s="167"/>
      <c r="E78" s="167"/>
      <c r="J78" s="59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1</v>
      </c>
      <c r="E2" s="13" t="str">
        <f>O2</f>
        <v>Inter Miami</v>
      </c>
      <c r="H2" s="2">
        <v>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46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0</v>
      </c>
      <c r="C4" s="2" t="s">
        <v>34</v>
      </c>
      <c r="D4" s="2">
        <v>2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2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1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1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59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2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4</v>
      </c>
      <c r="C12" s="2" t="s">
        <v>34</v>
      </c>
      <c r="D12" s="2">
        <v>0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3</v>
      </c>
      <c r="C14" s="2" t="s">
        <v>34</v>
      </c>
      <c r="D14" s="2">
        <v>0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>
        <v>1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200</v>
      </c>
      <c r="T21" s="176"/>
      <c r="U21" s="176" t="s">
        <v>224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59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251</v>
      </c>
      <c r="T22" s="177"/>
      <c r="U22" s="177" t="s">
        <v>97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1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59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1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0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59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2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59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0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Macélio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67" t="str">
        <f>_xlfn.CONCAT(W2,A67)</f>
        <v>Macélio - Quartas de Final</v>
      </c>
      <c r="B68" s="167"/>
      <c r="C68" s="167"/>
      <c r="D68" s="167"/>
      <c r="E68" s="167"/>
      <c r="J68" s="59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Macélio - Semi Final</v>
      </c>
      <c r="B74" s="167"/>
      <c r="C74" s="167"/>
      <c r="D74" s="167"/>
      <c r="E74" s="167"/>
      <c r="J74" s="59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Macélio - Final</v>
      </c>
      <c r="B78" s="167"/>
      <c r="C78" s="167"/>
      <c r="D78" s="167"/>
      <c r="E78" s="167"/>
      <c r="J78" s="59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6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0</v>
      </c>
      <c r="E2" s="13" t="str">
        <f>O2</f>
        <v>Inter Miami</v>
      </c>
      <c r="H2" s="2">
        <v>5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245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3</v>
      </c>
      <c r="C5" s="2" t="s">
        <v>34</v>
      </c>
      <c r="D5" s="2">
        <v>1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0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2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59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3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5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2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0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>
        <v>1</v>
      </c>
      <c r="U19" s="18">
        <v>0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0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2</v>
      </c>
      <c r="C21" s="2" t="s">
        <v>34</v>
      </c>
      <c r="D21" s="2">
        <v>2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208</v>
      </c>
      <c r="T21" s="176"/>
      <c r="U21" s="176" t="s">
        <v>215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59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97</v>
      </c>
      <c r="T22" s="177"/>
      <c r="U22" s="177" t="s">
        <v>253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2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3</v>
      </c>
      <c r="C30" s="2" t="s">
        <v>34</v>
      </c>
      <c r="D30" s="2">
        <v>0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2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34</v>
      </c>
      <c r="D33" s="2">
        <v>0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59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34</v>
      </c>
      <c r="D41" s="2">
        <v>1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1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59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1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2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59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1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0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Mateus Aires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67" t="str">
        <f>_xlfn.CONCAT(W2,A67)</f>
        <v>Mateus Aires - Quartas de Final</v>
      </c>
      <c r="B68" s="167"/>
      <c r="C68" s="167"/>
      <c r="D68" s="167"/>
      <c r="E68" s="167"/>
      <c r="J68" s="59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Mateus Aires - Semi Final</v>
      </c>
      <c r="B74" s="167"/>
      <c r="C74" s="167"/>
      <c r="D74" s="167"/>
      <c r="E74" s="167"/>
      <c r="J74" s="59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Mateus Aires - Final</v>
      </c>
      <c r="B78" s="167"/>
      <c r="C78" s="167"/>
      <c r="D78" s="167"/>
      <c r="E78" s="167"/>
      <c r="J78" s="59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B57" sqref="B57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66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59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2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2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2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1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1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>
        <v>1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224</v>
      </c>
      <c r="T21" s="176"/>
      <c r="U21" s="176" t="s">
        <v>200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59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97</v>
      </c>
      <c r="T22" s="177"/>
      <c r="U22" s="177" t="s">
        <v>252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1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59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2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2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59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1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1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59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Bruno Flores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67" t="str">
        <f>_xlfn.CONCAT(W2,A67)</f>
        <v>Bruno Flores - Quartas de Final</v>
      </c>
      <c r="B68" s="167"/>
      <c r="C68" s="167"/>
      <c r="D68" s="167"/>
      <c r="E68" s="167"/>
      <c r="J68" s="59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Bruno Flores - Semi Final</v>
      </c>
      <c r="B74" s="167"/>
      <c r="C74" s="167"/>
      <c r="D74" s="167"/>
      <c r="E74" s="167"/>
      <c r="J74" s="59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Bruno Flores - Final</v>
      </c>
      <c r="B78" s="167"/>
      <c r="C78" s="167"/>
      <c r="D78" s="167"/>
      <c r="E78" s="167"/>
      <c r="J78" s="59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W23" sqref="W23:Y2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2</v>
      </c>
      <c r="C2" s="2" t="s">
        <v>34</v>
      </c>
      <c r="D2" s="2">
        <v>0</v>
      </c>
      <c r="E2" s="13" t="str">
        <f>O2</f>
        <v>Inter Miami</v>
      </c>
      <c r="H2" s="2">
        <v>5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238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2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0</v>
      </c>
      <c r="C4" s="2" t="s">
        <v>34</v>
      </c>
      <c r="D4" s="2">
        <v>2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1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0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2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59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0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1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2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5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7</v>
      </c>
      <c r="C12" s="2" t="s">
        <v>34</v>
      </c>
      <c r="D12" s="2">
        <v>0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3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1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>
        <v>1</v>
      </c>
      <c r="U19" s="18">
        <v>0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200</v>
      </c>
      <c r="T21" s="176"/>
      <c r="U21" s="176" t="s">
        <v>217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59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97</v>
      </c>
      <c r="T22" s="177"/>
      <c r="U22" s="177" t="s">
        <v>254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2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3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2</v>
      </c>
      <c r="C28" s="2" t="s">
        <v>34</v>
      </c>
      <c r="D28" s="2">
        <v>0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34</v>
      </c>
      <c r="D34" s="2">
        <v>1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59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4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4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2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34</v>
      </c>
      <c r="D41" s="2">
        <v>1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59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2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59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Naldinho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67" t="str">
        <f>_xlfn.CONCAT(W2,A67)</f>
        <v>Naldinho - Quartas de Final</v>
      </c>
      <c r="B68" s="167"/>
      <c r="C68" s="167"/>
      <c r="D68" s="167"/>
      <c r="E68" s="167"/>
      <c r="J68" s="59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Naldinho - Semi Final</v>
      </c>
      <c r="B74" s="167"/>
      <c r="C74" s="167"/>
      <c r="D74" s="167"/>
      <c r="E74" s="167"/>
      <c r="J74" s="59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Naldinho - Final</v>
      </c>
      <c r="B78" s="167"/>
      <c r="C78" s="167"/>
      <c r="D78" s="167"/>
      <c r="E78" s="167"/>
      <c r="J78" s="59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S23" sqref="S2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2</v>
      </c>
      <c r="E2" s="13" t="str">
        <f>O2</f>
        <v>Inter Miami</v>
      </c>
      <c r="H2" s="2">
        <v>5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237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3</v>
      </c>
      <c r="C7" s="2" t="s">
        <v>34</v>
      </c>
      <c r="D7" s="2">
        <v>0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59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5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0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>
        <v>1</v>
      </c>
      <c r="U19" s="18">
        <v>0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3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3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224</v>
      </c>
      <c r="T21" s="176"/>
      <c r="U21" s="176" t="s">
        <v>200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59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97</v>
      </c>
      <c r="T22" s="177"/>
      <c r="U22" s="177" t="s">
        <v>251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0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0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3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59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2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59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2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3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59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0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Julio Santos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67" t="str">
        <f>_xlfn.CONCAT(W2,A67)</f>
        <v>Julio Santos - Quartas de Final</v>
      </c>
      <c r="B68" s="167"/>
      <c r="C68" s="167"/>
      <c r="D68" s="167"/>
      <c r="E68" s="167"/>
      <c r="J68" s="59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Julio Santos - Semi Final</v>
      </c>
      <c r="B74" s="167"/>
      <c r="C74" s="167"/>
      <c r="D74" s="167"/>
      <c r="E74" s="167"/>
      <c r="J74" s="59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Julio Santos - Final</v>
      </c>
      <c r="B78" s="167"/>
      <c r="C78" s="167"/>
      <c r="D78" s="167"/>
      <c r="E78" s="167"/>
      <c r="J78" s="59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W2" sqref="W2:AE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1</v>
      </c>
      <c r="E2" s="13" t="str">
        <f>O2</f>
        <v>Inter Miami</v>
      </c>
      <c r="H2" s="2">
        <v>5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240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59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5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1</v>
      </c>
      <c r="C12" s="2" t="s">
        <v>34</v>
      </c>
      <c r="D12" s="2">
        <v>0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1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0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1</v>
      </c>
      <c r="C16" s="2" t="s">
        <v>34</v>
      </c>
      <c r="D16" s="2">
        <v>0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0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0</v>
      </c>
      <c r="C19" s="2" t="s">
        <v>34</v>
      </c>
      <c r="D19" s="2">
        <v>1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>
        <v>1</v>
      </c>
      <c r="U19" s="18">
        <v>0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0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0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200</v>
      </c>
      <c r="T21" s="176"/>
      <c r="U21" s="176" t="s">
        <v>224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59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97</v>
      </c>
      <c r="T22" s="177"/>
      <c r="U22" s="177" t="s">
        <v>252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1</v>
      </c>
      <c r="C23" s="2" t="s">
        <v>34</v>
      </c>
      <c r="D23" s="2">
        <v>1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0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1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1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1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59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0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1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0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59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1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2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34</v>
      </c>
      <c r="D47" s="2">
        <v>0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34</v>
      </c>
      <c r="D48" s="2">
        <v>1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0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59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1</v>
      </c>
      <c r="C51" s="2" t="s">
        <v>34</v>
      </c>
      <c r="D51" s="2">
        <v>0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0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0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1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1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Joseir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67" t="str">
        <f>_xlfn.CONCAT(W2,A67)</f>
        <v>Joseir - Quartas de Final</v>
      </c>
      <c r="B68" s="167"/>
      <c r="C68" s="167"/>
      <c r="D68" s="167"/>
      <c r="E68" s="167"/>
      <c r="J68" s="59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Joseir - Semi Final</v>
      </c>
      <c r="B74" s="167"/>
      <c r="C74" s="167"/>
      <c r="D74" s="167"/>
      <c r="E74" s="167"/>
      <c r="J74" s="59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Joseir - Final</v>
      </c>
      <c r="B78" s="167"/>
      <c r="C78" s="167"/>
      <c r="D78" s="167"/>
      <c r="E78" s="167"/>
      <c r="J78" s="59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38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H2" s="2">
        <v>10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239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0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1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59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2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10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4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3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34</v>
      </c>
      <c r="D17" s="2">
        <v>0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0</v>
      </c>
      <c r="C18" s="2" t="s">
        <v>34</v>
      </c>
      <c r="D18" s="2">
        <v>0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2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1</v>
      </c>
      <c r="T19" s="18"/>
      <c r="U19" s="18">
        <v>0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224</v>
      </c>
      <c r="T21" s="176"/>
      <c r="U21" s="176" t="s">
        <v>200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59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255</v>
      </c>
      <c r="T22" s="177"/>
      <c r="U22" s="177" t="s">
        <v>250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1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0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4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2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2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0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59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2</v>
      </c>
      <c r="C37" s="2" t="s">
        <v>34</v>
      </c>
      <c r="D37" s="2">
        <v>0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34</v>
      </c>
      <c r="D39" s="2">
        <v>2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59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34</v>
      </c>
      <c r="D49" s="2">
        <v>3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59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0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3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2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Juninho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67" t="str">
        <f>_xlfn.CONCAT(W2,A67)</f>
        <v>Juninho - Quartas de Final</v>
      </c>
      <c r="B68" s="167"/>
      <c r="C68" s="167"/>
      <c r="D68" s="167"/>
      <c r="E68" s="167"/>
      <c r="J68" s="59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Juninho - Semi Final</v>
      </c>
      <c r="B74" s="167"/>
      <c r="C74" s="167"/>
      <c r="D74" s="167"/>
      <c r="E74" s="167"/>
      <c r="J74" s="59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Juninho - Final</v>
      </c>
      <c r="B78" s="167"/>
      <c r="C78" s="167"/>
      <c r="D78" s="167"/>
      <c r="E78" s="167"/>
      <c r="J78" s="59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W19" sqref="W19:Y19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H2" s="2">
        <v>10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60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0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2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59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1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4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10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1</v>
      </c>
      <c r="T19" s="18"/>
      <c r="U19" s="18">
        <v>0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3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220</v>
      </c>
      <c r="T21" s="176"/>
      <c r="U21" s="176" t="s">
        <v>224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59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250</v>
      </c>
      <c r="T22" s="177"/>
      <c r="U22" s="177" t="s">
        <v>97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1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3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4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0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2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59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1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0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59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3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0</v>
      </c>
      <c r="C46" s="2" t="s">
        <v>34</v>
      </c>
      <c r="D46" s="2">
        <v>2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34</v>
      </c>
      <c r="D48" s="2">
        <v>3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59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1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34</v>
      </c>
      <c r="D54" s="2">
        <v>1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4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2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Ivani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67" t="str">
        <f>_xlfn.CONCAT(W2,A67)</f>
        <v>Ivani - Quartas de Final</v>
      </c>
      <c r="B68" s="167"/>
      <c r="C68" s="167"/>
      <c r="D68" s="167"/>
      <c r="E68" s="167"/>
      <c r="J68" s="59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Ivani - Semi Final</v>
      </c>
      <c r="B74" s="167"/>
      <c r="C74" s="167"/>
      <c r="D74" s="167"/>
      <c r="E74" s="167"/>
      <c r="J74" s="59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Ivani - Final</v>
      </c>
      <c r="B78" s="167"/>
      <c r="C78" s="167"/>
      <c r="D78" s="167"/>
      <c r="E78" s="167"/>
      <c r="J78" s="59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V46" sqref="V4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241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1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3</v>
      </c>
      <c r="C4" s="2" t="s">
        <v>34</v>
      </c>
      <c r="D4" s="2">
        <v>2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59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1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34</v>
      </c>
      <c r="D17" s="2">
        <v>3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5</v>
      </c>
      <c r="C18" s="2" t="s">
        <v>34</v>
      </c>
      <c r="D18" s="2">
        <v>2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1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>
        <v>1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2</v>
      </c>
      <c r="C21" s="2" t="s">
        <v>34</v>
      </c>
      <c r="D21" s="2">
        <v>1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220</v>
      </c>
      <c r="T21" s="176"/>
      <c r="U21" s="176" t="s">
        <v>224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59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251</v>
      </c>
      <c r="T22" s="177"/>
      <c r="U22" s="177" t="s">
        <v>97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1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2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3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1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34</v>
      </c>
      <c r="D34" s="2">
        <v>1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1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59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1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34</v>
      </c>
      <c r="D40" s="2">
        <v>1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59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1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59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4</v>
      </c>
      <c r="C51" s="2" t="s">
        <v>34</v>
      </c>
      <c r="D51" s="2">
        <v>0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34</v>
      </c>
      <c r="D52" s="2">
        <v>1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1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Manoel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67" t="str">
        <f>_xlfn.CONCAT(W2,A67)</f>
        <v>Manoel - Quartas de Final</v>
      </c>
      <c r="B68" s="167"/>
      <c r="C68" s="167"/>
      <c r="D68" s="167"/>
      <c r="E68" s="167"/>
      <c r="J68" s="59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Manoel - Semi Final</v>
      </c>
      <c r="B74" s="167"/>
      <c r="C74" s="167"/>
      <c r="D74" s="167"/>
      <c r="E74" s="167"/>
      <c r="J74" s="59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Manoel - Final</v>
      </c>
      <c r="B78" s="167"/>
      <c r="C78" s="167"/>
      <c r="D78" s="167"/>
      <c r="E78" s="167"/>
      <c r="J78" s="59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F47" sqref="AF47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247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0</v>
      </c>
      <c r="C5" s="2" t="s">
        <v>34</v>
      </c>
      <c r="D5" s="2">
        <v>1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59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2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1</v>
      </c>
      <c r="C13" s="2" t="s">
        <v>34</v>
      </c>
      <c r="D13" s="2">
        <v>3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0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1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3</v>
      </c>
      <c r="C18" s="2" t="s">
        <v>34</v>
      </c>
      <c r="D18" s="2">
        <v>0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1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>
        <v>1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2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2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224</v>
      </c>
      <c r="T21" s="176"/>
      <c r="U21" s="176" t="s">
        <v>200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59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97</v>
      </c>
      <c r="T22" s="177"/>
      <c r="U22" s="177" t="s">
        <v>251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34</v>
      </c>
      <c r="D24" s="2">
        <v>0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1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1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1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1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59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1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59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2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59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1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0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2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Mateus Henrique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67" t="str">
        <f>_xlfn.CONCAT(W2,A67)</f>
        <v>Mateus Henrique - Quartas de Final</v>
      </c>
      <c r="B68" s="167"/>
      <c r="C68" s="167"/>
      <c r="D68" s="167"/>
      <c r="E68" s="167"/>
      <c r="J68" s="59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Mateus Henrique - Semi Final</v>
      </c>
      <c r="B74" s="167"/>
      <c r="C74" s="167"/>
      <c r="D74" s="167"/>
      <c r="E74" s="167"/>
      <c r="J74" s="59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Mateus Henrique - Final</v>
      </c>
      <c r="B78" s="167"/>
      <c r="C78" s="167"/>
      <c r="D78" s="167"/>
      <c r="E78" s="167"/>
      <c r="J78" s="59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W46" sqref="W4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2</v>
      </c>
      <c r="E2" s="13" t="str">
        <f>O2</f>
        <v>Inter Miami</v>
      </c>
      <c r="H2" s="2">
        <v>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48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1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2</v>
      </c>
      <c r="C6" s="2" t="s">
        <v>34</v>
      </c>
      <c r="D6" s="2">
        <v>2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3</v>
      </c>
      <c r="C7" s="2" t="s">
        <v>34</v>
      </c>
      <c r="D7" s="2">
        <v>1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59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4</v>
      </c>
      <c r="C12" s="2" t="s">
        <v>34</v>
      </c>
      <c r="D12" s="2">
        <v>0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5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4</v>
      </c>
      <c r="C14" s="2" t="s">
        <v>34</v>
      </c>
      <c r="D14" s="2">
        <v>1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5</v>
      </c>
      <c r="C16" s="2" t="s">
        <v>34</v>
      </c>
      <c r="D16" s="2">
        <v>0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3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4</v>
      </c>
      <c r="C18" s="2" t="s">
        <v>34</v>
      </c>
      <c r="D18" s="2">
        <v>0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4</v>
      </c>
      <c r="C19" s="2" t="s">
        <v>34</v>
      </c>
      <c r="D19" s="2">
        <v>1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>
        <v>1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3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2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224</v>
      </c>
      <c r="T21" s="176"/>
      <c r="U21" s="176" t="s">
        <v>200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59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97</v>
      </c>
      <c r="T22" s="177"/>
      <c r="U22" s="177" t="s">
        <v>251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4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2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3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34</v>
      </c>
      <c r="D32" s="2">
        <v>0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2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34</v>
      </c>
      <c r="D34" s="2">
        <v>1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34</v>
      </c>
      <c r="D35" s="2">
        <v>2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59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4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6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1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3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34</v>
      </c>
      <c r="D42" s="2">
        <v>0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59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5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34</v>
      </c>
      <c r="D45" s="2">
        <v>2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3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2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59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2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34</v>
      </c>
      <c r="D54" s="2">
        <v>0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1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Gabriel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67" t="str">
        <f>_xlfn.CONCAT(W2,A67)</f>
        <v>Gabriel - Quartas de Final</v>
      </c>
      <c r="B68" s="167"/>
      <c r="C68" s="167"/>
      <c r="D68" s="167"/>
      <c r="E68" s="167"/>
      <c r="J68" s="59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Gabriel - Semi Final</v>
      </c>
      <c r="B74" s="167"/>
      <c r="C74" s="167"/>
      <c r="D74" s="167"/>
      <c r="E74" s="167"/>
      <c r="J74" s="59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Gabriel - Final</v>
      </c>
      <c r="B78" s="167"/>
      <c r="C78" s="167"/>
      <c r="D78" s="167"/>
      <c r="E78" s="167"/>
      <c r="J78" s="59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W20" sqref="W20:Y20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3</v>
      </c>
      <c r="E2" s="13" t="str">
        <f>O2</f>
        <v>Inter Miami</v>
      </c>
      <c r="H2" s="2">
        <v>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242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3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2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3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59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1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0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4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1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3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3</v>
      </c>
      <c r="C14" s="2" t="s">
        <v>34</v>
      </c>
      <c r="D14" s="2">
        <v>1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2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0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/>
      <c r="U19" s="18">
        <v>1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220</v>
      </c>
      <c r="T21" s="176"/>
      <c r="U21" s="176" t="s">
        <v>224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59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251</v>
      </c>
      <c r="T22" s="177"/>
      <c r="U22" s="177" t="s">
        <v>250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3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1</v>
      </c>
      <c r="C27" s="2" t="s">
        <v>34</v>
      </c>
      <c r="D27" s="2">
        <v>4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2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3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34</v>
      </c>
      <c r="D32" s="2">
        <v>1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0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1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59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3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1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2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34</v>
      </c>
      <c r="D42" s="2">
        <v>0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59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4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0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59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2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4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Marcel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67" t="str">
        <f>_xlfn.CONCAT(W2,A67)</f>
        <v>Marcel - Quartas de Final</v>
      </c>
      <c r="B68" s="167"/>
      <c r="C68" s="167"/>
      <c r="D68" s="167"/>
      <c r="E68" s="167"/>
      <c r="J68" s="59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Marcel - Semi Final</v>
      </c>
      <c r="B74" s="167"/>
      <c r="C74" s="167"/>
      <c r="D74" s="167"/>
      <c r="E74" s="167"/>
      <c r="J74" s="59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Marcel - Final</v>
      </c>
      <c r="B78" s="167"/>
      <c r="C78" s="167"/>
      <c r="D78" s="167"/>
      <c r="E78" s="167"/>
      <c r="J78" s="59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19" activePane="bottomRight" state="frozen"/>
      <selection pane="topRight" activeCell="P1" sqref="P1"/>
      <selection pane="bottomLeft" activeCell="A17" sqref="A17"/>
      <selection pane="bottomRight" activeCell="B57" sqref="B57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1</v>
      </c>
      <c r="C2" s="2" t="s">
        <v>34</v>
      </c>
      <c r="D2" s="2">
        <v>1</v>
      </c>
      <c r="E2" s="13" t="str">
        <f>O2</f>
        <v>Inter Miami</v>
      </c>
      <c r="H2" s="2">
        <v>10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51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0</v>
      </c>
      <c r="C3" s="2" t="s">
        <v>34</v>
      </c>
      <c r="D3" s="2">
        <v>2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2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2</v>
      </c>
      <c r="C5" s="2" t="s">
        <v>34</v>
      </c>
      <c r="D5" s="2">
        <v>1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2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59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1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34</v>
      </c>
      <c r="D10" s="2">
        <v>0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10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1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1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>
        <v>1</v>
      </c>
      <c r="T19" s="18"/>
      <c r="U19" s="18">
        <v>0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2</v>
      </c>
      <c r="C20" s="2" t="s">
        <v>34</v>
      </c>
      <c r="D20" s="2">
        <v>0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220</v>
      </c>
      <c r="T21" s="176"/>
      <c r="U21" s="176" t="s">
        <v>204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59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97</v>
      </c>
      <c r="T22" s="177"/>
      <c r="U22" s="177" t="s">
        <v>256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1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0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3</v>
      </c>
      <c r="C30" s="2" t="s">
        <v>34</v>
      </c>
      <c r="D30" s="2">
        <v>0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1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34</v>
      </c>
      <c r="D32" s="2">
        <v>0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59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2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34</v>
      </c>
      <c r="D38" s="2">
        <v>0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4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34</v>
      </c>
      <c r="D40" s="2">
        <v>0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2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34</v>
      </c>
      <c r="D42" s="2">
        <v>0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59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4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34</v>
      </c>
      <c r="D46" s="2">
        <v>1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34</v>
      </c>
      <c r="D49" s="2">
        <v>1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59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0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2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3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Luana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67" t="str">
        <f>_xlfn.CONCAT(W2,A67)</f>
        <v>Luana - Quartas de Final</v>
      </c>
      <c r="B68" s="167"/>
      <c r="C68" s="167"/>
      <c r="D68" s="167"/>
      <c r="E68" s="167"/>
      <c r="J68" s="59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Luana - Semi Final</v>
      </c>
      <c r="B74" s="167"/>
      <c r="C74" s="167"/>
      <c r="D74" s="167"/>
      <c r="E74" s="167"/>
      <c r="J74" s="59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Luana - Final</v>
      </c>
      <c r="B78" s="167"/>
      <c r="C78" s="167"/>
      <c r="D78" s="167"/>
      <c r="E78" s="167"/>
      <c r="J78" s="59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41" activePane="bottomRight" state="frozen"/>
      <selection pane="topRight" activeCell="P1" sqref="P1"/>
      <selection pane="bottomLeft" activeCell="A17" sqref="A17"/>
      <selection pane="bottomRight" activeCell="B57" sqref="B57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3</v>
      </c>
      <c r="E2" s="13" t="str">
        <f>O2</f>
        <v>Inter Miami</v>
      </c>
      <c r="H2" s="2">
        <v>5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243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0</v>
      </c>
      <c r="C3" s="2" t="s">
        <v>34</v>
      </c>
      <c r="D3" s="2">
        <v>2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1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1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3</v>
      </c>
      <c r="C6" s="2" t="s">
        <v>34</v>
      </c>
      <c r="D6" s="2">
        <v>0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2</v>
      </c>
      <c r="C7" s="2" t="s">
        <v>34</v>
      </c>
      <c r="D7" s="2">
        <v>0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59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3</v>
      </c>
      <c r="C9" s="2" t="s">
        <v>34</v>
      </c>
      <c r="D9" s="2">
        <v>2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1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1</v>
      </c>
      <c r="C11" s="2" t="s">
        <v>34</v>
      </c>
      <c r="D11" s="2">
        <v>3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5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2</v>
      </c>
      <c r="C14" s="2" t="s">
        <v>34</v>
      </c>
      <c r="D14" s="2">
        <v>1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3</v>
      </c>
      <c r="C16" s="2" t="s">
        <v>34</v>
      </c>
      <c r="D16" s="2">
        <v>0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3</v>
      </c>
      <c r="C19" s="2" t="s">
        <v>34</v>
      </c>
      <c r="D19" s="2">
        <v>0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>
        <v>1</v>
      </c>
      <c r="U19" s="18">
        <v>0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1</v>
      </c>
      <c r="C21" s="2" t="s">
        <v>34</v>
      </c>
      <c r="D21" s="2">
        <v>1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200</v>
      </c>
      <c r="T21" s="176"/>
      <c r="U21" s="176" t="s">
        <v>224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59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257</v>
      </c>
      <c r="T22" s="177"/>
      <c r="U22" s="177" t="s">
        <v>97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1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2</v>
      </c>
      <c r="C26" s="2" t="s">
        <v>34</v>
      </c>
      <c r="D26" s="2">
        <v>2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2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34</v>
      </c>
      <c r="D33" s="2">
        <v>1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0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34</v>
      </c>
      <c r="D35" s="2">
        <v>2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59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3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34</v>
      </c>
      <c r="D38" s="2">
        <v>2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34</v>
      </c>
      <c r="D40" s="2">
        <v>2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2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59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5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4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34</v>
      </c>
      <c r="D46" s="2">
        <v>0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34</v>
      </c>
      <c r="D47" s="2">
        <v>0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34</v>
      </c>
      <c r="D48" s="2">
        <v>3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>O49</f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59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2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2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34</v>
      </c>
      <c r="D56" s="2">
        <v>0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Julio Oliveira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67" t="str">
        <f>_xlfn.CONCAT(W2,A67)</f>
        <v>Julio Oliveira - Quartas de Final</v>
      </c>
      <c r="B68" s="167"/>
      <c r="C68" s="167"/>
      <c r="D68" s="167"/>
      <c r="E68" s="167"/>
      <c r="J68" s="59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Julio Oliveira - Semi Final</v>
      </c>
      <c r="B74" s="167"/>
      <c r="C74" s="167"/>
      <c r="D74" s="167"/>
      <c r="E74" s="167"/>
      <c r="J74" s="59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Julio Oliveira - Final</v>
      </c>
      <c r="B78" s="167"/>
      <c r="C78" s="167"/>
      <c r="D78" s="167"/>
      <c r="E78" s="167"/>
      <c r="J78" s="59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U54" sqref="U5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2" t="str">
        <f>K2</f>
        <v>Al Ahly</v>
      </c>
      <c r="B2" s="2">
        <v>0</v>
      </c>
      <c r="C2" s="2" t="s">
        <v>34</v>
      </c>
      <c r="D2" s="2">
        <v>1</v>
      </c>
      <c r="E2" s="13" t="str">
        <f>O2</f>
        <v>Inter Miami</v>
      </c>
      <c r="H2" s="2">
        <v>5</v>
      </c>
      <c r="J2" s="59" t="str">
        <f>IF(Tabela!F3="","",Tabela!F3)</f>
        <v/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246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1</v>
      </c>
      <c r="C3" s="2" t="s">
        <v>34</v>
      </c>
      <c r="D3" s="2">
        <v>0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2</v>
      </c>
      <c r="C4" s="2" t="s">
        <v>34</v>
      </c>
      <c r="D4" s="2">
        <v>0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1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0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59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34</v>
      </c>
      <c r="D10" s="2">
        <v>0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5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1</v>
      </c>
      <c r="C12" s="2" t="s">
        <v>34</v>
      </c>
      <c r="D12" s="2">
        <v>1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2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1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1</v>
      </c>
      <c r="C19" s="2" t="s">
        <v>34</v>
      </c>
      <c r="D19" s="2">
        <v>0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>
        <v>1</v>
      </c>
      <c r="U19" s="18">
        <v>0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0</v>
      </c>
      <c r="C20" s="2" t="s">
        <v>34</v>
      </c>
      <c r="D20" s="2">
        <v>2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0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198</v>
      </c>
      <c r="T21" s="176"/>
      <c r="U21" s="176" t="s">
        <v>224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59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258</v>
      </c>
      <c r="T22" s="177"/>
      <c r="U22" s="177" t="s">
        <v>250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2</v>
      </c>
      <c r="C25" s="2" t="s">
        <v>34</v>
      </c>
      <c r="D25" s="2">
        <v>1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0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1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0</v>
      </c>
      <c r="C28" s="2" t="s">
        <v>34</v>
      </c>
      <c r="D28" s="2">
        <v>2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0</v>
      </c>
      <c r="C30" s="2" t="s">
        <v>34</v>
      </c>
      <c r="D30" s="2">
        <v>0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1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34</v>
      </c>
      <c r="D33" s="2">
        <v>0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0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59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1</v>
      </c>
      <c r="C37" s="2" t="s">
        <v>34</v>
      </c>
      <c r="D37" s="2">
        <v>1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1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59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2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1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34</v>
      </c>
      <c r="D46" s="2">
        <v>0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34</v>
      </c>
      <c r="D47" s="2">
        <v>0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0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59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2</v>
      </c>
      <c r="C51" s="2" t="s">
        <v>34</v>
      </c>
      <c r="D51" s="2">
        <v>1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1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34</v>
      </c>
      <c r="D56" s="2">
        <v>0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Miguel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67" t="str">
        <f>_xlfn.CONCAT(W2,A67)</f>
        <v>Miguel - Quartas de Final</v>
      </c>
      <c r="B68" s="167"/>
      <c r="C68" s="167"/>
      <c r="D68" s="167"/>
      <c r="E68" s="167"/>
      <c r="J68" s="59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Miguel - Semi Final</v>
      </c>
      <c r="B74" s="167"/>
      <c r="C74" s="167"/>
      <c r="D74" s="167"/>
      <c r="E74" s="167"/>
      <c r="J74" s="59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Miguel - Final</v>
      </c>
      <c r="B78" s="167"/>
      <c r="C78" s="167"/>
      <c r="D78" s="167"/>
      <c r="E78" s="167"/>
      <c r="J78" s="59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48" activePane="bottomRight" state="frozen"/>
      <selection pane="topRight" activeCell="P1" sqref="P1"/>
      <selection pane="bottomLeft" activeCell="A17" sqref="A17"/>
      <selection pane="bottomRight" activeCell="D56" sqref="D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79" t="str">
        <f>K2</f>
        <v>Al Ahly</v>
      </c>
      <c r="B2" s="95" t="s">
        <v>261</v>
      </c>
      <c r="C2" s="95" t="s">
        <v>34</v>
      </c>
      <c r="D2" s="95" t="s">
        <v>261</v>
      </c>
      <c r="E2" s="180" t="str">
        <f>O2</f>
        <v>Inter Miami</v>
      </c>
      <c r="J2" s="59" t="s">
        <v>233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259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0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1</v>
      </c>
      <c r="C7" s="2" t="s">
        <v>34</v>
      </c>
      <c r="D7" s="2">
        <v>0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59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1</v>
      </c>
      <c r="C9" s="2" t="s">
        <v>34</v>
      </c>
      <c r="D9" s="2">
        <v>0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34</v>
      </c>
      <c r="D10" s="2">
        <v>0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3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2</v>
      </c>
      <c r="C12" s="2" t="s">
        <v>34</v>
      </c>
      <c r="D12" s="2">
        <v>0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0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4</v>
      </c>
      <c r="C16" s="2" t="s">
        <v>34</v>
      </c>
      <c r="D16" s="2">
        <v>0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34</v>
      </c>
      <c r="D17" s="2">
        <v>2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2</v>
      </c>
      <c r="C18" s="2" t="s">
        <v>34</v>
      </c>
      <c r="D18" s="2">
        <v>0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2</v>
      </c>
      <c r="C19" s="2" t="s">
        <v>34</v>
      </c>
      <c r="D19" s="2">
        <v>0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>
        <v>1</v>
      </c>
      <c r="U19" s="18">
        <v>0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1</v>
      </c>
      <c r="C20" s="2" t="s">
        <v>34</v>
      </c>
      <c r="D20" s="2">
        <v>2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1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198</v>
      </c>
      <c r="T21" s="176"/>
      <c r="U21" s="176" t="s">
        <v>224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59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251</v>
      </c>
      <c r="T22" s="177"/>
      <c r="U22" s="177" t="s">
        <v>250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2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34</v>
      </c>
      <c r="D24" s="2">
        <v>0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0</v>
      </c>
      <c r="C25" s="2" t="s">
        <v>34</v>
      </c>
      <c r="D25" s="2">
        <v>2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1</v>
      </c>
      <c r="C26" s="2" t="s">
        <v>34</v>
      </c>
      <c r="D26" s="2">
        <v>1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3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2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2</v>
      </c>
      <c r="C30" s="2" t="s">
        <v>34</v>
      </c>
      <c r="D30" s="2">
        <v>1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34</v>
      </c>
      <c r="D31" s="2">
        <v>2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34</v>
      </c>
      <c r="D32" s="2">
        <v>0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0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34</v>
      </c>
      <c r="D34" s="2">
        <v>1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0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59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1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2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34</v>
      </c>
      <c r="D41" s="2">
        <v>1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59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34</v>
      </c>
      <c r="D45" s="2">
        <v>2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34</v>
      </c>
      <c r="D47" s="2">
        <v>0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2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2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59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1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34</v>
      </c>
      <c r="D52" s="2">
        <v>2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34</v>
      </c>
      <c r="D54" s="2">
        <v>1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34</v>
      </c>
      <c r="D55" s="2">
        <v>3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Francesco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67" t="str">
        <f>_xlfn.CONCAT(W2,A67)</f>
        <v>Francesco - Quartas de Final</v>
      </c>
      <c r="B68" s="167"/>
      <c r="C68" s="167"/>
      <c r="D68" s="167"/>
      <c r="E68" s="167"/>
      <c r="J68" s="59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Francesco - Semi Final</v>
      </c>
      <c r="B74" s="167"/>
      <c r="C74" s="167"/>
      <c r="D74" s="167"/>
      <c r="E74" s="167"/>
      <c r="J74" s="59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Francesco - Final</v>
      </c>
      <c r="B78" s="167"/>
      <c r="C78" s="167"/>
      <c r="D78" s="167"/>
      <c r="E78" s="167"/>
      <c r="J78" s="59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AC22:AE22"/>
    <mergeCell ref="W23:Y23"/>
    <mergeCell ref="AC23:AE23"/>
    <mergeCell ref="W24:Y24"/>
    <mergeCell ref="AC24:AE24"/>
    <mergeCell ref="W25:Y25"/>
    <mergeCell ref="AC25:AE25"/>
    <mergeCell ref="A22:E22"/>
    <mergeCell ref="K22:O22"/>
    <mergeCell ref="Q22:R22"/>
    <mergeCell ref="S22:T22"/>
    <mergeCell ref="U22:V22"/>
    <mergeCell ref="W22:Y22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K1:O1"/>
    <mergeCell ref="W2:AE6"/>
    <mergeCell ref="A8:E8"/>
    <mergeCell ref="K8:O8"/>
    <mergeCell ref="Q9:U10"/>
    <mergeCell ref="W9:AE9"/>
    <mergeCell ref="W10:Y10"/>
    <mergeCell ref="AC10:AE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tabSelected="1"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T23" sqref="T23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59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170" t="s">
        <v>36</v>
      </c>
      <c r="B1" s="170"/>
      <c r="C1" s="170"/>
      <c r="D1" s="170"/>
      <c r="E1" s="170"/>
      <c r="K1" s="171" t="s">
        <v>36</v>
      </c>
      <c r="L1" s="171"/>
      <c r="M1" s="171"/>
      <c r="N1" s="171"/>
      <c r="O1" s="171"/>
    </row>
    <row r="2" spans="1:56" x14ac:dyDescent="0.3">
      <c r="A2" s="179" t="str">
        <f>K2</f>
        <v>Al Ahly</v>
      </c>
      <c r="B2" s="95" t="s">
        <v>261</v>
      </c>
      <c r="C2" s="95" t="s">
        <v>34</v>
      </c>
      <c r="D2" s="95" t="s">
        <v>261</v>
      </c>
      <c r="E2" s="180" t="str">
        <f>O2</f>
        <v>Inter Miami</v>
      </c>
      <c r="J2" s="59" t="s">
        <v>233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169" t="s">
        <v>260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3">
      <c r="A3" s="12" t="str">
        <f t="shared" ref="A3:A7" si="0">K3</f>
        <v>Palmeiras</v>
      </c>
      <c r="B3" s="2">
        <v>2</v>
      </c>
      <c r="C3" s="2" t="s">
        <v>34</v>
      </c>
      <c r="D3" s="2">
        <v>0</v>
      </c>
      <c r="E3" s="13" t="str">
        <f t="shared" ref="E3:E7" si="1">O3</f>
        <v>Porto</v>
      </c>
      <c r="J3" s="59" t="s">
        <v>233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3">
      <c r="A4" s="12" t="str">
        <f t="shared" si="0"/>
        <v>Palmeiras</v>
      </c>
      <c r="B4" s="2">
        <v>1</v>
      </c>
      <c r="C4" s="2" t="s">
        <v>34</v>
      </c>
      <c r="D4" s="2">
        <v>0</v>
      </c>
      <c r="E4" s="13" t="str">
        <f t="shared" si="1"/>
        <v>Al Ahly</v>
      </c>
      <c r="J4" s="59" t="s">
        <v>233</v>
      </c>
      <c r="K4" s="2" t="str">
        <f>Tabela!A5</f>
        <v>Palmeiras</v>
      </c>
      <c r="L4" s="2">
        <f>Tabela!B5</f>
        <v>0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3">
      <c r="A5" s="12" t="str">
        <f t="shared" si="0"/>
        <v>Inter Miami</v>
      </c>
      <c r="B5" s="2">
        <v>1</v>
      </c>
      <c r="C5" s="2" t="s">
        <v>34</v>
      </c>
      <c r="D5" s="2">
        <v>0</v>
      </c>
      <c r="E5" s="13" t="str">
        <f t="shared" si="1"/>
        <v>Porto</v>
      </c>
      <c r="J5" s="59" t="s">
        <v>233</v>
      </c>
      <c r="K5" s="2" t="str">
        <f>Tabela!A6</f>
        <v>Inter Miami</v>
      </c>
      <c r="L5" s="2">
        <f>Tabela!B6</f>
        <v>0</v>
      </c>
      <c r="M5" s="2" t="str">
        <f>Tabela!C6</f>
        <v>x</v>
      </c>
      <c r="N5" s="2">
        <f>Tabela!D6</f>
        <v>0</v>
      </c>
      <c r="O5" s="2" t="str">
        <f>Tabela!E6</f>
        <v>Porto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3">
      <c r="A6" s="12" t="str">
        <f t="shared" si="0"/>
        <v>Inter Miami</v>
      </c>
      <c r="B6" s="2">
        <v>1</v>
      </c>
      <c r="C6" s="2" t="s">
        <v>34</v>
      </c>
      <c r="D6" s="2">
        <v>2</v>
      </c>
      <c r="E6" s="13" t="str">
        <f t="shared" si="1"/>
        <v>Palmeiras</v>
      </c>
      <c r="J6" s="59" t="s">
        <v>233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3">
      <c r="A7" s="12" t="str">
        <f t="shared" si="0"/>
        <v>Porto</v>
      </c>
      <c r="B7" s="2">
        <v>0</v>
      </c>
      <c r="C7" s="2" t="s">
        <v>34</v>
      </c>
      <c r="D7" s="2">
        <v>1</v>
      </c>
      <c r="E7" s="13" t="str">
        <f t="shared" si="1"/>
        <v>Al Ahly</v>
      </c>
      <c r="J7" s="59" t="s">
        <v>233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170" t="s">
        <v>43</v>
      </c>
      <c r="B8" s="170"/>
      <c r="C8" s="170"/>
      <c r="D8" s="170"/>
      <c r="E8" s="170"/>
      <c r="J8" s="59" t="str">
        <f>IF(Tabela!F9="","",Tabela!F9)</f>
        <v/>
      </c>
      <c r="K8" s="171" t="s">
        <v>43</v>
      </c>
      <c r="L8" s="171"/>
      <c r="M8" s="171"/>
      <c r="N8" s="171"/>
      <c r="O8" s="171"/>
    </row>
    <row r="9" spans="1:56" x14ac:dyDescent="0.3">
      <c r="A9" s="12" t="str">
        <f>K9</f>
        <v>PSG</v>
      </c>
      <c r="B9" s="2">
        <v>2</v>
      </c>
      <c r="C9" s="2" t="s">
        <v>34</v>
      </c>
      <c r="D9" s="2">
        <v>0</v>
      </c>
      <c r="E9" s="13" t="str">
        <f>O9</f>
        <v>Atlético de Madrid</v>
      </c>
      <c r="J9" s="59" t="s">
        <v>233</v>
      </c>
      <c r="K9" s="2" t="str">
        <f>Tabela!A10</f>
        <v>PSG</v>
      </c>
      <c r="L9" s="2">
        <f>Tabela!B10</f>
        <v>0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173" t="s">
        <v>44</v>
      </c>
      <c r="R9" s="173"/>
      <c r="S9" s="173"/>
      <c r="T9" s="173"/>
      <c r="U9" s="173"/>
      <c r="W9" s="174" t="s">
        <v>93</v>
      </c>
      <c r="X9" s="174"/>
      <c r="Y9" s="174"/>
      <c r="Z9" s="174"/>
      <c r="AA9" s="174"/>
      <c r="AB9" s="174"/>
      <c r="AC9" s="174"/>
      <c r="AD9" s="174"/>
      <c r="AE9" s="174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34</v>
      </c>
      <c r="D10" s="2">
        <v>0</v>
      </c>
      <c r="E10" s="13" t="str">
        <f t="shared" ref="E10:E14" si="3">O10</f>
        <v>Seattle Sounders</v>
      </c>
      <c r="J10" s="59" t="s">
        <v>233</v>
      </c>
      <c r="K10" s="2" t="str">
        <f>Tabela!A11</f>
        <v>Botafogo</v>
      </c>
      <c r="L10" s="2">
        <f>Tabela!B11</f>
        <v>0</v>
      </c>
      <c r="M10" s="2" t="str">
        <f>Tabela!C11</f>
        <v>x</v>
      </c>
      <c r="N10" s="2">
        <f>Tabela!D11</f>
        <v>0</v>
      </c>
      <c r="O10" s="2" t="str">
        <f>Tabela!E11</f>
        <v>Seattle Sounders</v>
      </c>
      <c r="Q10" s="173"/>
      <c r="R10" s="173"/>
      <c r="S10" s="173"/>
      <c r="T10" s="173"/>
      <c r="U10" s="173"/>
      <c r="W10" s="174"/>
      <c r="X10" s="174"/>
      <c r="Y10" s="174"/>
      <c r="AC10" s="174"/>
      <c r="AD10" s="174"/>
      <c r="AE10" s="174"/>
    </row>
    <row r="11" spans="1:56" x14ac:dyDescent="0.3">
      <c r="A11" s="12" t="str">
        <f t="shared" si="2"/>
        <v>Seattle Sounders</v>
      </c>
      <c r="B11" s="2">
        <v>0</v>
      </c>
      <c r="C11" s="2" t="s">
        <v>34</v>
      </c>
      <c r="D11" s="2">
        <v>1</v>
      </c>
      <c r="E11" s="13" t="str">
        <f t="shared" si="3"/>
        <v>Atlético de Madrid</v>
      </c>
      <c r="J11" s="59" t="s">
        <v>233</v>
      </c>
      <c r="K11" s="2" t="str">
        <f>Tabela!A12</f>
        <v>Seattle Sounders</v>
      </c>
      <c r="L11" s="2">
        <f>Tabela!B12</f>
        <v>0</v>
      </c>
      <c r="M11" s="2" t="str">
        <f>Tabela!C12</f>
        <v>x</v>
      </c>
      <c r="N11" s="2">
        <f>Tabela!D12</f>
        <v>0</v>
      </c>
      <c r="O11" s="2" t="str">
        <f>Tabela!E12</f>
        <v>Atlético de Madrid</v>
      </c>
      <c r="Q11" s="172">
        <f>SUM(H2:H82)</f>
        <v>0</v>
      </c>
      <c r="R11" s="172"/>
      <c r="S11" s="172"/>
      <c r="T11" s="172"/>
      <c r="U11" s="172"/>
      <c r="W11" s="174"/>
      <c r="X11" s="174"/>
      <c r="Y11" s="174"/>
      <c r="AC11" s="174"/>
      <c r="AD11" s="174"/>
      <c r="AE11" s="174"/>
    </row>
    <row r="12" spans="1:56" x14ac:dyDescent="0.3">
      <c r="A12" s="12" t="str">
        <f t="shared" si="2"/>
        <v>PSG</v>
      </c>
      <c r="B12" s="2">
        <v>3</v>
      </c>
      <c r="C12" s="2" t="s">
        <v>34</v>
      </c>
      <c r="D12" s="2">
        <v>0</v>
      </c>
      <c r="E12" s="13" t="str">
        <f t="shared" si="3"/>
        <v>Botafogo</v>
      </c>
      <c r="J12" s="59" t="s">
        <v>233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0</v>
      </c>
      <c r="O12" s="2" t="str">
        <f>Tabela!E13</f>
        <v>Botafogo</v>
      </c>
      <c r="Q12" s="172"/>
      <c r="R12" s="172"/>
      <c r="S12" s="172"/>
      <c r="T12" s="172"/>
      <c r="U12" s="172"/>
      <c r="W12" s="174"/>
      <c r="X12" s="174"/>
      <c r="Y12" s="174"/>
      <c r="AC12" s="174"/>
      <c r="AD12" s="174"/>
      <c r="AE12" s="174"/>
    </row>
    <row r="13" spans="1:56" x14ac:dyDescent="0.3">
      <c r="A13" s="12" t="str">
        <f t="shared" si="2"/>
        <v>Seattle Sounders</v>
      </c>
      <c r="B13" s="2">
        <v>0</v>
      </c>
      <c r="C13" s="2" t="s">
        <v>34</v>
      </c>
      <c r="D13" s="2">
        <v>4</v>
      </c>
      <c r="E13" s="13" t="str">
        <f t="shared" si="3"/>
        <v>PSG</v>
      </c>
      <c r="J13" s="59" t="s">
        <v>233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172"/>
      <c r="R13" s="172"/>
      <c r="S13" s="172"/>
      <c r="T13" s="172"/>
      <c r="U13" s="172"/>
      <c r="W13" s="174"/>
      <c r="X13" s="174"/>
      <c r="Y13" s="174"/>
      <c r="AC13" s="174"/>
      <c r="AD13" s="174"/>
      <c r="AE13" s="174"/>
    </row>
    <row r="14" spans="1:56" x14ac:dyDescent="0.3">
      <c r="A14" s="12" t="str">
        <f t="shared" si="2"/>
        <v>Atlético de Madrid</v>
      </c>
      <c r="B14" s="2">
        <v>1</v>
      </c>
      <c r="C14" s="2" t="s">
        <v>34</v>
      </c>
      <c r="D14" s="2">
        <v>1</v>
      </c>
      <c r="E14" s="13" t="str">
        <f t="shared" si="3"/>
        <v>Botafogo</v>
      </c>
      <c r="J14" s="59" t="s">
        <v>233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172"/>
      <c r="R14" s="172"/>
      <c r="S14" s="172"/>
      <c r="T14" s="172"/>
      <c r="U14" s="172"/>
      <c r="W14" s="174"/>
      <c r="X14" s="174"/>
      <c r="Y14" s="174"/>
      <c r="AC14" s="174"/>
      <c r="AD14" s="174"/>
      <c r="AE14" s="174"/>
      <c r="BD14" s="1">
        <v>5</v>
      </c>
    </row>
    <row r="15" spans="1:56" x14ac:dyDescent="0.3">
      <c r="A15" s="170" t="s">
        <v>42</v>
      </c>
      <c r="B15" s="170"/>
      <c r="C15" s="170"/>
      <c r="D15" s="170"/>
      <c r="E15" s="170"/>
      <c r="K15" s="171" t="s">
        <v>42</v>
      </c>
      <c r="L15" s="171"/>
      <c r="M15" s="171"/>
      <c r="N15" s="171"/>
      <c r="O15" s="171"/>
      <c r="Q15" s="172"/>
      <c r="R15" s="172"/>
      <c r="S15" s="172"/>
      <c r="T15" s="172"/>
      <c r="U15" s="172"/>
      <c r="W15" s="174"/>
      <c r="X15" s="174"/>
      <c r="Y15" s="174"/>
      <c r="AC15" s="174"/>
      <c r="AD15" s="174"/>
      <c r="AE15" s="174"/>
    </row>
    <row r="16" spans="1:56" x14ac:dyDescent="0.3">
      <c r="A16" s="12" t="str">
        <f>K16</f>
        <v>Bayern de Munique</v>
      </c>
      <c r="B16" s="2">
        <v>2</v>
      </c>
      <c r="C16" s="2" t="s">
        <v>34</v>
      </c>
      <c r="D16" s="2">
        <v>0</v>
      </c>
      <c r="E16" s="13" t="str">
        <f>O16</f>
        <v>Auckland City</v>
      </c>
      <c r="J16" s="59" t="s">
        <v>233</v>
      </c>
      <c r="K16" s="2" t="str">
        <f>Tabela!A17</f>
        <v>Bayern de Munique</v>
      </c>
      <c r="L16" s="2">
        <f>Tabela!B17</f>
        <v>6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74"/>
      <c r="X16" s="174"/>
      <c r="Y16" s="174"/>
      <c r="AC16" s="174"/>
      <c r="AD16" s="174"/>
      <c r="AE16" s="174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34</v>
      </c>
      <c r="D17" s="2">
        <v>1</v>
      </c>
      <c r="E17" s="13" t="str">
        <f t="shared" ref="E17:E21" si="5">O17</f>
        <v>Benfica</v>
      </c>
      <c r="J17" s="59" t="s">
        <v>233</v>
      </c>
      <c r="K17" s="2" t="str">
        <f>Tabela!A18</f>
        <v>Boca Juniors</v>
      </c>
      <c r="L17" s="2">
        <f>Tabela!B18</f>
        <v>0</v>
      </c>
      <c r="M17" s="2" t="str">
        <f>Tabela!C18</f>
        <v>x</v>
      </c>
      <c r="N17" s="2">
        <f>Tabela!D18</f>
        <v>0</v>
      </c>
      <c r="O17" s="2" t="str">
        <f>Tabela!E18</f>
        <v>Benfica</v>
      </c>
      <c r="W17" s="174"/>
      <c r="X17" s="174"/>
      <c r="Y17" s="174"/>
      <c r="AC17" s="174"/>
      <c r="AD17" s="174"/>
      <c r="AE17" s="174"/>
    </row>
    <row r="18" spans="1:31" x14ac:dyDescent="0.3">
      <c r="A18" s="12" t="str">
        <f t="shared" si="4"/>
        <v>Benfica</v>
      </c>
      <c r="B18" s="2">
        <v>1</v>
      </c>
      <c r="C18" s="2" t="s">
        <v>34</v>
      </c>
      <c r="D18" s="2">
        <v>1</v>
      </c>
      <c r="E18" s="13" t="str">
        <f t="shared" si="5"/>
        <v>Auckland City</v>
      </c>
      <c r="J18" s="59" t="s">
        <v>233</v>
      </c>
      <c r="K18" s="2" t="str">
        <f>Tabela!A19</f>
        <v>Benfica</v>
      </c>
      <c r="L18" s="2">
        <f>Tabela!B19</f>
        <v>0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74"/>
      <c r="X18" s="174"/>
      <c r="Y18" s="174"/>
      <c r="AC18" s="174"/>
      <c r="AD18" s="174"/>
      <c r="AE18" s="174"/>
    </row>
    <row r="19" spans="1:31" x14ac:dyDescent="0.3">
      <c r="A19" s="12" t="str">
        <f t="shared" si="4"/>
        <v>Bayern de Munique</v>
      </c>
      <c r="B19" s="2">
        <v>1</v>
      </c>
      <c r="C19" s="2" t="s">
        <v>34</v>
      </c>
      <c r="D19" s="2">
        <v>0</v>
      </c>
      <c r="E19" s="13" t="str">
        <f t="shared" si="5"/>
        <v>Boca Juniors</v>
      </c>
      <c r="J19" s="59" t="s">
        <v>233</v>
      </c>
      <c r="K19" s="2" t="str">
        <f>Tabela!A20</f>
        <v>Bayern de Munique</v>
      </c>
      <c r="L19" s="2">
        <f>Tabela!B20</f>
        <v>0</v>
      </c>
      <c r="M19" s="2" t="str">
        <f>Tabela!C20</f>
        <v>x</v>
      </c>
      <c r="N19" s="2">
        <f>Tabela!D20</f>
        <v>0</v>
      </c>
      <c r="O19" s="2" t="str">
        <f>Tabela!E20</f>
        <v>Boca Juniors</v>
      </c>
      <c r="Q19" s="18"/>
      <c r="R19" s="18"/>
      <c r="S19" s="18"/>
      <c r="T19" s="18">
        <v>1</v>
      </c>
      <c r="U19" s="18">
        <v>0</v>
      </c>
      <c r="W19" s="174"/>
      <c r="X19" s="174"/>
      <c r="Y19" s="174"/>
      <c r="AC19" s="174"/>
      <c r="AD19" s="174"/>
      <c r="AE19" s="174"/>
    </row>
    <row r="20" spans="1:31" x14ac:dyDescent="0.3">
      <c r="A20" s="12" t="str">
        <f t="shared" si="4"/>
        <v>Benfica</v>
      </c>
      <c r="B20" s="2">
        <v>0</v>
      </c>
      <c r="C20" s="2" t="s">
        <v>34</v>
      </c>
      <c r="D20" s="2">
        <v>1</v>
      </c>
      <c r="E20" s="13" t="str">
        <f t="shared" si="5"/>
        <v>Bayern de Munique</v>
      </c>
      <c r="J20" s="59" t="s">
        <v>233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74"/>
      <c r="X20" s="174"/>
      <c r="Y20" s="174"/>
      <c r="AC20" s="174"/>
      <c r="AD20" s="174"/>
      <c r="AE20" s="174"/>
    </row>
    <row r="21" spans="1:31" x14ac:dyDescent="0.3">
      <c r="A21" s="12" t="str">
        <f t="shared" si="4"/>
        <v>Auckland City</v>
      </c>
      <c r="B21" s="2">
        <v>0</v>
      </c>
      <c r="C21" s="2" t="s">
        <v>34</v>
      </c>
      <c r="D21" s="2">
        <v>0</v>
      </c>
      <c r="E21" s="13" t="str">
        <f t="shared" si="5"/>
        <v>Boca Juniors</v>
      </c>
      <c r="J21" s="59" t="s">
        <v>233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175" t="s">
        <v>27</v>
      </c>
      <c r="R21" s="175"/>
      <c r="S21" s="176" t="s">
        <v>224</v>
      </c>
      <c r="T21" s="176"/>
      <c r="U21" s="176" t="s">
        <v>200</v>
      </c>
      <c r="V21" s="176"/>
      <c r="W21" s="174"/>
      <c r="X21" s="174"/>
      <c r="Y21" s="174"/>
      <c r="AC21" s="174"/>
      <c r="AD21" s="174"/>
      <c r="AE21" s="174"/>
    </row>
    <row r="22" spans="1:31" x14ac:dyDescent="0.3">
      <c r="A22" s="170" t="s">
        <v>41</v>
      </c>
      <c r="B22" s="170"/>
      <c r="C22" s="170"/>
      <c r="D22" s="170"/>
      <c r="E22" s="170"/>
      <c r="J22" s="59" t="str">
        <f>IF(Tabela!F23="","",Tabela!F23)</f>
        <v/>
      </c>
      <c r="K22" s="171" t="s">
        <v>41</v>
      </c>
      <c r="L22" s="171"/>
      <c r="M22" s="171"/>
      <c r="N22" s="171"/>
      <c r="O22" s="171"/>
      <c r="Q22" s="175" t="s">
        <v>26</v>
      </c>
      <c r="R22" s="175"/>
      <c r="S22" s="177" t="s">
        <v>251</v>
      </c>
      <c r="T22" s="177"/>
      <c r="U22" s="177" t="s">
        <v>250</v>
      </c>
      <c r="V22" s="177"/>
      <c r="W22" s="174"/>
      <c r="X22" s="174"/>
      <c r="Y22" s="174"/>
      <c r="AC22" s="174"/>
      <c r="AD22" s="174"/>
      <c r="AE22" s="174"/>
    </row>
    <row r="23" spans="1:31" x14ac:dyDescent="0.3">
      <c r="A23" s="12" t="str">
        <f>K23</f>
        <v>Chelsea</v>
      </c>
      <c r="B23" s="2">
        <v>3</v>
      </c>
      <c r="C23" s="2" t="s">
        <v>34</v>
      </c>
      <c r="D23" s="2">
        <v>0</v>
      </c>
      <c r="E23" s="13" t="str">
        <f>O23</f>
        <v>Los Angeles FC</v>
      </c>
      <c r="J23" s="59" t="s">
        <v>233</v>
      </c>
      <c r="K23" s="2" t="str">
        <f>Tabela!A24</f>
        <v>Chelsea</v>
      </c>
      <c r="L23" s="2">
        <f>Tabela!B24</f>
        <v>0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74"/>
      <c r="X23" s="174"/>
      <c r="Y23" s="174"/>
      <c r="AC23" s="174"/>
      <c r="AD23" s="174"/>
      <c r="AE23" s="174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34</v>
      </c>
      <c r="D24" s="2">
        <v>0</v>
      </c>
      <c r="E24" s="13" t="str">
        <f t="shared" ref="E24:E28" si="7">O24</f>
        <v>Espérance</v>
      </c>
      <c r="J24" s="59" t="s">
        <v>233</v>
      </c>
      <c r="K24" s="2" t="str">
        <f>Tabela!A25</f>
        <v>Flamengo</v>
      </c>
      <c r="L24" s="2">
        <f>Tabela!B25</f>
        <v>0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74"/>
      <c r="X24" s="174"/>
      <c r="Y24" s="174"/>
      <c r="AC24" s="174"/>
      <c r="AD24" s="174"/>
      <c r="AE24" s="174"/>
    </row>
    <row r="25" spans="1:31" x14ac:dyDescent="0.3">
      <c r="A25" s="12" t="str">
        <f t="shared" si="6"/>
        <v>Flamengo</v>
      </c>
      <c r="B25" s="2">
        <v>1</v>
      </c>
      <c r="C25" s="2" t="s">
        <v>34</v>
      </c>
      <c r="D25" s="2">
        <v>3</v>
      </c>
      <c r="E25" s="13" t="str">
        <f t="shared" si="7"/>
        <v>Chelsea</v>
      </c>
      <c r="J25" s="59" t="s">
        <v>233</v>
      </c>
      <c r="K25" s="2" t="str">
        <f>Tabela!A26</f>
        <v>Flamengo</v>
      </c>
      <c r="L25" s="2">
        <f>Tabela!B26</f>
        <v>0</v>
      </c>
      <c r="M25" s="2" t="str">
        <f>Tabela!C26</f>
        <v>x</v>
      </c>
      <c r="N25" s="2">
        <f>Tabela!D26</f>
        <v>0</v>
      </c>
      <c r="O25" s="2" t="str">
        <f>Tabela!E26</f>
        <v>Chelsea</v>
      </c>
      <c r="W25" s="174"/>
      <c r="X25" s="174"/>
      <c r="Y25" s="174"/>
      <c r="AC25" s="174"/>
      <c r="AD25" s="174"/>
      <c r="AE25" s="174"/>
    </row>
    <row r="26" spans="1:31" x14ac:dyDescent="0.3">
      <c r="A26" s="12" t="str">
        <f t="shared" si="6"/>
        <v>Los Angeles FC</v>
      </c>
      <c r="B26" s="2">
        <v>0</v>
      </c>
      <c r="C26" s="2" t="s">
        <v>34</v>
      </c>
      <c r="D26" s="2">
        <v>0</v>
      </c>
      <c r="E26" s="13" t="str">
        <f t="shared" si="7"/>
        <v>Espérance</v>
      </c>
      <c r="J26" s="59" t="s">
        <v>233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0</v>
      </c>
      <c r="O26" s="2" t="str">
        <f>Tabela!E27</f>
        <v>Espérance</v>
      </c>
      <c r="W26" s="174"/>
      <c r="X26" s="174"/>
      <c r="Y26" s="174"/>
      <c r="AC26" s="174"/>
      <c r="AD26" s="174"/>
      <c r="AE26" s="174"/>
    </row>
    <row r="27" spans="1:31" x14ac:dyDescent="0.3">
      <c r="A27" s="12" t="str">
        <f t="shared" si="6"/>
        <v>Espérance</v>
      </c>
      <c r="B27" s="2">
        <v>0</v>
      </c>
      <c r="C27" s="2" t="s">
        <v>34</v>
      </c>
      <c r="D27" s="2">
        <v>4</v>
      </c>
      <c r="E27" s="13" t="str">
        <f t="shared" si="7"/>
        <v>Chelsea</v>
      </c>
      <c r="J27" s="59" t="s">
        <v>233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74"/>
      <c r="X27" s="174"/>
      <c r="Y27" s="174"/>
      <c r="Z27" s="19"/>
      <c r="AC27" s="174"/>
      <c r="AD27" s="174"/>
      <c r="AE27" s="174"/>
    </row>
    <row r="28" spans="1:31" x14ac:dyDescent="0.3">
      <c r="A28" s="12" t="str">
        <f t="shared" si="6"/>
        <v>Los Angeles FC</v>
      </c>
      <c r="B28" s="2">
        <v>1</v>
      </c>
      <c r="C28" s="2" t="s">
        <v>34</v>
      </c>
      <c r="D28" s="2">
        <v>1</v>
      </c>
      <c r="E28" s="13" t="str">
        <f t="shared" si="7"/>
        <v>Flamengo</v>
      </c>
      <c r="J28" s="59" t="s">
        <v>233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74"/>
      <c r="X28" s="174"/>
      <c r="Y28" s="174"/>
      <c r="AC28" s="174"/>
      <c r="AD28" s="174"/>
      <c r="AE28" s="174"/>
    </row>
    <row r="29" spans="1:31" x14ac:dyDescent="0.3">
      <c r="A29" s="170" t="s">
        <v>40</v>
      </c>
      <c r="B29" s="170"/>
      <c r="C29" s="170"/>
      <c r="D29" s="170"/>
      <c r="E29" s="170"/>
      <c r="K29" s="171" t="s">
        <v>40</v>
      </c>
      <c r="L29" s="171"/>
      <c r="M29" s="171"/>
      <c r="N29" s="171"/>
      <c r="O29" s="171"/>
      <c r="W29" s="174"/>
      <c r="X29" s="174"/>
      <c r="Y29" s="174"/>
      <c r="AC29" s="174"/>
      <c r="AD29" s="174"/>
      <c r="AE29" s="174"/>
    </row>
    <row r="30" spans="1:31" x14ac:dyDescent="0.3">
      <c r="A30" s="12" t="str">
        <f>K30</f>
        <v>River Plate</v>
      </c>
      <c r="B30" s="2">
        <v>1</v>
      </c>
      <c r="C30" s="2" t="s">
        <v>34</v>
      </c>
      <c r="D30" s="2">
        <v>0</v>
      </c>
      <c r="E30" s="13" t="str">
        <f>O30</f>
        <v>Urawa Reds</v>
      </c>
      <c r="J30" s="59" t="s">
        <v>233</v>
      </c>
      <c r="K30" s="2" t="str">
        <f>Tabela!G3</f>
        <v>River Plate</v>
      </c>
      <c r="L30" s="2">
        <f>Tabela!H3</f>
        <v>0</v>
      </c>
      <c r="M30" s="2" t="str">
        <f>Tabela!I3</f>
        <v>x</v>
      </c>
      <c r="N30" s="2">
        <f>Tabela!J3</f>
        <v>0</v>
      </c>
      <c r="O30" s="2" t="str">
        <f>Tabela!K3</f>
        <v>Urawa Reds</v>
      </c>
      <c r="Q30" s="20"/>
      <c r="R30" s="20"/>
      <c r="W30" s="174"/>
      <c r="X30" s="174"/>
      <c r="Y30" s="174"/>
      <c r="AC30" s="174"/>
      <c r="AD30" s="174"/>
      <c r="AE30" s="174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34</v>
      </c>
      <c r="D31" s="2">
        <v>1</v>
      </c>
      <c r="E31" s="13" t="str">
        <f t="shared" ref="E31:E35" si="9">O31</f>
        <v>Inter de Milão</v>
      </c>
      <c r="J31" s="59" t="s">
        <v>233</v>
      </c>
      <c r="K31" s="2" t="str">
        <f>Tabela!G4</f>
        <v>Monterrey</v>
      </c>
      <c r="L31" s="2">
        <f>Tabela!H4</f>
        <v>0</v>
      </c>
      <c r="M31" s="2" t="str">
        <f>Tabela!I4</f>
        <v>x</v>
      </c>
      <c r="N31" s="2">
        <f>Tabela!J4</f>
        <v>0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34</v>
      </c>
      <c r="D32" s="2">
        <v>0</v>
      </c>
      <c r="E32" s="13" t="str">
        <f t="shared" si="9"/>
        <v>Urawa Reds</v>
      </c>
      <c r="J32" s="59" t="s">
        <v>233</v>
      </c>
      <c r="K32" s="2" t="str">
        <f>Tabela!G5</f>
        <v>Inter de Milão</v>
      </c>
      <c r="L32" s="2">
        <f>Tabela!H5</f>
        <v>0</v>
      </c>
      <c r="M32" s="2" t="str">
        <f>Tabela!I5</f>
        <v>x</v>
      </c>
      <c r="N32" s="2">
        <f>Tabela!J5</f>
        <v>0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34</v>
      </c>
      <c r="D33" s="2">
        <v>1</v>
      </c>
      <c r="E33" s="13" t="str">
        <f t="shared" si="9"/>
        <v>Monterrey</v>
      </c>
      <c r="J33" s="59" t="s">
        <v>233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34</v>
      </c>
      <c r="D34" s="2">
        <v>1</v>
      </c>
      <c r="E34" s="13" t="str">
        <f t="shared" si="9"/>
        <v>River Plate</v>
      </c>
      <c r="J34" s="59" t="s">
        <v>233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34</v>
      </c>
      <c r="D35" s="2">
        <v>1</v>
      </c>
      <c r="E35" s="13" t="str">
        <f t="shared" si="9"/>
        <v>Monterrey</v>
      </c>
      <c r="J35" s="59" t="s">
        <v>233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170" t="s">
        <v>39</v>
      </c>
      <c r="B36" s="170"/>
      <c r="C36" s="170"/>
      <c r="D36" s="170"/>
      <c r="E36" s="170"/>
      <c r="J36" s="59" t="str">
        <f>IF(Tabela!L9="","",Tabela!L9)</f>
        <v/>
      </c>
      <c r="K36" s="171" t="s">
        <v>39</v>
      </c>
      <c r="L36" s="171"/>
      <c r="M36" s="171"/>
      <c r="N36" s="171"/>
      <c r="O36" s="171"/>
    </row>
    <row r="37" spans="1:15" x14ac:dyDescent="0.3">
      <c r="A37" s="12" t="str">
        <f>K37</f>
        <v>Fluminense</v>
      </c>
      <c r="B37" s="2">
        <v>0</v>
      </c>
      <c r="C37" s="2" t="s">
        <v>34</v>
      </c>
      <c r="D37" s="2">
        <v>2</v>
      </c>
      <c r="E37" s="13" t="str">
        <f>O37</f>
        <v>Borussisa Dortmund</v>
      </c>
      <c r="J37" s="59" t="s">
        <v>233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34</v>
      </c>
      <c r="D38" s="2">
        <v>0</v>
      </c>
      <c r="E38" s="13" t="str">
        <f t="shared" ref="E38:E42" si="11">O38</f>
        <v>Mamelodi Sundowns</v>
      </c>
      <c r="J38" s="59" t="s">
        <v>233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0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34</v>
      </c>
      <c r="D39" s="2">
        <v>3</v>
      </c>
      <c r="E39" s="13" t="str">
        <f t="shared" si="11"/>
        <v>Borussisa Dortmund</v>
      </c>
      <c r="J39" s="59" t="s">
        <v>233</v>
      </c>
      <c r="K39" s="2" t="str">
        <f>Tabela!G12</f>
        <v>Mamelodi Sundowns</v>
      </c>
      <c r="L39" s="2">
        <f>Tabela!H12</f>
        <v>0</v>
      </c>
      <c r="M39" s="2" t="str">
        <f>Tabela!I12</f>
        <v>x</v>
      </c>
      <c r="N39" s="2">
        <f>Tabela!J12</f>
        <v>0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34</v>
      </c>
      <c r="D40" s="2">
        <v>0</v>
      </c>
      <c r="E40" s="13" t="str">
        <f t="shared" si="11"/>
        <v>Ulsan HD</v>
      </c>
      <c r="J40" s="59" t="s">
        <v>233</v>
      </c>
      <c r="K40" s="2" t="str">
        <f>Tabela!G13</f>
        <v>Fluminense</v>
      </c>
      <c r="L40" s="2">
        <f>Tabela!H13</f>
        <v>0</v>
      </c>
      <c r="M40" s="2" t="str">
        <f>Tabela!I13</f>
        <v>x</v>
      </c>
      <c r="N40" s="2">
        <f>Tabela!J13</f>
        <v>0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34</v>
      </c>
      <c r="D41" s="2">
        <v>1</v>
      </c>
      <c r="E41" s="13" t="str">
        <f t="shared" si="11"/>
        <v>Fluminense</v>
      </c>
      <c r="J41" s="59" t="s">
        <v>233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34</v>
      </c>
      <c r="D42" s="2">
        <v>0</v>
      </c>
      <c r="E42" s="13" t="str">
        <f t="shared" si="11"/>
        <v>Ulsan HD</v>
      </c>
      <c r="J42" s="59" t="s">
        <v>233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170" t="s">
        <v>38</v>
      </c>
      <c r="B43" s="170"/>
      <c r="C43" s="170"/>
      <c r="D43" s="170"/>
      <c r="E43" s="170"/>
      <c r="J43" s="59" t="str">
        <f>IF(Tabela!L16="","",Tabela!L16)</f>
        <v/>
      </c>
      <c r="K43" s="171" t="s">
        <v>38</v>
      </c>
      <c r="L43" s="171"/>
      <c r="M43" s="171"/>
      <c r="N43" s="171"/>
      <c r="O43" s="171"/>
    </row>
    <row r="44" spans="1:15" x14ac:dyDescent="0.3">
      <c r="A44" s="12" t="str">
        <f>K44</f>
        <v>Manchester City</v>
      </c>
      <c r="B44" s="2">
        <v>3</v>
      </c>
      <c r="C44" s="2" t="s">
        <v>34</v>
      </c>
      <c r="D44" s="2">
        <v>0</v>
      </c>
      <c r="E44" s="13" t="str">
        <f>O44</f>
        <v>Wydad Casablanca</v>
      </c>
      <c r="J44" s="59" t="s">
        <v>233</v>
      </c>
      <c r="K44" s="2" t="str">
        <f>Tabela!G17</f>
        <v>Manchester City</v>
      </c>
      <c r="L44" s="2">
        <f>Tabela!H17</f>
        <v>0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34</v>
      </c>
      <c r="D45" s="2">
        <v>1</v>
      </c>
      <c r="E45" s="13" t="str">
        <f t="shared" ref="E45:E49" si="13">O45</f>
        <v>Juventus</v>
      </c>
      <c r="J45" s="59" t="s">
        <v>233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0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34</v>
      </c>
      <c r="D46" s="2">
        <v>0</v>
      </c>
      <c r="E46" s="13" t="str">
        <f t="shared" si="13"/>
        <v>Wydad Casablanca</v>
      </c>
      <c r="J46" s="59" t="s">
        <v>233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34</v>
      </c>
      <c r="D47" s="2">
        <v>1</v>
      </c>
      <c r="E47" s="13" t="str">
        <f t="shared" si="13"/>
        <v>Al-Ain</v>
      </c>
      <c r="J47" s="59" t="s">
        <v>233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34</v>
      </c>
      <c r="D48" s="2">
        <v>1</v>
      </c>
      <c r="E48" s="13" t="str">
        <f t="shared" si="13"/>
        <v>Manchester City</v>
      </c>
      <c r="J48" s="59" t="s">
        <v>233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34</v>
      </c>
      <c r="D49" s="2">
        <v>1</v>
      </c>
      <c r="E49" s="13" t="str">
        <f t="shared" si="13"/>
        <v>Al-Ain</v>
      </c>
      <c r="J49" s="59" t="s">
        <v>233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170" t="s">
        <v>37</v>
      </c>
      <c r="B50" s="170"/>
      <c r="C50" s="170"/>
      <c r="D50" s="170"/>
      <c r="E50" s="170"/>
      <c r="J50" s="59" t="str">
        <f>IF(Tabela!L23="","",Tabela!L23)</f>
        <v/>
      </c>
      <c r="K50" s="171" t="s">
        <v>37</v>
      </c>
      <c r="L50" s="171"/>
      <c r="M50" s="171"/>
      <c r="N50" s="171"/>
      <c r="O50" s="171"/>
    </row>
    <row r="51" spans="1:15" x14ac:dyDescent="0.3">
      <c r="A51" s="12" t="str">
        <f>K51</f>
        <v>Real Madrid</v>
      </c>
      <c r="B51" s="2">
        <v>3</v>
      </c>
      <c r="C51" s="2" t="s">
        <v>34</v>
      </c>
      <c r="D51" s="2">
        <v>0</v>
      </c>
      <c r="E51" s="13" t="str">
        <f>O51</f>
        <v>Al-Hilal</v>
      </c>
      <c r="J51" s="59" t="s">
        <v>233</v>
      </c>
      <c r="K51" s="2" t="str">
        <f>Tabela!G24</f>
        <v>Real Madrid</v>
      </c>
      <c r="L51" s="2">
        <f>Tabela!H24</f>
        <v>0</v>
      </c>
      <c r="M51" s="2" t="str">
        <f>Tabela!I24</f>
        <v>x</v>
      </c>
      <c r="N51" s="2">
        <f>Tabela!J24</f>
        <v>0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34</v>
      </c>
      <c r="D52" s="2">
        <v>1</v>
      </c>
      <c r="E52" s="13" t="str">
        <f t="shared" ref="E52:E56" si="15">O52</f>
        <v>RB Salzburg</v>
      </c>
      <c r="J52" s="59" t="s">
        <v>233</v>
      </c>
      <c r="K52" s="2" t="str">
        <f>Tabela!G25</f>
        <v>Pachuca</v>
      </c>
      <c r="L52" s="2">
        <f>Tabela!H25</f>
        <v>0</v>
      </c>
      <c r="M52" s="2" t="str">
        <f>Tabela!I25</f>
        <v>x</v>
      </c>
      <c r="N52" s="2">
        <f>Tabela!J25</f>
        <v>0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34</v>
      </c>
      <c r="D53" s="2">
        <v>0</v>
      </c>
      <c r="E53" s="13" t="str">
        <f t="shared" si="15"/>
        <v>Pachuca</v>
      </c>
      <c r="J53" s="59" t="s">
        <v>233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34</v>
      </c>
      <c r="D54" s="2">
        <v>1</v>
      </c>
      <c r="E54" s="13" t="str">
        <f t="shared" si="15"/>
        <v>Al-Hilal</v>
      </c>
      <c r="J54" s="59" t="s">
        <v>233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34</v>
      </c>
      <c r="D55" s="2">
        <v>2</v>
      </c>
      <c r="E55" s="13" t="str">
        <f t="shared" si="15"/>
        <v>Real Madrid</v>
      </c>
      <c r="J55" s="59" t="s">
        <v>233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34</v>
      </c>
      <c r="D56" s="2">
        <v>0</v>
      </c>
      <c r="E56" s="13" t="str">
        <f t="shared" si="15"/>
        <v>Pachuca</v>
      </c>
      <c r="J56" s="59" t="s">
        <v>233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140</v>
      </c>
    </row>
    <row r="58" spans="1:15" x14ac:dyDescent="0.3">
      <c r="A58" s="167" t="str">
        <f>_xlfn.CONCAT(W2,A57)</f>
        <v>Chicão - Oitavas de Final</v>
      </c>
      <c r="B58" s="167"/>
      <c r="C58" s="167"/>
      <c r="D58" s="167"/>
      <c r="E58" s="167"/>
      <c r="K58" s="168" t="s">
        <v>139</v>
      </c>
      <c r="L58" s="168"/>
      <c r="M58" s="168"/>
      <c r="N58" s="168"/>
      <c r="O58" s="168"/>
    </row>
    <row r="59" spans="1:15" x14ac:dyDescent="0.3">
      <c r="A59" s="53">
        <f>K59</f>
        <v>0</v>
      </c>
      <c r="B59" s="54"/>
      <c r="C59" s="54" t="s">
        <v>34</v>
      </c>
      <c r="D59" s="54"/>
      <c r="E59" s="55">
        <f>O59</f>
        <v>0</v>
      </c>
      <c r="J59" s="59" t="s">
        <v>233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34</v>
      </c>
      <c r="D60" s="54"/>
      <c r="E60" s="55">
        <f t="shared" ref="E60:E66" si="17">O60</f>
        <v>0</v>
      </c>
      <c r="J60" s="59" t="s">
        <v>233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34</v>
      </c>
      <c r="D61" s="54"/>
      <c r="E61" s="55">
        <f t="shared" si="17"/>
        <v>0</v>
      </c>
      <c r="J61" s="59" t="s">
        <v>233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34</v>
      </c>
      <c r="D62" s="54"/>
      <c r="E62" s="55">
        <f t="shared" si="17"/>
        <v>0</v>
      </c>
      <c r="J62" s="59" t="s">
        <v>233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34</v>
      </c>
      <c r="D63" s="54"/>
      <c r="E63" s="55">
        <f t="shared" si="17"/>
        <v>0</v>
      </c>
      <c r="J63" s="59" t="s">
        <v>233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34</v>
      </c>
      <c r="D64" s="54"/>
      <c r="E64" s="55">
        <f t="shared" si="17"/>
        <v>0</v>
      </c>
      <c r="J64" s="59" t="s">
        <v>233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34</v>
      </c>
      <c r="D65" s="54"/>
      <c r="E65" s="55">
        <f t="shared" si="17"/>
        <v>0</v>
      </c>
      <c r="J65" s="59" t="s">
        <v>233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34</v>
      </c>
      <c r="D66" s="54"/>
      <c r="E66" s="55">
        <f t="shared" si="17"/>
        <v>0</v>
      </c>
      <c r="J66" s="59" t="s">
        <v>233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141</v>
      </c>
      <c r="B67" s="23"/>
      <c r="C67" s="23"/>
      <c r="D67" s="23"/>
      <c r="E67" s="24"/>
      <c r="J67" s="59" t="s">
        <v>233</v>
      </c>
    </row>
    <row r="68" spans="1:15" x14ac:dyDescent="0.3">
      <c r="A68" s="167" t="str">
        <f>_xlfn.CONCAT(W2,A67)</f>
        <v>Chicão - Quartas de Final</v>
      </c>
      <c r="B68" s="167"/>
      <c r="C68" s="167"/>
      <c r="D68" s="167"/>
      <c r="E68" s="167"/>
      <c r="J68" s="59" t="str">
        <f>IF(Tabela!F41="","",Tabela!F41)</f>
        <v/>
      </c>
      <c r="K68" s="168" t="s">
        <v>108</v>
      </c>
      <c r="L68" s="168"/>
      <c r="M68" s="168"/>
      <c r="N68" s="168"/>
      <c r="O68" s="168"/>
    </row>
    <row r="69" spans="1:15" x14ac:dyDescent="0.3">
      <c r="A69" s="53" t="str">
        <f>K69</f>
        <v/>
      </c>
      <c r="B69" s="54"/>
      <c r="C69" s="54" t="s">
        <v>34</v>
      </c>
      <c r="D69" s="54"/>
      <c r="E69" s="55" t="str">
        <f>O69</f>
        <v/>
      </c>
      <c r="J69" s="59" t="s">
        <v>233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34</v>
      </c>
      <c r="D70" s="54"/>
      <c r="E70" s="55" t="str">
        <f t="shared" ref="E70:E72" si="19">O70</f>
        <v/>
      </c>
      <c r="J70" s="59" t="s">
        <v>233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34</v>
      </c>
      <c r="D71" s="54"/>
      <c r="E71" s="55" t="str">
        <f t="shared" si="19"/>
        <v/>
      </c>
      <c r="J71" s="59" t="s">
        <v>233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34</v>
      </c>
      <c r="D72" s="54"/>
      <c r="E72" s="55" t="str">
        <f t="shared" si="19"/>
        <v/>
      </c>
      <c r="J72" s="59" t="s">
        <v>233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146</v>
      </c>
      <c r="J73" s="59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167" t="str">
        <f>_xlfn.CONCAT(W$2,A73)</f>
        <v>Chicão - Semi Final</v>
      </c>
      <c r="B74" s="167"/>
      <c r="C74" s="167"/>
      <c r="D74" s="167"/>
      <c r="E74" s="167"/>
      <c r="J74" s="59" t="str">
        <f>IF(Tabela!F47="","",Tabela!F47)</f>
        <v/>
      </c>
      <c r="K74" s="168" t="s">
        <v>109</v>
      </c>
      <c r="L74" s="168"/>
      <c r="M74" s="168"/>
      <c r="N74" s="168"/>
      <c r="O74" s="168"/>
    </row>
    <row r="75" spans="1:15" x14ac:dyDescent="0.3">
      <c r="A75" s="12" t="str">
        <f>K75</f>
        <v/>
      </c>
      <c r="C75" s="2" t="s">
        <v>34</v>
      </c>
      <c r="E75" s="13" t="str">
        <f>O75</f>
        <v/>
      </c>
      <c r="J75" s="59" t="s">
        <v>233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34</v>
      </c>
      <c r="E76" s="13" t="str">
        <f>O76</f>
        <v/>
      </c>
      <c r="J76" s="59" t="s">
        <v>233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147</v>
      </c>
      <c r="J77" s="59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167" t="str">
        <f>_xlfn.CONCAT(W$2,A77)</f>
        <v>Chicão - Final</v>
      </c>
      <c r="B78" s="167"/>
      <c r="C78" s="167"/>
      <c r="D78" s="167"/>
      <c r="E78" s="167"/>
      <c r="J78" s="59" t="str">
        <f>IF(Tabela!F54="","",Tabela!F54)</f>
        <v/>
      </c>
      <c r="K78" s="168" t="s">
        <v>111</v>
      </c>
      <c r="L78" s="168"/>
      <c r="M78" s="168"/>
      <c r="N78" s="168"/>
      <c r="O78" s="168"/>
    </row>
    <row r="79" spans="1:15" x14ac:dyDescent="0.3">
      <c r="A79" s="12" t="str">
        <f>K79</f>
        <v/>
      </c>
      <c r="C79" s="2" t="s">
        <v>34</v>
      </c>
      <c r="E79" s="13" t="str">
        <f>O79</f>
        <v/>
      </c>
      <c r="J79" s="59" t="s">
        <v>233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59" t="str">
        <f>IF(Tabela!F56="","",Tabela!F56)</f>
        <v/>
      </c>
    </row>
    <row r="81" spans="5:10" x14ac:dyDescent="0.3">
      <c r="E81" s="13" t="s">
        <v>142</v>
      </c>
      <c r="J81" s="59" t="s">
        <v>233</v>
      </c>
    </row>
    <row r="82" spans="5:10" x14ac:dyDescent="0.3">
      <c r="E82" s="13" t="s">
        <v>95</v>
      </c>
      <c r="J82" s="59" t="s">
        <v>233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AC22:AE22"/>
    <mergeCell ref="W23:Y23"/>
    <mergeCell ref="AC23:AE23"/>
    <mergeCell ref="W24:Y24"/>
    <mergeCell ref="AC24:AE24"/>
    <mergeCell ref="W25:Y25"/>
    <mergeCell ref="AC25:AE25"/>
    <mergeCell ref="A22:E22"/>
    <mergeCell ref="K22:O22"/>
    <mergeCell ref="Q22:R22"/>
    <mergeCell ref="S22:T22"/>
    <mergeCell ref="U22:V22"/>
    <mergeCell ref="W22:Y22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K1:O1"/>
    <mergeCell ref="W2:AE6"/>
    <mergeCell ref="A8:E8"/>
    <mergeCell ref="K8:O8"/>
    <mergeCell ref="Q9:U10"/>
    <mergeCell ref="W9:AE9"/>
    <mergeCell ref="W10:Y10"/>
    <mergeCell ref="AC10:AE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2025-06-15T19:50:38Z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