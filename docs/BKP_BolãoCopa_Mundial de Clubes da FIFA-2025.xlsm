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GitHub\mundialdeclubes2025\docs\"/>
    </mc:Choice>
  </mc:AlternateContent>
  <xr:revisionPtr revIDLastSave="0" documentId="13_ncr:1_{78FAF0B4-157C-4F83-8711-CE8871CADBD4}" xr6:coauthVersionLast="47" xr6:coauthVersionMax="47" xr10:uidLastSave="{00000000-0000-0000-0000-000000000000}"/>
  <bookViews>
    <workbookView xWindow="-108" yWindow="-108" windowWidth="23256" windowHeight="12576" tabRatio="891" activeTab="5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3" i="31" l="1"/>
  <c r="M21" i="31"/>
  <c r="M22" i="31"/>
  <c r="M20" i="31"/>
  <c r="M18" i="31"/>
  <c r="M19" i="31"/>
  <c r="M17" i="31"/>
  <c r="M16" i="31"/>
  <c r="M15" i="31"/>
  <c r="M14" i="31"/>
  <c r="M13" i="31"/>
  <c r="M12" i="31"/>
  <c r="M11" i="31"/>
  <c r="M10" i="31"/>
  <c r="M9" i="31"/>
  <c r="M8" i="31"/>
  <c r="M6" i="31"/>
  <c r="M7" i="31"/>
  <c r="M5" i="31"/>
  <c r="M4" i="31"/>
  <c r="M3" i="31"/>
  <c r="X34" i="3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20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3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7" i="31"/>
  <c r="L16" i="31"/>
  <c r="L14" i="31"/>
  <c r="L17" i="31"/>
  <c r="L19" i="31"/>
  <c r="L4" i="31"/>
  <c r="L6" i="31"/>
  <c r="L15" i="31"/>
  <c r="L9" i="31"/>
  <c r="L5" i="31"/>
  <c r="L18" i="31"/>
  <c r="L11" i="31"/>
  <c r="L10" i="31"/>
  <c r="L21" i="31"/>
  <c r="L12" i="31"/>
  <c r="L3" i="31"/>
  <c r="L23" i="31"/>
  <c r="L22" i="31"/>
  <c r="L8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D21" i="31" l="1"/>
  <c r="I19" i="3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<sst xmlns="http://schemas.openxmlformats.org/spreadsheetml/2006/main" count="3519" uniqueCount="267">
  <si>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</si>
  <si>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</si>
  <si>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</si>
  <si>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</si>
  <si>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</si>
  <si>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</si>
  <si>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</si>
  <si>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</si>
  <si>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</si>
  <si>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</si>
  <si>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</si>
  <si>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</si>
  <si>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</si>
  <si>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</si>
  <si>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</si>
  <si>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</si>
  <si>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</si>
  <si>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</si>
  <si>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</si>
  <si>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</si>
  <si>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</si>
  <si>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</si>
  <si>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</si>
  <si>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</si>
  <si>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</si>
  <si>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</si>
  <si>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</si>
  <si>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</si>
  <si>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</si>
  <si>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</si>
  <si>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</si>
  <si>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</si>
  <si>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</si>
  <si>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</si>
  <si>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</si>
  <si>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</si>
  <si>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</si>
  <si>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</si>
  <si>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</si>
  <si>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</si>
  <si>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</si>
  <si>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</si>
  <si>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</si>
  <si>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</si>
  <si>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</si>
  <si>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</si>
  <si>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</si>
  <si>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</si>
  <si>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</si>
  <si>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</si>
  <si>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</si>
  <si>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</si>
  <si>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</si>
  <si>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</si>
  <si>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</si>
  <si>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</si>
  <si>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</si>
  <si>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</si>
  <si>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</si>
  <si>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</si>
  <si>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</si>
  <si>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</si>
  <si>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</si>
  <si>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</si>
  <si>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</si>
  <si>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</si>
  <si>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</si>
  <si>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</si>
  <si>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</si>
  <si>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</si>
  <si>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</si>
  <si>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</si>
  <si>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</si>
  <si>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</si>
  <si>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</si>
  <si>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</si>
  <si>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</si>
  <si>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</si>
  <si>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</si>
  <si>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</si>
  <si>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</si>
  <si>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</si>
  <si>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</si>
  <si>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</si>
  <si>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</si>
  <si>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</si>
  <si>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</si>
  <si>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</si>
  <si>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</si>
  <si>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</si>
  <si>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</si>
  <si>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</si>
  <si>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</si>
  <si>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</si>
  <si>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</si>
  <si>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</si>
  <si>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</si>
  <si>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</si>
  <si>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</si>
  <si>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</si>
  <si>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</si>
  <si>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</si>
  <si>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</si>
  <si>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</si>
  <si>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</si>
  <si>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</si>
  <si>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</si>
  <si>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</si>
  <si>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</si>
  <si>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</si>
  <si>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</si>
  <si>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</si>
  <si>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</si>
  <si>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</si>
  <si>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</si>
  <si>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</si>
  <si>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</si>
  <si>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</si>
  <si>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</si>
  <si>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</si>
  <si>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</si>
  <si>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</si>
  <si>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</si>
  <si>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</si>
  <si>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</si>
  <si>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</si>
  <si>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</si>
  <si>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</si>
  <si>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</si>
  <si>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</si>
  <si>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</si>
  <si>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</si>
  <si>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</si>
  <si>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</si>
  <si>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</si>
  <si>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</si>
  <si>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</si>
  <si>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</si>
  <si>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</si>
  <si>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</si>
  <si>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</si>
  <si>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</si>
  <si>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</si>
  <si>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</si>
  <si>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</si>
  <si>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</si>
  <si>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</si>
  <si>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</si>
  <si>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</si>
  <si>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</si>
  <si>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</si>
  <si>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</si>
  <si>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</si>
  <si>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</si>
  <si>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</si>
  <si>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</si>
  <si>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</si>
  <si>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</si>
  <si>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</si>
  <si>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</si>
  <si>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</si>
  <si>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</si>
  <si>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</si>
  <si>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</si>
  <si>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</si>
  <si>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</si>
  <si>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</si>
  <si>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</si>
  <si>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</si>
  <si>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</si>
  <si>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</si>
  <si>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</si>
  <si>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</si>
  <si>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</si>
  <si>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</si>
  <si>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</si>
  <si>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</si>
  <si>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</si>
  <si>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</si>
  <si>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</si>
  <si>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</si>
  <si>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</si>
  <si>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</si>
  <si>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</si>
  <si>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</si>
  <si>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</si>
  <si>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</si>
  <si>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</si>
  <si>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</si>
  <si>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</si>
  <si>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</si>
  <si>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</si>
  <si>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</si>
  <si>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</si>
  <si>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</si>
  <si>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</si>
  <si>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</si>
  <si>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</si>
  <si>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</si>
  <si>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</si>
  <si>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</si>
  <si>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</si>
  <si>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</si>
  <si>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</si>
  <si>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</si>
  <si>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</si>
  <si>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</si>
  <si>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</si>
  <si>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</si>
  <si>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</si>
  <si>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</si>
  <si>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</si>
  <si>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</si>
  <si>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</si>
  <si>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</si>
  <si>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</si>
  <si>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</si>
  <si>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</si>
  <si>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</si>
  <si>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</si>
  <si>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</si>
  <si>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</si>
  <si>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</si>
  <si>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</si>
  <si>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</si>
  <si>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</si>
  <si>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</si>
  <si>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</si>
  <si>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</si>
  <si>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</si>
  <si>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</si>
  <si>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</si>
  <si>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</si>
  <si>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</si>
  <si>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</si>
  <si>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</si>
  <si>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</si>
  <si>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</si>
  <si>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</si>
  <si>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</si>
  <si>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</si>
  <si>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</si>
  <si>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</si>
  <si>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</si>
  <si>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</si>
  <si>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</si>
  <si>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</si>
  <si>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</si>
  <si>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</si>
  <si>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</si>
  <si>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</si>
  <si>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PALPITES DA PARTIDA ATUAL</t>
  </si>
  <si>
    <t>19º</t>
  </si>
  <si>
    <t>TIMES</t>
  </si>
  <si>
    <t>10º</t>
  </si>
  <si>
    <t>9º</t>
  </si>
  <si>
    <t>8º</t>
  </si>
  <si>
    <t>7º</t>
  </si>
  <si>
    <t>6º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</si>
  <si>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</si>
  <si>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</si>
  <si>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</si>
  <si>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</si>
  <si>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</si>
  <si>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</si>
  <si>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PARTIDA ATUAL</t>
  </si>
  <si>
    <t>ponto(s)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</si>
</sst>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5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0"/>
      <color theme="1"/>
      <name val="Amasis MT Pro"/>
      <family val="1"/>
    </font>
    <font>
      <b/>
      <sz val="10"/>
      <color theme="1"/>
      <name val="Amasis MT Pro"/>
      <family val="1"/>
    </font>
    <font>
      <b/>
      <sz val="11"/>
      <color theme="1"/>
      <name val="Amasis MT Pro"/>
      <family val="1"/>
    </font>
    <font>
      <b/>
      <sz val="11"/>
      <color theme="5" tint="-0.499984740745262"/>
      <name val="Amasis MT Pro"/>
      <family val="1"/>
    </font>
    <font>
      <sz val="10"/>
      <color theme="5" tint="-0.499984740745262"/>
      <name val="Amasis MT Pro"/>
      <family val="1"/>
    </font>
    <font>
      <sz val="14"/>
      <color theme="5" tint="-0.499984740745262"/>
      <name val="Amasis MT Pro"/>
      <family val="1"/>
    </font>
    <font>
      <b/>
      <sz val="10"/>
      <color theme="5" tint="-0.499984740745262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  <font>
      <sz val="14"/>
      <color theme="0" tint="-0.249977111117893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1"/>
      <color theme="1" tint="0.249977111117893"/>
      <name val="ADLaM Display"/>
    </font>
    <font>
      <sz val="9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35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2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15" borderId="5" xfId="0" applyFont="1" applyFill="1" applyBorder="1" applyAlignment="1">
      <alignment horizontal="right" vertical="center"/>
    </xf>
    <xf numFmtId="0" fontId="40" fillId="15" borderId="5" xfId="0" applyFont="1" applyFill="1" applyBorder="1" applyAlignment="1">
      <alignment horizontal="center" vertical="center"/>
    </xf>
    <xf numFmtId="0" fontId="39" fillId="15" borderId="5" xfId="0" applyFont="1" applyFill="1" applyBorder="1" applyAlignment="1">
      <alignment horizontal="left" vertical="center"/>
    </xf>
    <xf numFmtId="0" fontId="39" fillId="0" borderId="5" xfId="0" applyFont="1" applyBorder="1" applyAlignment="1">
      <alignment horizontal="right" vertical="center"/>
    </xf>
    <xf numFmtId="0" fontId="40" fillId="0" borderId="5" xfId="0" applyFont="1" applyBorder="1" applyAlignment="1">
      <alignment horizontal="center" vertical="center"/>
    </xf>
    <xf numFmtId="0" fontId="39" fillId="0" borderId="5" xfId="0" applyFont="1" applyBorder="1" applyAlignment="1">
      <alignment horizontal="left" vertical="center"/>
    </xf>
    <xf numFmtId="0" fontId="41" fillId="15" borderId="5" xfId="0" applyFont="1" applyFill="1" applyBorder="1" applyAlignment="1">
      <alignment vertical="center"/>
    </xf>
    <xf numFmtId="0" fontId="41" fillId="0" borderId="5" xfId="0" applyFont="1" applyBorder="1" applyAlignment="1">
      <alignment vertical="center"/>
    </xf>
    <xf numFmtId="0" fontId="35" fillId="15" borderId="5" xfId="0" applyFont="1" applyFill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42" fillId="13" borderId="5" xfId="0" applyFont="1" applyFill="1" applyBorder="1" applyAlignment="1">
      <alignment vertical="center"/>
    </xf>
    <xf numFmtId="0" fontId="43" fillId="13" borderId="5" xfId="0" applyFont="1" applyFill="1" applyBorder="1" applyAlignment="1">
      <alignment horizontal="right" vertical="center"/>
    </xf>
    <xf numFmtId="0" fontId="44" fillId="13" borderId="5" xfId="0" applyFont="1" applyFill="1" applyBorder="1" applyAlignment="1">
      <alignment horizontal="center" vertical="center"/>
    </xf>
    <xf numFmtId="0" fontId="45" fillId="13" borderId="5" xfId="0" applyFont="1" applyFill="1" applyBorder="1" applyAlignment="1">
      <alignment horizontal="center" vertical="center"/>
    </xf>
    <xf numFmtId="0" fontId="43" fillId="13" borderId="5" xfId="0" applyFont="1" applyFill="1" applyBorder="1" applyAlignment="1">
      <alignment horizontal="left" vertical="center"/>
    </xf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48" fillId="11" borderId="5" xfId="0" applyFont="1" applyFill="1" applyBorder="1" applyAlignment="1">
      <alignment horizontal="center" vertical="center" wrapText="1"/>
    </xf>
    <xf numFmtId="0" fontId="9" fillId="0" borderId="34" xfId="0" applyFont="1" applyBorder="1" applyAlignment="1">
      <alignment horizontal="right" vertical="center"/>
    </xf>
    <xf numFmtId="0" fontId="49" fillId="0" borderId="34" xfId="0" applyFont="1" applyBorder="1" applyAlignment="1">
      <alignment horizontal="center" vertical="center"/>
    </xf>
    <xf numFmtId="0" fontId="50" fillId="0" borderId="34" xfId="0" applyFont="1" applyBorder="1" applyAlignment="1">
      <alignment horizontal="center" vertical="center"/>
    </xf>
    <xf numFmtId="0" fontId="9" fillId="0" borderId="34" xfId="0" applyFont="1" applyBorder="1" applyAlignment="1">
      <alignment horizontal="left" vertical="center"/>
    </xf>
    <xf numFmtId="0" fontId="51" fillId="0" borderId="0" xfId="0" applyFont="1" applyAlignment="1">
      <alignment vertical="center"/>
    </xf>
    <xf numFmtId="0" fontId="0" fillId="3" borderId="0" xfId="0" applyFill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8" fillId="20" borderId="0" xfId="0" applyFont="1" applyFill="1" applyAlignment="1">
      <alignment horizontal="center" vertical="center"/>
    </xf>
    <xf numFmtId="0" fontId="38" fillId="20" borderId="19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7" fillId="9" borderId="0" xfId="0" applyFont="1" applyFill="1" applyAlignment="1">
      <alignment horizontal="center" vertical="center"/>
    </xf>
    <xf numFmtId="0" fontId="52" fillId="0" borderId="0" xfId="0" applyFont="1" applyAlignment="1">
      <alignment vertical="center"/>
    </xf>
    <xf numFmtId="0" fontId="52" fillId="0" borderId="0" xfId="0" applyFont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A1"/>
  <sheetViews>
    <sheetView workbookViewId="0">
      <selection sqref="A1:XFD1048576"/>
    </sheetView>
  </sheetViews>
  <sheetFormatPr defaultColWidth="4" defaultRowHeight="14.4" x14ac:dyDescent="0.3"/>
  <sheetData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35" t="s">
        <v>172</v>
      </c>
      <c r="J2" s="135"/>
      <c r="K2" s="135"/>
      <c r="L2" s="135"/>
      <c r="M2" s="135"/>
      <c r="O2" s="135" t="s">
        <v>166</v>
      </c>
      <c r="P2" s="135"/>
      <c r="Q2" s="135"/>
      <c r="R2" s="135"/>
      <c r="S2" s="135"/>
      <c r="U2" s="135" t="s">
        <v>158</v>
      </c>
      <c r="V2" s="135"/>
      <c r="W2" s="135"/>
      <c r="X2" s="135"/>
      <c r="Y2" s="135"/>
      <c r="AA2" s="135" t="s">
        <v>150</v>
      </c>
      <c r="AB2" s="135"/>
      <c r="AC2" s="135"/>
      <c r="AD2" s="135"/>
      <c r="AE2" s="135"/>
      <c r="AG2" s="135" t="s">
        <v>140</v>
      </c>
      <c r="AH2" s="135"/>
      <c r="AI2" s="135"/>
      <c r="AJ2" s="135"/>
      <c r="AK2" s="135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36" t="s">
        <v>173</v>
      </c>
      <c r="J4" s="136"/>
      <c r="K4" s="136"/>
      <c r="L4" s="136"/>
      <c r="M4" s="136"/>
      <c r="O4" s="137" t="s">
        <v>167</v>
      </c>
      <c r="P4" s="137"/>
      <c r="Q4" s="137"/>
      <c r="R4" s="137"/>
      <c r="S4" s="137"/>
      <c r="U4" s="136" t="s">
        <v>159</v>
      </c>
      <c r="V4" s="136"/>
      <c r="W4" s="136"/>
      <c r="X4" s="136"/>
      <c r="Y4" s="136"/>
      <c r="AA4" s="137" t="s">
        <v>151</v>
      </c>
      <c r="AB4" s="137"/>
      <c r="AC4" s="137"/>
      <c r="AD4" s="137"/>
      <c r="AE4" s="137"/>
      <c r="AG4" s="136" t="s">
        <v>141</v>
      </c>
      <c r="AH4" s="136"/>
      <c r="AI4" s="136"/>
      <c r="AJ4" s="136"/>
      <c r="AK4" s="136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35" t="s">
        <v>170</v>
      </c>
      <c r="J7" s="135"/>
      <c r="K7" s="135"/>
      <c r="L7" s="135"/>
      <c r="M7" s="135"/>
      <c r="O7" s="135" t="s">
        <v>164</v>
      </c>
      <c r="P7" s="135"/>
      <c r="Q7" s="135"/>
      <c r="R7" s="135"/>
      <c r="S7" s="135"/>
      <c r="U7" s="135" t="s">
        <v>156</v>
      </c>
      <c r="V7" s="135"/>
      <c r="W7" s="135"/>
      <c r="X7" s="135"/>
      <c r="Y7" s="135"/>
      <c r="AA7" s="135" t="s">
        <v>148</v>
      </c>
      <c r="AB7" s="135"/>
      <c r="AC7" s="135"/>
      <c r="AD7" s="135"/>
      <c r="AE7" s="135"/>
      <c r="AG7" s="135" t="s">
        <v>138</v>
      </c>
      <c r="AH7" s="135"/>
      <c r="AI7" s="135"/>
      <c r="AJ7" s="135"/>
      <c r="AK7" s="135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37" t="s">
        <v>171</v>
      </c>
      <c r="J9" s="137"/>
      <c r="K9" s="137"/>
      <c r="L9" s="137"/>
      <c r="M9" s="137"/>
      <c r="O9" s="136" t="s">
        <v>165</v>
      </c>
      <c r="P9" s="136"/>
      <c r="Q9" s="136"/>
      <c r="R9" s="136"/>
      <c r="S9" s="136"/>
      <c r="U9" s="137" t="s">
        <v>157</v>
      </c>
      <c r="V9" s="137"/>
      <c r="W9" s="137"/>
      <c r="X9" s="137"/>
      <c r="Y9" s="137"/>
      <c r="AA9" s="136" t="s">
        <v>149</v>
      </c>
      <c r="AB9" s="136"/>
      <c r="AC9" s="136"/>
      <c r="AD9" s="136"/>
      <c r="AE9" s="136"/>
      <c r="AG9" s="137" t="s">
        <v>139</v>
      </c>
      <c r="AH9" s="137"/>
      <c r="AI9" s="137"/>
      <c r="AJ9" s="137"/>
      <c r="AK9" s="137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35" t="s">
        <v>168</v>
      </c>
      <c r="J12" s="135"/>
      <c r="K12" s="135"/>
      <c r="L12" s="135"/>
      <c r="M12" s="135"/>
      <c r="O12" s="135" t="s">
        <v>162</v>
      </c>
      <c r="P12" s="135"/>
      <c r="Q12" s="135"/>
      <c r="R12" s="135"/>
      <c r="S12" s="135"/>
      <c r="U12" s="135" t="s">
        <v>154</v>
      </c>
      <c r="V12" s="135"/>
      <c r="W12" s="135"/>
      <c r="X12" s="135"/>
      <c r="Y12" s="135"/>
      <c r="AA12" s="135" t="s">
        <v>146</v>
      </c>
      <c r="AB12" s="135"/>
      <c r="AC12" s="135"/>
      <c r="AD12" s="135"/>
      <c r="AE12" s="135"/>
      <c r="AG12" s="135" t="s">
        <v>175</v>
      </c>
      <c r="AH12" s="135"/>
      <c r="AI12" s="135"/>
      <c r="AJ12" s="135"/>
      <c r="AK12" s="135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36" t="s">
        <v>169</v>
      </c>
      <c r="J14" s="136"/>
      <c r="K14" s="136"/>
      <c r="L14" s="136"/>
      <c r="M14" s="136"/>
      <c r="O14" s="137" t="s">
        <v>163</v>
      </c>
      <c r="P14" s="137"/>
      <c r="Q14" s="137"/>
      <c r="R14" s="137"/>
      <c r="S14" s="137"/>
      <c r="U14" s="136" t="s">
        <v>155</v>
      </c>
      <c r="V14" s="136"/>
      <c r="W14" s="136"/>
      <c r="X14" s="136"/>
      <c r="Y14" s="136"/>
      <c r="AA14" s="137" t="s">
        <v>147</v>
      </c>
      <c r="AB14" s="137"/>
      <c r="AC14" s="137"/>
      <c r="AD14" s="137"/>
      <c r="AE14" s="137"/>
      <c r="AG14" s="136" t="s">
        <v>176</v>
      </c>
      <c r="AH14" s="136"/>
      <c r="AI14" s="136"/>
      <c r="AJ14" s="136"/>
      <c r="AK14" s="136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35" t="s">
        <v>160</v>
      </c>
      <c r="J17" s="135"/>
      <c r="K17" s="135"/>
      <c r="L17" s="135"/>
      <c r="M17" s="135"/>
      <c r="O17" s="135" t="s">
        <v>152</v>
      </c>
      <c r="P17" s="135"/>
      <c r="Q17" s="135"/>
      <c r="R17" s="135"/>
      <c r="S17" s="135"/>
      <c r="U17" s="135" t="s">
        <v>144</v>
      </c>
      <c r="V17" s="135"/>
      <c r="W17" s="135"/>
      <c r="X17" s="135"/>
      <c r="Y17" s="135"/>
      <c r="AA17" s="135" t="s">
        <v>142</v>
      </c>
      <c r="AB17" s="135"/>
      <c r="AC17" s="135"/>
      <c r="AD17" s="135"/>
      <c r="AE17" s="135"/>
      <c r="AG17" s="135" t="s">
        <v>177</v>
      </c>
      <c r="AH17" s="135"/>
      <c r="AI17" s="135"/>
      <c r="AJ17" s="135"/>
      <c r="AK17" s="135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37" t="s">
        <v>161</v>
      </c>
      <c r="J19" s="137"/>
      <c r="K19" s="137"/>
      <c r="L19" s="137"/>
      <c r="M19" s="137"/>
      <c r="O19" s="136" t="s">
        <v>153</v>
      </c>
      <c r="P19" s="136"/>
      <c r="Q19" s="136"/>
      <c r="R19" s="136"/>
      <c r="S19" s="136"/>
      <c r="U19" s="137" t="s">
        <v>145</v>
      </c>
      <c r="V19" s="137"/>
      <c r="W19" s="137"/>
      <c r="X19" s="137"/>
      <c r="Y19" s="137"/>
      <c r="AA19" s="136" t="s">
        <v>143</v>
      </c>
      <c r="AB19" s="136"/>
      <c r="AC19" s="136"/>
      <c r="AD19" s="136"/>
      <c r="AE19" s="136"/>
      <c r="AG19" s="137" t="s">
        <v>178</v>
      </c>
      <c r="AH19" s="137"/>
      <c r="AI19" s="137"/>
      <c r="AJ19" s="137"/>
      <c r="AK19" s="137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35" t="s">
        <v>179</v>
      </c>
      <c r="J22" s="135"/>
      <c r="K22" s="135"/>
      <c r="L22" s="135"/>
      <c r="M22" s="135"/>
      <c r="O22" s="135" t="s">
        <v>181</v>
      </c>
      <c r="P22" s="135"/>
      <c r="Q22" s="135"/>
      <c r="R22" s="135"/>
      <c r="S22" s="135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36" t="s">
        <v>180</v>
      </c>
      <c r="J24" s="136"/>
      <c r="K24" s="136"/>
      <c r="L24" s="136"/>
      <c r="M24" s="136"/>
      <c r="O24" s="137" t="s">
        <v>182</v>
      </c>
      <c r="P24" s="137"/>
      <c r="Q24" s="137"/>
      <c r="R24" s="137"/>
      <c r="S24" s="137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I22:M22"/>
    <mergeCell ref="O22:S22"/>
    <mergeCell ref="I24:M24"/>
    <mergeCell ref="O24:S24"/>
    <mergeCell ref="AG19:AK1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zoomScale="90" zoomScaleNormal="90" workbookViewId="0">
      <pane ySplit="2" topLeftCell="A3" activePane="bottomLeft" state="frozen"/>
      <selection pane="bottomLeft" activeCell="C10" sqref="C10:F11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8.88671875" style="59" hidden="1" customWidth="1"/>
    <col min="12" max="12" width="14.8867187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41" t="s">
        <v>235</v>
      </c>
      <c r="C1" s="142"/>
      <c r="D1" s="142"/>
      <c r="E1" s="142"/>
      <c r="F1" s="142"/>
      <c r="G1" s="142"/>
      <c r="H1" s="142"/>
      <c r="I1" s="143"/>
      <c r="M1" s="139"/>
      <c r="N1" s="139"/>
      <c r="O1" s="139"/>
      <c r="P1" s="140"/>
      <c r="Q1" s="140"/>
      <c r="R1" s="140"/>
      <c r="S1" s="139"/>
      <c r="T1" s="139"/>
      <c r="U1" s="139"/>
      <c r="V1" s="140"/>
      <c r="W1" s="140"/>
      <c r="X1" s="140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260</v>
      </c>
      <c r="F2" s="125" t="s">
        <v>261</v>
      </c>
      <c r="G2" s="79" t="s">
        <v>262</v>
      </c>
      <c r="H2" s="78" t="s">
        <v>263</v>
      </c>
      <c r="I2" s="81" t="s">
        <v>264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Mateus Aires</v>
      </c>
      <c r="D3" s="75">
        <f t="shared" ref="D3:D21" si="1">VLOOKUP(C3,O$3:U$23,2,0)</f>
        <v>360</v>
      </c>
      <c r="E3" s="75">
        <f t="shared" ref="E3:E20" si="2">VLOOKUP(C3,O$3:U$23,3,0)</f>
        <v>6</v>
      </c>
      <c r="F3" s="75">
        <f t="shared" ref="F3:F20" si="3">VLOOKUP(C3,O$3:U$23,4,0)</f>
        <v>7</v>
      </c>
      <c r="G3" s="75">
        <f t="shared" ref="G3:G20" si="4">VLOOKUP(C3,O$3:U$23,5,0)</f>
        <v>7</v>
      </c>
      <c r="H3" s="75">
        <f t="shared" ref="H3:H20" si="5">VLOOKUP(C3,O$3:U$23,6,0)</f>
        <v>7</v>
      </c>
      <c r="I3" s="83">
        <f t="shared" ref="I3:I20" si="6">VLOOKUP(C3,O$3:U$23,7,0)</f>
        <v>5</v>
      </c>
      <c r="K3" s="94" t="s">
        <v>232</v>
      </c>
      <c r="L3" s="94">
        <f>'6.Mateus Aires'!Q11</f>
        <v>360</v>
      </c>
      <c r="M3" s="94">
        <f>'6.Mateus Aires'!Q19</f>
        <v>6</v>
      </c>
      <c r="O3" s="130" t="s">
        <v>231</v>
      </c>
      <c r="P3" s="123">
        <f>'1.Ivan'!Q$11</f>
        <v>300</v>
      </c>
      <c r="Q3" s="18">
        <v>4</v>
      </c>
      <c r="R3" s="18">
        <v>5</v>
      </c>
      <c r="S3" s="18">
        <v>10</v>
      </c>
      <c r="T3" s="18">
        <v>5</v>
      </c>
      <c r="U3" s="18">
        <v>8</v>
      </c>
      <c r="V3" s="122"/>
      <c r="W3" s="122"/>
    </row>
    <row r="4" spans="2:24" x14ac:dyDescent="0.3">
      <c r="B4" s="84" t="s">
        <v>68</v>
      </c>
      <c r="C4" s="74" t="str">
        <f t="shared" si="0"/>
        <v>Miguel</v>
      </c>
      <c r="D4" s="74">
        <f t="shared" si="1"/>
        <v>355</v>
      </c>
      <c r="E4" s="74">
        <f t="shared" si="2"/>
        <v>4</v>
      </c>
      <c r="F4" s="74">
        <f t="shared" si="3"/>
        <v>6</v>
      </c>
      <c r="G4" s="74">
        <f t="shared" si="4"/>
        <v>13</v>
      </c>
      <c r="H4" s="74">
        <f t="shared" si="5"/>
        <v>7</v>
      </c>
      <c r="I4" s="85">
        <f t="shared" si="6"/>
        <v>2</v>
      </c>
      <c r="K4" s="94" t="s">
        <v>233</v>
      </c>
      <c r="L4" s="94">
        <f>'19.Miguel'!Q11</f>
        <v>355</v>
      </c>
      <c r="M4" s="94">
        <f>'19.Miguel'!Q19</f>
        <v>4</v>
      </c>
      <c r="O4" s="130" t="s">
        <v>222</v>
      </c>
      <c r="P4" s="123">
        <f>'2.Sérginho'!Q$11</f>
        <v>275</v>
      </c>
      <c r="Q4" s="18">
        <v>1</v>
      </c>
      <c r="R4" s="18">
        <v>9</v>
      </c>
      <c r="S4" s="18">
        <v>8</v>
      </c>
      <c r="T4" s="18">
        <v>7</v>
      </c>
      <c r="U4" s="18">
        <v>7</v>
      </c>
      <c r="V4" s="122"/>
      <c r="W4" s="122"/>
    </row>
    <row r="5" spans="2:24" x14ac:dyDescent="0.3">
      <c r="B5" s="82" t="s">
        <v>69</v>
      </c>
      <c r="C5" s="75" t="str">
        <f t="shared" si="0"/>
        <v>Ivani</v>
      </c>
      <c r="D5" s="75">
        <f t="shared" si="1"/>
        <v>355</v>
      </c>
      <c r="E5" s="75">
        <f t="shared" si="2"/>
        <v>3</v>
      </c>
      <c r="F5" s="75">
        <f t="shared" si="3"/>
        <v>9</v>
      </c>
      <c r="G5" s="75">
        <f t="shared" si="4"/>
        <v>12</v>
      </c>
      <c r="H5" s="75">
        <f t="shared" si="5"/>
        <v>5</v>
      </c>
      <c r="I5" s="83">
        <f t="shared" si="6"/>
        <v>3</v>
      </c>
      <c r="K5" s="94" t="s">
        <v>59</v>
      </c>
      <c r="L5" s="94">
        <f>'12.Ivani'!Q11</f>
        <v>355</v>
      </c>
      <c r="M5" s="94">
        <f>'12.Ivani'!Q19</f>
        <v>3</v>
      </c>
      <c r="O5" s="130" t="s">
        <v>53</v>
      </c>
      <c r="P5" s="123">
        <f>'3.Jean'!Q$11</f>
        <v>330</v>
      </c>
      <c r="Q5" s="18">
        <v>5</v>
      </c>
      <c r="R5" s="18">
        <v>6</v>
      </c>
      <c r="S5" s="18">
        <v>9</v>
      </c>
      <c r="T5" s="18">
        <v>5</v>
      </c>
      <c r="U5" s="18">
        <v>7</v>
      </c>
      <c r="V5" s="122"/>
      <c r="W5" s="122"/>
    </row>
    <row r="6" spans="2:24" x14ac:dyDescent="0.3">
      <c r="B6" s="84" t="s">
        <v>70</v>
      </c>
      <c r="C6" s="74" t="str">
        <f t="shared" si="0"/>
        <v>Julio Oliveira</v>
      </c>
      <c r="D6" s="74">
        <f t="shared" si="1"/>
        <v>335</v>
      </c>
      <c r="E6" s="74">
        <f t="shared" si="2"/>
        <v>4</v>
      </c>
      <c r="F6" s="74">
        <f t="shared" si="3"/>
        <v>10</v>
      </c>
      <c r="G6" s="74">
        <f t="shared" si="4"/>
        <v>5</v>
      </c>
      <c r="H6" s="74">
        <f t="shared" si="5"/>
        <v>7</v>
      </c>
      <c r="I6" s="85">
        <f t="shared" si="6"/>
        <v>6</v>
      </c>
      <c r="K6" s="94" t="s">
        <v>230</v>
      </c>
      <c r="L6" s="94">
        <f>'18.Julio Oliveira'!Q11</f>
        <v>335</v>
      </c>
      <c r="M6" s="94">
        <f>'18.Julio Oliveira'!Q19</f>
        <v>4</v>
      </c>
      <c r="O6" s="130" t="s">
        <v>223</v>
      </c>
      <c r="P6" s="123">
        <f>'4.Macélio Henrique'!Q11</f>
        <v>260</v>
      </c>
      <c r="Q6" s="18">
        <v>2</v>
      </c>
      <c r="R6" s="18">
        <v>5</v>
      </c>
      <c r="S6" s="18">
        <v>11</v>
      </c>
      <c r="T6" s="18">
        <v>5</v>
      </c>
      <c r="U6" s="18">
        <v>9</v>
      </c>
      <c r="V6" s="122"/>
      <c r="W6" s="122"/>
    </row>
    <row r="7" spans="2:24" x14ac:dyDescent="0.3">
      <c r="B7" s="86" t="s">
        <v>259</v>
      </c>
      <c r="C7" s="63" t="str">
        <f t="shared" si="0"/>
        <v>Francesco</v>
      </c>
      <c r="D7" s="63">
        <f t="shared" si="1"/>
        <v>335</v>
      </c>
      <c r="E7" s="63">
        <f t="shared" si="2"/>
        <v>2</v>
      </c>
      <c r="F7" s="63">
        <f t="shared" si="3"/>
        <v>14</v>
      </c>
      <c r="G7" s="63">
        <f t="shared" si="4"/>
        <v>4</v>
      </c>
      <c r="H7" s="63">
        <f t="shared" si="5"/>
        <v>7</v>
      </c>
      <c r="I7" s="87">
        <f t="shared" si="6"/>
        <v>4</v>
      </c>
      <c r="K7" s="94" t="s">
        <v>246</v>
      </c>
      <c r="L7" s="94">
        <f>'20.Francesco'!Q11</f>
        <v>335</v>
      </c>
      <c r="M7" s="94">
        <f>'20.Francesco'!Q19</f>
        <v>2</v>
      </c>
      <c r="O7" s="130" t="s">
        <v>45</v>
      </c>
      <c r="P7" s="123">
        <f>'5.Macélio'!Q11</f>
        <v>240</v>
      </c>
      <c r="Q7" s="18">
        <v>2</v>
      </c>
      <c r="R7" s="18">
        <v>7</v>
      </c>
      <c r="S7" s="18">
        <v>6</v>
      </c>
      <c r="T7" s="18">
        <v>5</v>
      </c>
      <c r="U7" s="18">
        <v>12</v>
      </c>
      <c r="V7" s="122"/>
      <c r="W7" s="122"/>
    </row>
    <row r="8" spans="2:24" x14ac:dyDescent="0.3">
      <c r="B8" s="86" t="s">
        <v>258</v>
      </c>
      <c r="C8" s="63" t="str">
        <f t="shared" si="0"/>
        <v>Jean</v>
      </c>
      <c r="D8" s="63">
        <f t="shared" si="1"/>
        <v>330</v>
      </c>
      <c r="E8" s="63">
        <f t="shared" si="2"/>
        <v>5</v>
      </c>
      <c r="F8" s="63">
        <f t="shared" si="3"/>
        <v>6</v>
      </c>
      <c r="G8" s="63">
        <f t="shared" si="4"/>
        <v>9</v>
      </c>
      <c r="H8" s="63">
        <f t="shared" si="5"/>
        <v>5</v>
      </c>
      <c r="I8" s="87">
        <f t="shared" si="6"/>
        <v>7</v>
      </c>
      <c r="K8" s="94" t="s">
        <v>53</v>
      </c>
      <c r="L8" s="94">
        <f>'3.Jean'!Q$11</f>
        <v>330</v>
      </c>
      <c r="M8" s="94">
        <f>'3.Jean'!$Q$19</f>
        <v>5</v>
      </c>
      <c r="O8" s="130" t="s">
        <v>232</v>
      </c>
      <c r="P8" s="123">
        <f>'6.Mateus Aires'!Q11</f>
        <v>360</v>
      </c>
      <c r="Q8" s="18">
        <v>6</v>
      </c>
      <c r="R8" s="18">
        <v>7</v>
      </c>
      <c r="S8" s="18">
        <v>7</v>
      </c>
      <c r="T8" s="18">
        <v>7</v>
      </c>
      <c r="U8" s="18">
        <v>5</v>
      </c>
      <c r="V8" s="122"/>
      <c r="W8" s="122"/>
    </row>
    <row r="9" spans="2:24" x14ac:dyDescent="0.3">
      <c r="B9" s="86" t="s">
        <v>257</v>
      </c>
      <c r="C9" s="63" t="str">
        <f t="shared" si="0"/>
        <v>Mateus Henrique</v>
      </c>
      <c r="D9" s="63">
        <f t="shared" si="1"/>
        <v>330</v>
      </c>
      <c r="E9" s="63">
        <f t="shared" si="2"/>
        <v>4</v>
      </c>
      <c r="F9" s="63">
        <f t="shared" si="3"/>
        <v>7</v>
      </c>
      <c r="G9" s="63">
        <f t="shared" si="4"/>
        <v>8</v>
      </c>
      <c r="H9" s="63">
        <f t="shared" si="5"/>
        <v>9</v>
      </c>
      <c r="I9" s="87">
        <f t="shared" si="6"/>
        <v>4</v>
      </c>
      <c r="K9" s="94" t="s">
        <v>234</v>
      </c>
      <c r="L9" s="94">
        <f>'14.Mateus Henrique'!Q11</f>
        <v>330</v>
      </c>
      <c r="M9" s="94">
        <f>'14.Mateus Henrique'!$Q$19</f>
        <v>4</v>
      </c>
      <c r="O9" s="130" t="s">
        <v>236</v>
      </c>
      <c r="P9" s="123">
        <f>'7.Bruno'!Q11</f>
        <v>310</v>
      </c>
      <c r="Q9" s="18">
        <v>5</v>
      </c>
      <c r="R9" s="18">
        <v>8</v>
      </c>
      <c r="S9" s="18">
        <v>5</v>
      </c>
      <c r="T9" s="18">
        <v>3</v>
      </c>
      <c r="U9" s="18">
        <v>11</v>
      </c>
      <c r="V9" s="122"/>
      <c r="W9" s="122"/>
    </row>
    <row r="10" spans="2:24" x14ac:dyDescent="0.3">
      <c r="B10" s="86" t="s">
        <v>256</v>
      </c>
      <c r="C10" s="63" t="str">
        <f t="shared" si="0"/>
        <v>Julio Santos</v>
      </c>
      <c r="D10" s="63">
        <f t="shared" si="1"/>
        <v>330</v>
      </c>
      <c r="E10" s="63">
        <f t="shared" si="2"/>
        <v>3</v>
      </c>
      <c r="F10" s="63">
        <f t="shared" si="3"/>
        <v>10</v>
      </c>
      <c r="G10" s="63">
        <f t="shared" si="4"/>
        <v>8</v>
      </c>
      <c r="H10" s="63">
        <f t="shared" si="5"/>
        <v>5</v>
      </c>
      <c r="I10" s="87">
        <f t="shared" si="6"/>
        <v>6</v>
      </c>
      <c r="K10" s="94" t="s">
        <v>224</v>
      </c>
      <c r="L10" s="94">
        <f>'9.Julio Santos'!Q11</f>
        <v>330</v>
      </c>
      <c r="M10" s="94">
        <f>'9.Julio Santos'!$Q$19</f>
        <v>3</v>
      </c>
      <c r="O10" s="130" t="s">
        <v>225</v>
      </c>
      <c r="P10" s="123">
        <f>'8.Naldinho'!Q11</f>
        <v>260</v>
      </c>
      <c r="Q10" s="18">
        <v>3</v>
      </c>
      <c r="R10" s="18">
        <v>5</v>
      </c>
      <c r="S10" s="18">
        <v>6</v>
      </c>
      <c r="T10" s="18">
        <v>10</v>
      </c>
      <c r="U10" s="18">
        <v>8</v>
      </c>
      <c r="V10" s="122"/>
      <c r="W10" s="122"/>
    </row>
    <row r="11" spans="2:24" x14ac:dyDescent="0.3">
      <c r="B11" s="86" t="s">
        <v>255</v>
      </c>
      <c r="C11" s="63" t="str">
        <f t="shared" si="0"/>
        <v>Joseir</v>
      </c>
      <c r="D11" s="63">
        <f t="shared" si="1"/>
        <v>330</v>
      </c>
      <c r="E11" s="63">
        <f t="shared" si="2"/>
        <v>3</v>
      </c>
      <c r="F11" s="63">
        <f t="shared" si="3"/>
        <v>7</v>
      </c>
      <c r="G11" s="63">
        <f t="shared" si="4"/>
        <v>11</v>
      </c>
      <c r="H11" s="63">
        <f t="shared" si="5"/>
        <v>8</v>
      </c>
      <c r="I11" s="87">
        <f t="shared" si="6"/>
        <v>3</v>
      </c>
      <c r="K11" s="94" t="s">
        <v>227</v>
      </c>
      <c r="L11" s="94">
        <f>'10.Joseir'!Q11</f>
        <v>330</v>
      </c>
      <c r="M11" s="94">
        <f>'10.Joseir'!$Q$19</f>
        <v>3</v>
      </c>
      <c r="O11" s="130" t="s">
        <v>224</v>
      </c>
      <c r="P11" s="123">
        <f>'9.Julio Santos'!Q11</f>
        <v>330</v>
      </c>
      <c r="Q11" s="18">
        <v>3</v>
      </c>
      <c r="R11" s="18">
        <v>10</v>
      </c>
      <c r="S11" s="18">
        <v>8</v>
      </c>
      <c r="T11" s="18">
        <v>5</v>
      </c>
      <c r="U11" s="18">
        <v>6</v>
      </c>
      <c r="V11" s="122"/>
      <c r="W11" s="122"/>
    </row>
    <row r="12" spans="2:24" x14ac:dyDescent="0.3">
      <c r="B12" s="86" t="s">
        <v>254</v>
      </c>
      <c r="C12" s="63" t="str">
        <f t="shared" si="0"/>
        <v>Bruno</v>
      </c>
      <c r="D12" s="63">
        <f t="shared" si="1"/>
        <v>310</v>
      </c>
      <c r="E12" s="63">
        <f t="shared" si="2"/>
        <v>5</v>
      </c>
      <c r="F12" s="63">
        <f t="shared" si="3"/>
        <v>8</v>
      </c>
      <c r="G12" s="63">
        <f t="shared" si="4"/>
        <v>5</v>
      </c>
      <c r="H12" s="63">
        <f t="shared" si="5"/>
        <v>3</v>
      </c>
      <c r="I12" s="87">
        <f t="shared" si="6"/>
        <v>11</v>
      </c>
      <c r="K12" s="94" t="s">
        <v>236</v>
      </c>
      <c r="L12" s="94">
        <f>'7.Bruno'!Q11</f>
        <v>310</v>
      </c>
      <c r="M12" s="94">
        <f>'7.Bruno'!$Q$19</f>
        <v>5</v>
      </c>
      <c r="O12" s="130" t="s">
        <v>227</v>
      </c>
      <c r="P12" s="123">
        <f>'10.Joseir'!Q11</f>
        <v>330</v>
      </c>
      <c r="Q12" s="18">
        <v>3</v>
      </c>
      <c r="R12" s="18">
        <v>7</v>
      </c>
      <c r="S12" s="18">
        <v>11</v>
      </c>
      <c r="T12" s="18">
        <v>8</v>
      </c>
      <c r="U12" s="18">
        <v>3</v>
      </c>
      <c r="V12" s="122"/>
      <c r="W12" s="122"/>
    </row>
    <row r="13" spans="2:24" x14ac:dyDescent="0.3">
      <c r="B13" s="86" t="s">
        <v>71</v>
      </c>
      <c r="C13" s="63" t="str">
        <f t="shared" si="0"/>
        <v>Ivan</v>
      </c>
      <c r="D13" s="63">
        <f t="shared" si="1"/>
        <v>300</v>
      </c>
      <c r="E13" s="63">
        <f t="shared" si="2"/>
        <v>4</v>
      </c>
      <c r="F13" s="63">
        <f t="shared" si="3"/>
        <v>5</v>
      </c>
      <c r="G13" s="63">
        <f t="shared" si="4"/>
        <v>10</v>
      </c>
      <c r="H13" s="63">
        <f t="shared" si="5"/>
        <v>5</v>
      </c>
      <c r="I13" s="87">
        <f t="shared" si="6"/>
        <v>8</v>
      </c>
      <c r="K13" s="94" t="s">
        <v>231</v>
      </c>
      <c r="L13" s="94">
        <f>'1.Ivan'!Q$11</f>
        <v>300</v>
      </c>
      <c r="M13" s="94">
        <f>'1.Ivan'!$Q$19</f>
        <v>4</v>
      </c>
      <c r="O13" s="130" t="s">
        <v>226</v>
      </c>
      <c r="P13" s="123">
        <f>'11.Juninho'!Q11</f>
        <v>275</v>
      </c>
      <c r="Q13" s="18">
        <v>3</v>
      </c>
      <c r="R13" s="18">
        <v>6</v>
      </c>
      <c r="S13" s="18">
        <v>8</v>
      </c>
      <c r="T13" s="18">
        <v>6</v>
      </c>
      <c r="U13" s="18">
        <v>9</v>
      </c>
      <c r="V13" s="122"/>
      <c r="W13" s="122"/>
    </row>
    <row r="14" spans="2:24" x14ac:dyDescent="0.3">
      <c r="B14" s="86" t="s">
        <v>72</v>
      </c>
      <c r="C14" s="63" t="str">
        <f t="shared" si="0"/>
        <v>Gabriel</v>
      </c>
      <c r="D14" s="63">
        <f t="shared" si="1"/>
        <v>295</v>
      </c>
      <c r="E14" s="63">
        <f t="shared" si="2"/>
        <v>1</v>
      </c>
      <c r="F14" s="63">
        <f t="shared" si="3"/>
        <v>12</v>
      </c>
      <c r="G14" s="63">
        <f t="shared" si="4"/>
        <v>8</v>
      </c>
      <c r="H14" s="63">
        <f t="shared" si="5"/>
        <v>2</v>
      </c>
      <c r="I14" s="87">
        <f t="shared" si="6"/>
        <v>9</v>
      </c>
      <c r="K14" s="94" t="s">
        <v>47</v>
      </c>
      <c r="L14" s="94">
        <f>'15.Gabriel'!Q11</f>
        <v>295</v>
      </c>
      <c r="M14" s="94">
        <f>'15.Gabriel'!$Q$19</f>
        <v>1</v>
      </c>
      <c r="O14" s="130" t="s">
        <v>59</v>
      </c>
      <c r="P14" s="123">
        <f>'12.Ivani'!Q11</f>
        <v>355</v>
      </c>
      <c r="Q14" s="18">
        <v>3</v>
      </c>
      <c r="R14" s="18">
        <v>9</v>
      </c>
      <c r="S14" s="18">
        <v>12</v>
      </c>
      <c r="T14" s="18">
        <v>5</v>
      </c>
      <c r="U14" s="18">
        <v>3</v>
      </c>
      <c r="V14" s="122"/>
      <c r="W14" s="122"/>
    </row>
    <row r="15" spans="2:24" x14ac:dyDescent="0.3">
      <c r="B15" s="86" t="s">
        <v>73</v>
      </c>
      <c r="C15" s="63" t="str">
        <f t="shared" si="0"/>
        <v>Luana</v>
      </c>
      <c r="D15" s="63">
        <f t="shared" si="1"/>
        <v>290</v>
      </c>
      <c r="E15" s="63">
        <f t="shared" si="2"/>
        <v>2</v>
      </c>
      <c r="F15" s="63">
        <f t="shared" si="3"/>
        <v>9</v>
      </c>
      <c r="G15" s="63">
        <f t="shared" si="4"/>
        <v>8</v>
      </c>
      <c r="H15" s="63">
        <f t="shared" si="5"/>
        <v>5</v>
      </c>
      <c r="I15" s="87">
        <f t="shared" si="6"/>
        <v>8</v>
      </c>
      <c r="K15" s="94" t="s">
        <v>50</v>
      </c>
      <c r="L15" s="94">
        <f>'17.Luana'!Q11</f>
        <v>290</v>
      </c>
      <c r="M15" s="94">
        <f>'17.Luana'!$Q$19</f>
        <v>2</v>
      </c>
      <c r="O15" s="130" t="s">
        <v>228</v>
      </c>
      <c r="P15" s="123">
        <f>'13.Manoel'!Q11</f>
        <v>280</v>
      </c>
      <c r="Q15" s="18">
        <v>3</v>
      </c>
      <c r="R15" s="18">
        <v>6</v>
      </c>
      <c r="S15" s="18">
        <v>10</v>
      </c>
      <c r="T15" s="18">
        <v>3</v>
      </c>
      <c r="U15" s="18">
        <v>10</v>
      </c>
      <c r="V15" s="122"/>
      <c r="W15" s="122"/>
    </row>
    <row r="16" spans="2:24" x14ac:dyDescent="0.3">
      <c r="B16" s="86" t="s">
        <v>74</v>
      </c>
      <c r="C16" s="63" t="str">
        <f t="shared" si="0"/>
        <v>Marcel</v>
      </c>
      <c r="D16" s="63">
        <f t="shared" si="1"/>
        <v>290</v>
      </c>
      <c r="E16" s="63">
        <f t="shared" si="2"/>
        <v>2</v>
      </c>
      <c r="F16" s="63">
        <f t="shared" si="3"/>
        <v>8</v>
      </c>
      <c r="G16" s="63">
        <f t="shared" si="4"/>
        <v>9</v>
      </c>
      <c r="H16" s="63">
        <f t="shared" si="5"/>
        <v>6</v>
      </c>
      <c r="I16" s="87">
        <f t="shared" si="6"/>
        <v>7</v>
      </c>
      <c r="K16" s="94" t="s">
        <v>229</v>
      </c>
      <c r="L16" s="94">
        <f>'16.Marcel'!Q11</f>
        <v>290</v>
      </c>
      <c r="M16" s="94">
        <f>'16.Marcel'!$Q$19</f>
        <v>2</v>
      </c>
      <c r="O16" s="130" t="s">
        <v>234</v>
      </c>
      <c r="P16" s="123">
        <f>'14.Mateus Henrique'!Q11</f>
        <v>330</v>
      </c>
      <c r="Q16" s="18">
        <v>4</v>
      </c>
      <c r="R16" s="18">
        <v>7</v>
      </c>
      <c r="S16" s="18">
        <v>8</v>
      </c>
      <c r="T16" s="18">
        <v>9</v>
      </c>
      <c r="U16" s="18">
        <v>4</v>
      </c>
      <c r="V16" s="122"/>
      <c r="W16" s="122"/>
    </row>
    <row r="17" spans="2:25" x14ac:dyDescent="0.3">
      <c r="B17" s="86" t="s">
        <v>75</v>
      </c>
      <c r="C17" s="63" t="str">
        <f t="shared" si="0"/>
        <v>Manoel</v>
      </c>
      <c r="D17" s="63">
        <f t="shared" si="1"/>
        <v>280</v>
      </c>
      <c r="E17" s="63">
        <f t="shared" si="2"/>
        <v>3</v>
      </c>
      <c r="F17" s="63">
        <f t="shared" si="3"/>
        <v>6</v>
      </c>
      <c r="G17" s="63">
        <f t="shared" si="4"/>
        <v>10</v>
      </c>
      <c r="H17" s="63">
        <f t="shared" si="5"/>
        <v>3</v>
      </c>
      <c r="I17" s="87">
        <f t="shared" si="6"/>
        <v>10</v>
      </c>
      <c r="K17" s="94" t="s">
        <v>228</v>
      </c>
      <c r="L17" s="94">
        <f>'13.Manoel'!Q11</f>
        <v>280</v>
      </c>
      <c r="M17" s="94">
        <f>'13.Manoel'!$Q$19</f>
        <v>3</v>
      </c>
      <c r="O17" s="130" t="s">
        <v>47</v>
      </c>
      <c r="P17" s="123">
        <f>'15.Gabriel'!Q11</f>
        <v>295</v>
      </c>
      <c r="Q17" s="18">
        <v>1</v>
      </c>
      <c r="R17" s="18">
        <v>12</v>
      </c>
      <c r="S17" s="18">
        <v>8</v>
      </c>
      <c r="T17" s="18">
        <v>2</v>
      </c>
      <c r="U17" s="18">
        <v>9</v>
      </c>
      <c r="V17" s="122"/>
      <c r="W17" s="122"/>
    </row>
    <row r="18" spans="2:25" x14ac:dyDescent="0.3">
      <c r="B18" s="86" t="s">
        <v>76</v>
      </c>
      <c r="C18" s="63" t="str">
        <f t="shared" si="0"/>
        <v>Juninho</v>
      </c>
      <c r="D18" s="63">
        <f t="shared" si="1"/>
        <v>275</v>
      </c>
      <c r="E18" s="63">
        <f t="shared" si="2"/>
        <v>3</v>
      </c>
      <c r="F18" s="63">
        <f t="shared" si="3"/>
        <v>6</v>
      </c>
      <c r="G18" s="63">
        <f t="shared" si="4"/>
        <v>8</v>
      </c>
      <c r="H18" s="63">
        <f t="shared" si="5"/>
        <v>6</v>
      </c>
      <c r="I18" s="87">
        <f t="shared" si="6"/>
        <v>9</v>
      </c>
      <c r="K18" s="94" t="s">
        <v>226</v>
      </c>
      <c r="L18" s="94">
        <f>'11.Juninho'!Q11</f>
        <v>275</v>
      </c>
      <c r="M18" s="94">
        <f>'11.Juninho'!$Q$19</f>
        <v>3</v>
      </c>
      <c r="O18" s="130" t="s">
        <v>229</v>
      </c>
      <c r="P18" s="123">
        <f>'16.Marcel'!Q11</f>
        <v>290</v>
      </c>
      <c r="Q18" s="18">
        <v>2</v>
      </c>
      <c r="R18" s="18">
        <v>8</v>
      </c>
      <c r="S18" s="18">
        <v>9</v>
      </c>
      <c r="T18" s="18">
        <v>6</v>
      </c>
      <c r="U18" s="18">
        <v>7</v>
      </c>
      <c r="V18" s="122"/>
      <c r="W18" s="122"/>
    </row>
    <row r="19" spans="2:25" x14ac:dyDescent="0.3">
      <c r="B19" s="86" t="s">
        <v>77</v>
      </c>
      <c r="C19" s="63" t="str">
        <f t="shared" si="0"/>
        <v>Chicão</v>
      </c>
      <c r="D19" s="63">
        <f t="shared" si="1"/>
        <v>275</v>
      </c>
      <c r="E19" s="63">
        <f t="shared" si="2"/>
        <v>1</v>
      </c>
      <c r="F19" s="63">
        <f t="shared" si="3"/>
        <v>7</v>
      </c>
      <c r="G19" s="63">
        <f t="shared" si="4"/>
        <v>12</v>
      </c>
      <c r="H19" s="63">
        <f t="shared" si="5"/>
        <v>5</v>
      </c>
      <c r="I19" s="87">
        <f t="shared" si="6"/>
        <v>6</v>
      </c>
      <c r="K19" s="94" t="s">
        <v>247</v>
      </c>
      <c r="L19" s="94">
        <f>'21.Chicão'!Q11</f>
        <v>275</v>
      </c>
      <c r="M19" s="94">
        <f>'21.Chicão'!$Q$19</f>
        <v>1</v>
      </c>
      <c r="O19" s="130" t="s">
        <v>50</v>
      </c>
      <c r="P19" s="123">
        <f>'17.Luana'!Q11</f>
        <v>290</v>
      </c>
      <c r="Q19" s="18">
        <v>2</v>
      </c>
      <c r="R19" s="18">
        <v>9</v>
      </c>
      <c r="S19" s="18">
        <v>8</v>
      </c>
      <c r="T19" s="18">
        <v>5</v>
      </c>
      <c r="U19" s="18">
        <v>8</v>
      </c>
      <c r="V19" s="122"/>
      <c r="W19" s="122"/>
    </row>
    <row r="20" spans="2:25" x14ac:dyDescent="0.3">
      <c r="B20" s="86" t="s">
        <v>78</v>
      </c>
      <c r="C20" s="63" t="str">
        <f t="shared" si="0"/>
        <v>Sérginho</v>
      </c>
      <c r="D20" s="63">
        <f t="shared" si="1"/>
        <v>275</v>
      </c>
      <c r="E20" s="63">
        <f t="shared" si="2"/>
        <v>1</v>
      </c>
      <c r="F20" s="63">
        <f t="shared" si="3"/>
        <v>9</v>
      </c>
      <c r="G20" s="63">
        <f t="shared" si="4"/>
        <v>8</v>
      </c>
      <c r="H20" s="63">
        <f t="shared" si="5"/>
        <v>7</v>
      </c>
      <c r="I20" s="87">
        <f t="shared" si="6"/>
        <v>7</v>
      </c>
      <c r="K20" s="94" t="s">
        <v>222</v>
      </c>
      <c r="L20" s="94">
        <f>'2.Sérginho'!Q$11</f>
        <v>275</v>
      </c>
      <c r="M20" s="94">
        <f>'2.Sérginho'!$Q$19</f>
        <v>1</v>
      </c>
      <c r="O20" s="130" t="s">
        <v>230</v>
      </c>
      <c r="P20" s="123">
        <f>'18.Julio Oliveira'!Q11</f>
        <v>335</v>
      </c>
      <c r="Q20" s="18">
        <v>4</v>
      </c>
      <c r="R20" s="18">
        <v>10</v>
      </c>
      <c r="S20" s="18">
        <v>5</v>
      </c>
      <c r="T20" s="18">
        <v>7</v>
      </c>
      <c r="U20" s="18">
        <v>6</v>
      </c>
      <c r="V20" s="122"/>
      <c r="W20" s="122"/>
    </row>
    <row r="21" spans="2:25" x14ac:dyDescent="0.3">
      <c r="B21" s="88" t="s">
        <v>252</v>
      </c>
      <c r="C21" s="76" t="str">
        <f t="shared" si="0"/>
        <v>Naldinho</v>
      </c>
      <c r="D21" s="63">
        <f t="shared" si="1"/>
        <v>260</v>
      </c>
      <c r="E21" s="76">
        <f t="shared" ref="E21:E23" si="7">VLOOKUP(C21,O$3:U$23,3,0)</f>
        <v>3</v>
      </c>
      <c r="F21" s="76">
        <f t="shared" ref="F21:F23" si="8">VLOOKUP(C21,O$3:U$23,4,0)</f>
        <v>5</v>
      </c>
      <c r="G21" s="76">
        <f t="shared" ref="G21:G23" si="9">VLOOKUP(C21,O$3:U$23,5,0)</f>
        <v>6</v>
      </c>
      <c r="H21" s="76">
        <f t="shared" ref="H21:H23" si="10">VLOOKUP(C21,O$3:U$23,6,0)</f>
        <v>10</v>
      </c>
      <c r="I21" s="89">
        <f t="shared" ref="I21:I23" si="11">VLOOKUP(C21,O$3:U$23,7,0)</f>
        <v>8</v>
      </c>
      <c r="K21" s="94" t="s">
        <v>225</v>
      </c>
      <c r="L21" s="94">
        <f>'8.Naldinho'!Q11</f>
        <v>260</v>
      </c>
      <c r="M21" s="94">
        <f>'8.Naldinho'!$Q$19</f>
        <v>3</v>
      </c>
      <c r="O21" s="130" t="s">
        <v>233</v>
      </c>
      <c r="P21" s="123">
        <f>'19.Miguel'!Q11</f>
        <v>355</v>
      </c>
      <c r="Q21" s="18">
        <v>4</v>
      </c>
      <c r="R21" s="18">
        <v>6</v>
      </c>
      <c r="S21" s="18">
        <v>13</v>
      </c>
      <c r="T21" s="18">
        <v>7</v>
      </c>
      <c r="U21" s="18">
        <v>2</v>
      </c>
      <c r="V21" s="122"/>
      <c r="W21" s="122"/>
    </row>
    <row r="22" spans="2:25" x14ac:dyDescent="0.3">
      <c r="B22" s="88" t="s">
        <v>249</v>
      </c>
      <c r="C22" s="76" t="str">
        <f t="shared" si="0"/>
        <v>Macélio Henrique</v>
      </c>
      <c r="D22" s="76">
        <f t="shared" ref="D22" si="12">VLOOKUP(C22,O$3:U$23,2,0)</f>
        <v>260</v>
      </c>
      <c r="E22" s="76">
        <f t="shared" si="7"/>
        <v>2</v>
      </c>
      <c r="F22" s="76">
        <f>VLOOKUP(C22,O$3:U$23,4,0)</f>
        <v>5</v>
      </c>
      <c r="G22" s="76">
        <f t="shared" si="9"/>
        <v>11</v>
      </c>
      <c r="H22" s="76">
        <f t="shared" si="10"/>
        <v>5</v>
      </c>
      <c r="I22" s="87">
        <f>VLOOKUP(C22,O$3:U$23,7,0)</f>
        <v>9</v>
      </c>
      <c r="K22" s="94" t="s">
        <v>223</v>
      </c>
      <c r="L22" s="94">
        <f>'4.Macélio Henrique'!Q11</f>
        <v>260</v>
      </c>
      <c r="M22" s="94">
        <f>'4.Macélio Henrique'!$Q$19</f>
        <v>2</v>
      </c>
      <c r="O22" s="130" t="s">
        <v>246</v>
      </c>
      <c r="P22" s="123">
        <f>'20.Francesco'!Q11</f>
        <v>335</v>
      </c>
      <c r="Q22" s="18">
        <v>2</v>
      </c>
      <c r="R22" s="18">
        <v>14</v>
      </c>
      <c r="S22" s="18">
        <v>4</v>
      </c>
      <c r="T22" s="18">
        <v>7</v>
      </c>
      <c r="U22" s="18">
        <v>4</v>
      </c>
      <c r="V22" s="122"/>
      <c r="W22" s="122"/>
    </row>
    <row r="23" spans="2:25" ht="16.2" thickBot="1" x14ac:dyDescent="0.35">
      <c r="B23" s="90" t="s">
        <v>250</v>
      </c>
      <c r="C23" s="91" t="str">
        <f t="shared" si="0"/>
        <v>Macélio</v>
      </c>
      <c r="D23" s="91">
        <f>VLOOKUP(C23,O$3:U$23,2,0)</f>
        <v>240</v>
      </c>
      <c r="E23" s="91">
        <f t="shared" si="7"/>
        <v>2</v>
      </c>
      <c r="F23" s="91">
        <f t="shared" si="8"/>
        <v>7</v>
      </c>
      <c r="G23" s="91">
        <f t="shared" si="9"/>
        <v>6</v>
      </c>
      <c r="H23" s="91">
        <f t="shared" si="10"/>
        <v>5</v>
      </c>
      <c r="I23" s="92">
        <f t="shared" si="11"/>
        <v>12</v>
      </c>
      <c r="K23" s="94" t="s">
        <v>45</v>
      </c>
      <c r="L23" s="94">
        <f>'5.Macélio'!Q11</f>
        <v>240</v>
      </c>
      <c r="M23" s="94">
        <f>'5.Macélio'!$Q$19</f>
        <v>2</v>
      </c>
      <c r="O23" s="130" t="s">
        <v>247</v>
      </c>
      <c r="P23" s="123">
        <f>'21.Chicão'!Q11</f>
        <v>275</v>
      </c>
      <c r="Q23" s="18">
        <v>1</v>
      </c>
      <c r="R23" s="18">
        <v>7</v>
      </c>
      <c r="S23" s="18">
        <v>12</v>
      </c>
      <c r="T23" s="18">
        <v>5</v>
      </c>
      <c r="U23" s="18">
        <v>6</v>
      </c>
      <c r="V23" s="122"/>
      <c r="W23" s="122"/>
    </row>
    <row r="24" spans="2:25" ht="16.2" thickTop="1" x14ac:dyDescent="0.3">
      <c r="O24" s="122"/>
      <c r="P24" s="123"/>
      <c r="Q24" s="124"/>
      <c r="R24" s="124"/>
      <c r="S24" s="124"/>
      <c r="T24" s="124"/>
      <c r="U24" s="124"/>
      <c r="V24" s="122"/>
      <c r="W24" s="122"/>
    </row>
    <row r="25" spans="2:25" x14ac:dyDescent="0.3">
      <c r="O25" s="122"/>
      <c r="P25" s="123"/>
      <c r="Q25" s="124"/>
      <c r="R25" s="124"/>
      <c r="S25" s="124"/>
      <c r="T25" s="124"/>
      <c r="U25" s="124"/>
      <c r="V25" s="122"/>
      <c r="W25" s="122"/>
    </row>
    <row r="26" spans="2:25" ht="18" x14ac:dyDescent="0.3">
      <c r="B26" s="66"/>
      <c r="C26" s="126" t="s">
        <v>207</v>
      </c>
      <c r="D26" s="127"/>
      <c r="E26" s="128" t="s">
        <v>20</v>
      </c>
      <c r="F26" s="127"/>
      <c r="G26" s="129" t="s">
        <v>209</v>
      </c>
      <c r="H26" s="60"/>
      <c r="I26" s="67"/>
    </row>
    <row r="27" spans="2:25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38"/>
      <c r="C64" s="138"/>
      <c r="D64" s="138"/>
      <c r="E64" s="64"/>
      <c r="F64" s="64"/>
      <c r="G64" s="64"/>
      <c r="H64" s="138"/>
      <c r="I64" s="138"/>
      <c r="J64" s="138"/>
    </row>
    <row r="70" spans="2:10" x14ac:dyDescent="0.3">
      <c r="B70" s="138"/>
      <c r="C70" s="138"/>
      <c r="D70" s="138"/>
      <c r="E70" s="64"/>
      <c r="F70" s="64"/>
      <c r="G70" s="64"/>
      <c r="H70" s="138"/>
      <c r="I70" s="138"/>
      <c r="J70" s="138"/>
    </row>
    <row r="76" spans="2:10" x14ac:dyDescent="0.3">
      <c r="B76" s="138"/>
      <c r="C76" s="138"/>
      <c r="D76" s="138"/>
      <c r="E76" s="64"/>
      <c r="F76" s="64"/>
      <c r="G76" s="64"/>
      <c r="H76" s="138"/>
      <c r="I76" s="138"/>
      <c r="J76" s="138"/>
    </row>
    <row r="82" spans="2:10" x14ac:dyDescent="0.3">
      <c r="B82" s="138"/>
      <c r="C82" s="138"/>
      <c r="D82" s="138"/>
      <c r="E82" s="64"/>
      <c r="F82" s="64"/>
      <c r="G82" s="64"/>
      <c r="H82" s="138"/>
      <c r="I82" s="138"/>
      <c r="J82" s="138"/>
    </row>
    <row r="83" spans="2:10" x14ac:dyDescent="0.3">
      <c r="B83" s="138"/>
      <c r="C83" s="138"/>
      <c r="D83" s="138"/>
      <c r="E83" s="64"/>
      <c r="F83" s="64"/>
      <c r="G83" s="64"/>
      <c r="H83" s="138"/>
      <c r="I83" s="138"/>
      <c r="J83" s="138"/>
    </row>
    <row r="88" spans="2:10" x14ac:dyDescent="0.3">
      <c r="B88" s="138"/>
      <c r="C88" s="138"/>
      <c r="D88" s="138"/>
      <c r="E88" s="64"/>
      <c r="F88" s="64"/>
      <c r="G88" s="64"/>
      <c r="H88" s="138"/>
      <c r="I88" s="138"/>
      <c r="J88" s="138"/>
    </row>
    <row r="89" spans="2:10" x14ac:dyDescent="0.3">
      <c r="B89" s="138"/>
      <c r="C89" s="138"/>
      <c r="D89" s="138"/>
      <c r="E89" s="64"/>
      <c r="F89" s="64"/>
      <c r="G89" s="64"/>
      <c r="H89" s="138"/>
      <c r="I89" s="138"/>
      <c r="J89" s="138"/>
    </row>
    <row r="94" spans="2:10" x14ac:dyDescent="0.3">
      <c r="B94" s="138"/>
      <c r="C94" s="138"/>
      <c r="D94" s="138"/>
      <c r="E94" s="64"/>
      <c r="F94" s="64"/>
      <c r="G94" s="64"/>
      <c r="H94" s="138"/>
      <c r="I94" s="138"/>
      <c r="J94" s="138"/>
    </row>
    <row r="100" spans="2:10" x14ac:dyDescent="0.3">
      <c r="B100" s="138"/>
      <c r="C100" s="138"/>
      <c r="D100" s="138"/>
      <c r="E100" s="64"/>
      <c r="F100" s="64"/>
      <c r="G100" s="64"/>
      <c r="H100" s="138"/>
      <c r="I100" s="138"/>
      <c r="J100" s="138"/>
    </row>
    <row r="106" spans="2:10" x14ac:dyDescent="0.3">
      <c r="B106" s="138"/>
      <c r="C106" s="138"/>
      <c r="D106" s="138"/>
      <c r="E106" s="64"/>
      <c r="F106" s="64"/>
      <c r="G106" s="64"/>
      <c r="H106" s="138"/>
      <c r="I106" s="138"/>
      <c r="J106" s="138"/>
    </row>
    <row r="107" spans="2:10" x14ac:dyDescent="0.3">
      <c r="B107" s="138"/>
      <c r="C107" s="138"/>
      <c r="D107" s="138"/>
      <c r="E107" s="64"/>
      <c r="F107" s="64"/>
      <c r="G107" s="64"/>
      <c r="H107" s="138"/>
      <c r="I107" s="138"/>
      <c r="J107" s="138"/>
    </row>
    <row r="112" spans="2:10" x14ac:dyDescent="0.3">
      <c r="B112" s="138"/>
      <c r="C112" s="138"/>
      <c r="D112" s="138"/>
      <c r="E112" s="64"/>
      <c r="F112" s="64"/>
      <c r="G112" s="64"/>
      <c r="H112" s="138"/>
      <c r="I112" s="138"/>
      <c r="J112" s="138"/>
    </row>
    <row r="113" spans="2:10" x14ac:dyDescent="0.3">
      <c r="B113" s="138"/>
      <c r="C113" s="138"/>
      <c r="D113" s="138"/>
      <c r="E113" s="64"/>
      <c r="F113" s="64"/>
      <c r="G113" s="64"/>
      <c r="H113" s="138"/>
      <c r="I113" s="138"/>
      <c r="J113" s="138"/>
    </row>
    <row r="114" spans="2:10" x14ac:dyDescent="0.3">
      <c r="B114" s="138"/>
      <c r="C114" s="138"/>
      <c r="D114" s="138"/>
      <c r="E114" s="64"/>
      <c r="F114" s="64"/>
      <c r="G114" s="64"/>
      <c r="H114" s="138"/>
      <c r="I114" s="138"/>
      <c r="J114" s="138"/>
    </row>
    <row r="118" spans="2:10" x14ac:dyDescent="0.3">
      <c r="B118" s="138"/>
      <c r="C118" s="138"/>
      <c r="D118" s="138"/>
      <c r="E118" s="64"/>
      <c r="F118" s="64"/>
      <c r="G118" s="64"/>
      <c r="H118" s="138"/>
      <c r="I118" s="138"/>
      <c r="J118" s="138"/>
    </row>
    <row r="119" spans="2:10" x14ac:dyDescent="0.3">
      <c r="B119" s="138"/>
      <c r="C119" s="138"/>
      <c r="D119" s="138"/>
      <c r="E119" s="64"/>
      <c r="F119" s="64"/>
      <c r="G119" s="64"/>
      <c r="H119" s="138"/>
      <c r="I119" s="138"/>
      <c r="J119" s="138"/>
    </row>
    <row r="124" spans="2:10" x14ac:dyDescent="0.3">
      <c r="B124" s="138"/>
      <c r="C124" s="138"/>
      <c r="D124" s="138"/>
      <c r="E124" s="64"/>
      <c r="F124" s="64"/>
      <c r="G124" s="64"/>
      <c r="H124" s="138"/>
      <c r="I124" s="138"/>
      <c r="J124" s="138"/>
    </row>
    <row r="130" spans="2:10" x14ac:dyDescent="0.3">
      <c r="B130" s="138"/>
      <c r="C130" s="138"/>
      <c r="D130" s="138"/>
      <c r="E130" s="64"/>
      <c r="F130" s="64"/>
      <c r="G130" s="64"/>
      <c r="H130" s="138"/>
      <c r="I130" s="138"/>
      <c r="J130" s="138"/>
    </row>
    <row r="131" spans="2:10" x14ac:dyDescent="0.3">
      <c r="B131" s="138"/>
      <c r="C131" s="138"/>
      <c r="D131" s="138"/>
      <c r="E131" s="64"/>
      <c r="F131" s="64"/>
      <c r="G131" s="64"/>
      <c r="H131" s="138"/>
      <c r="I131" s="138"/>
      <c r="J131" s="138"/>
    </row>
    <row r="132" spans="2:10" x14ac:dyDescent="0.3">
      <c r="B132" s="138"/>
      <c r="C132" s="138"/>
      <c r="D132" s="138"/>
      <c r="E132" s="64"/>
      <c r="F132" s="64"/>
      <c r="G132" s="64"/>
      <c r="H132" s="138"/>
      <c r="I132" s="138"/>
      <c r="J132" s="138"/>
    </row>
    <row r="136" spans="2:10" x14ac:dyDescent="0.3">
      <c r="B136" s="138"/>
      <c r="C136" s="138"/>
      <c r="D136" s="138"/>
      <c r="E136" s="64"/>
      <c r="F136" s="64"/>
      <c r="G136" s="64"/>
      <c r="H136" s="138"/>
      <c r="I136" s="138"/>
      <c r="J136" s="138"/>
    </row>
    <row r="137" spans="2:10" x14ac:dyDescent="0.3">
      <c r="B137" s="138"/>
      <c r="C137" s="138"/>
      <c r="D137" s="138"/>
      <c r="E137" s="64"/>
      <c r="F137" s="64"/>
      <c r="G137" s="64"/>
      <c r="H137" s="138"/>
      <c r="I137" s="138"/>
      <c r="J137" s="138"/>
    </row>
    <row r="142" spans="2:10" x14ac:dyDescent="0.3">
      <c r="B142" s="138"/>
      <c r="C142" s="138"/>
      <c r="D142" s="138"/>
      <c r="E142" s="64"/>
      <c r="F142" s="64"/>
      <c r="G142" s="64"/>
      <c r="H142" s="138"/>
      <c r="I142" s="138"/>
      <c r="J142" s="138"/>
    </row>
    <row r="148" spans="2:10" x14ac:dyDescent="0.3">
      <c r="B148" s="138"/>
      <c r="C148" s="138"/>
      <c r="D148" s="138"/>
      <c r="E148" s="64"/>
      <c r="F148" s="64"/>
      <c r="G148" s="64"/>
      <c r="H148" s="138"/>
      <c r="I148" s="138"/>
      <c r="J148" s="138"/>
    </row>
    <row r="149" spans="2:10" x14ac:dyDescent="0.3">
      <c r="B149" s="138"/>
      <c r="C149" s="138"/>
      <c r="D149" s="138"/>
      <c r="E149" s="64"/>
      <c r="F149" s="64"/>
      <c r="G149" s="64"/>
      <c r="H149" s="138"/>
      <c r="I149" s="138"/>
      <c r="J149" s="138"/>
    </row>
    <row r="150" spans="2:10" x14ac:dyDescent="0.3">
      <c r="B150" s="138"/>
      <c r="C150" s="138"/>
      <c r="D150" s="138"/>
      <c r="E150" s="64"/>
      <c r="F150" s="64"/>
      <c r="G150" s="64"/>
      <c r="H150" s="138"/>
      <c r="I150" s="138"/>
      <c r="J150" s="138"/>
    </row>
    <row r="151" spans="2:10" x14ac:dyDescent="0.3">
      <c r="B151" s="138"/>
      <c r="C151" s="138"/>
      <c r="D151" s="138"/>
      <c r="E151" s="64"/>
      <c r="F151" s="64"/>
      <c r="G151" s="64"/>
      <c r="H151" s="138"/>
      <c r="I151" s="138"/>
      <c r="J151" s="138"/>
    </row>
    <row r="154" spans="2:10" x14ac:dyDescent="0.3">
      <c r="B154" s="138"/>
      <c r="C154" s="138"/>
      <c r="D154" s="138"/>
      <c r="E154" s="64"/>
      <c r="F154" s="64"/>
      <c r="G154" s="64"/>
      <c r="H154" s="138"/>
      <c r="I154" s="138"/>
      <c r="J154" s="138"/>
    </row>
    <row r="160" spans="2:10" x14ac:dyDescent="0.3">
      <c r="B160" s="138"/>
      <c r="C160" s="138"/>
      <c r="D160" s="138"/>
      <c r="E160" s="64"/>
      <c r="F160" s="64"/>
      <c r="G160" s="64"/>
      <c r="H160" s="138"/>
      <c r="I160" s="138"/>
      <c r="J160" s="138"/>
    </row>
    <row r="161" spans="2:10" x14ac:dyDescent="0.3">
      <c r="B161" s="138"/>
      <c r="C161" s="138"/>
      <c r="D161" s="138"/>
      <c r="E161" s="64"/>
      <c r="F161" s="64"/>
      <c r="G161" s="64"/>
      <c r="H161" s="138"/>
      <c r="I161" s="138"/>
      <c r="J161" s="138"/>
    </row>
    <row r="164" spans="2:10" x14ac:dyDescent="0.3">
      <c r="B164" s="138"/>
      <c r="C164" s="138"/>
      <c r="D164" s="138"/>
      <c r="E164" s="64"/>
      <c r="F164" s="64"/>
      <c r="G164" s="64"/>
      <c r="H164" s="138"/>
      <c r="I164" s="138"/>
      <c r="J164" s="138"/>
    </row>
    <row r="170" spans="2:10" x14ac:dyDescent="0.3">
      <c r="B170" s="138"/>
      <c r="C170" s="138"/>
      <c r="D170" s="138"/>
      <c r="E170" s="64"/>
      <c r="F170" s="64"/>
      <c r="G170" s="64"/>
      <c r="H170" s="138"/>
      <c r="I170" s="138"/>
      <c r="J170" s="138"/>
    </row>
    <row r="176" spans="2:10" x14ac:dyDescent="0.3">
      <c r="B176" s="138"/>
      <c r="C176" s="138"/>
      <c r="D176" s="138"/>
      <c r="E176" s="64"/>
      <c r="F176" s="64"/>
      <c r="G176" s="64"/>
      <c r="H176" s="138"/>
      <c r="I176" s="138"/>
      <c r="J176" s="138"/>
    </row>
    <row r="182" spans="2:10" x14ac:dyDescent="0.3">
      <c r="B182" s="138"/>
      <c r="C182" s="138"/>
      <c r="D182" s="138"/>
      <c r="E182" s="64"/>
      <c r="F182" s="64"/>
      <c r="G182" s="64"/>
      <c r="H182" s="138"/>
      <c r="I182" s="138"/>
      <c r="J182" s="138"/>
    </row>
    <row r="188" spans="2:10" x14ac:dyDescent="0.3">
      <c r="B188" s="138"/>
      <c r="C188" s="138"/>
      <c r="D188" s="138"/>
      <c r="E188" s="64"/>
      <c r="F188" s="64"/>
      <c r="G188" s="64"/>
      <c r="H188" s="138"/>
      <c r="I188" s="138"/>
      <c r="J188" s="138"/>
    </row>
    <row r="189" spans="2:10" x14ac:dyDescent="0.3">
      <c r="B189" s="138"/>
      <c r="C189" s="138"/>
      <c r="D189" s="138"/>
      <c r="E189" s="64"/>
      <c r="F189" s="64"/>
      <c r="G189" s="64"/>
      <c r="H189" s="138"/>
      <c r="I189" s="138"/>
      <c r="J189" s="138"/>
    </row>
    <row r="194" spans="2:10" x14ac:dyDescent="0.3">
      <c r="B194" s="138"/>
      <c r="C194" s="138"/>
      <c r="D194" s="138"/>
      <c r="E194" s="64"/>
      <c r="F194" s="64"/>
      <c r="G194" s="64"/>
      <c r="H194" s="138"/>
      <c r="I194" s="138"/>
      <c r="J194" s="138"/>
    </row>
    <row r="195" spans="2:10" x14ac:dyDescent="0.3">
      <c r="B195" s="138"/>
      <c r="C195" s="138"/>
      <c r="D195" s="138"/>
      <c r="E195" s="64"/>
      <c r="F195" s="64"/>
      <c r="G195" s="64"/>
      <c r="H195" s="138"/>
      <c r="I195" s="138"/>
      <c r="J195" s="138"/>
    </row>
    <row r="200" spans="2:10" x14ac:dyDescent="0.3">
      <c r="B200" s="138"/>
      <c r="C200" s="138"/>
      <c r="D200" s="138"/>
      <c r="E200" s="64"/>
      <c r="F200" s="64"/>
      <c r="G200" s="64"/>
      <c r="H200" s="138"/>
      <c r="I200" s="138"/>
      <c r="J200" s="138"/>
    </row>
    <row r="206" spans="2:10" x14ac:dyDescent="0.3">
      <c r="B206" s="138"/>
      <c r="C206" s="138"/>
      <c r="D206" s="138"/>
      <c r="E206" s="64"/>
      <c r="F206" s="64"/>
      <c r="G206" s="64"/>
      <c r="H206" s="138"/>
      <c r="I206" s="138"/>
      <c r="J206" s="138"/>
    </row>
    <row r="212" spans="2:10" x14ac:dyDescent="0.3">
      <c r="B212" s="138"/>
      <c r="C212" s="138"/>
      <c r="D212" s="138"/>
      <c r="E212" s="64"/>
      <c r="F212" s="64"/>
      <c r="G212" s="64"/>
      <c r="H212" s="138"/>
      <c r="I212" s="138"/>
      <c r="J212" s="138"/>
    </row>
    <row r="213" spans="2:10" x14ac:dyDescent="0.3">
      <c r="B213" s="138"/>
      <c r="C213" s="138"/>
      <c r="D213" s="138"/>
      <c r="E213" s="64"/>
      <c r="F213" s="64"/>
      <c r="G213" s="64"/>
      <c r="H213" s="138"/>
      <c r="I213" s="138"/>
      <c r="J213" s="138"/>
    </row>
    <row r="218" spans="2:10" x14ac:dyDescent="0.3">
      <c r="B218" s="138"/>
      <c r="C218" s="138"/>
      <c r="D218" s="138"/>
      <c r="E218" s="64"/>
      <c r="F218" s="64"/>
      <c r="G218" s="64"/>
      <c r="H218" s="138"/>
      <c r="I218" s="138"/>
      <c r="J218" s="138"/>
    </row>
    <row r="219" spans="2:10" x14ac:dyDescent="0.3">
      <c r="B219" s="138"/>
      <c r="C219" s="138"/>
      <c r="D219" s="138"/>
      <c r="E219" s="64"/>
      <c r="F219" s="64"/>
      <c r="G219" s="64"/>
      <c r="H219" s="138"/>
      <c r="I219" s="138"/>
      <c r="J219" s="138"/>
    </row>
    <row r="220" spans="2:10" x14ac:dyDescent="0.3">
      <c r="B220" s="138"/>
      <c r="C220" s="138"/>
      <c r="D220" s="138"/>
      <c r="E220" s="64"/>
      <c r="F220" s="64"/>
      <c r="G220" s="64"/>
      <c r="H220" s="138"/>
      <c r="I220" s="138"/>
      <c r="J220" s="138"/>
    </row>
    <row r="224" spans="2:10" x14ac:dyDescent="0.3">
      <c r="B224" s="138"/>
      <c r="C224" s="138"/>
      <c r="D224" s="138"/>
      <c r="E224" s="64"/>
      <c r="F224" s="64"/>
      <c r="G224" s="64"/>
      <c r="H224" s="138"/>
      <c r="I224" s="138"/>
      <c r="J224" s="138"/>
    </row>
    <row r="225" spans="2:10" x14ac:dyDescent="0.3">
      <c r="B225" s="138"/>
      <c r="C225" s="138"/>
      <c r="D225" s="138"/>
      <c r="E225" s="64"/>
      <c r="F225" s="64"/>
      <c r="G225" s="64"/>
      <c r="H225" s="138"/>
      <c r="I225" s="138"/>
      <c r="J225" s="138"/>
    </row>
    <row r="230" spans="2:10" x14ac:dyDescent="0.3">
      <c r="B230" s="138"/>
      <c r="C230" s="138"/>
      <c r="D230" s="138"/>
      <c r="E230" s="64"/>
      <c r="F230" s="64"/>
      <c r="G230" s="64"/>
      <c r="H230" s="138"/>
      <c r="I230" s="138"/>
      <c r="J230" s="138"/>
    </row>
    <row r="236" spans="2:10" x14ac:dyDescent="0.3">
      <c r="B236" s="138"/>
      <c r="C236" s="138"/>
      <c r="D236" s="138"/>
      <c r="E236" s="64"/>
      <c r="F236" s="64"/>
      <c r="G236" s="64"/>
      <c r="H236" s="138"/>
      <c r="I236" s="138"/>
      <c r="J236" s="138"/>
    </row>
    <row r="237" spans="2:10" x14ac:dyDescent="0.3">
      <c r="B237" s="138"/>
      <c r="C237" s="138"/>
      <c r="D237" s="138"/>
      <c r="E237" s="64"/>
      <c r="F237" s="64"/>
      <c r="G237" s="64"/>
      <c r="H237" s="138"/>
      <c r="I237" s="138"/>
      <c r="J237" s="138"/>
    </row>
    <row r="238" spans="2:10" x14ac:dyDescent="0.3">
      <c r="B238" s="138"/>
      <c r="C238" s="138"/>
      <c r="D238" s="138"/>
      <c r="E238" s="64"/>
      <c r="F238" s="64"/>
      <c r="G238" s="64"/>
      <c r="H238" s="138"/>
      <c r="I238" s="138"/>
      <c r="J238" s="138"/>
    </row>
    <row r="242" spans="2:10" x14ac:dyDescent="0.3">
      <c r="B242" s="138"/>
      <c r="C242" s="138"/>
      <c r="D242" s="138"/>
      <c r="E242" s="64"/>
      <c r="F242" s="64"/>
      <c r="G242" s="64"/>
      <c r="H242" s="138"/>
      <c r="I242" s="138"/>
      <c r="J242" s="138"/>
    </row>
    <row r="243" spans="2:10" x14ac:dyDescent="0.3">
      <c r="B243" s="138"/>
      <c r="C243" s="138"/>
      <c r="D243" s="138"/>
      <c r="E243" s="64"/>
      <c r="F243" s="64"/>
      <c r="G243" s="64"/>
      <c r="H243" s="138"/>
      <c r="I243" s="138"/>
      <c r="J243" s="138"/>
    </row>
    <row r="248" spans="2:10" x14ac:dyDescent="0.3">
      <c r="B248" s="138"/>
      <c r="C248" s="138"/>
      <c r="D248" s="138"/>
      <c r="E248" s="64"/>
      <c r="F248" s="64"/>
      <c r="G248" s="64"/>
      <c r="H248" s="138"/>
      <c r="I248" s="138"/>
      <c r="J248" s="138"/>
    </row>
    <row r="254" spans="2:10" x14ac:dyDescent="0.3">
      <c r="B254" s="138"/>
      <c r="C254" s="138"/>
      <c r="D254" s="138"/>
      <c r="E254" s="64"/>
      <c r="F254" s="64"/>
      <c r="G254" s="64"/>
      <c r="H254" s="138"/>
      <c r="I254" s="138"/>
      <c r="J254" s="138"/>
    </row>
    <row r="255" spans="2:10" x14ac:dyDescent="0.3">
      <c r="B255" s="138"/>
      <c r="C255" s="138"/>
      <c r="D255" s="138"/>
      <c r="E255" s="64"/>
      <c r="F255" s="64"/>
      <c r="G255" s="64"/>
      <c r="H255" s="138"/>
      <c r="I255" s="138"/>
      <c r="J255" s="138"/>
    </row>
    <row r="256" spans="2:10" x14ac:dyDescent="0.3">
      <c r="B256" s="138"/>
      <c r="C256" s="138"/>
      <c r="D256" s="138"/>
      <c r="E256" s="64"/>
      <c r="F256" s="64"/>
      <c r="G256" s="64"/>
      <c r="H256" s="138"/>
      <c r="I256" s="138"/>
      <c r="J256" s="138"/>
    </row>
    <row r="257" spans="2:10" x14ac:dyDescent="0.3">
      <c r="B257" s="138"/>
      <c r="C257" s="138"/>
      <c r="D257" s="138"/>
      <c r="E257" s="64"/>
      <c r="F257" s="64"/>
      <c r="G257" s="64"/>
      <c r="H257" s="138"/>
      <c r="I257" s="138"/>
      <c r="J257" s="138"/>
    </row>
    <row r="260" spans="2:10" x14ac:dyDescent="0.3">
      <c r="B260" s="138"/>
      <c r="C260" s="138"/>
      <c r="D260" s="138"/>
      <c r="E260" s="64"/>
      <c r="F260" s="64"/>
      <c r="G260" s="64"/>
      <c r="H260" s="138"/>
      <c r="I260" s="138"/>
      <c r="J260" s="138"/>
    </row>
    <row r="266" spans="2:10" x14ac:dyDescent="0.3">
      <c r="B266" s="138"/>
      <c r="C266" s="138"/>
      <c r="D266" s="138"/>
      <c r="E266" s="64"/>
      <c r="F266" s="64"/>
      <c r="G266" s="64"/>
      <c r="H266" s="138"/>
      <c r="I266" s="138"/>
      <c r="J266" s="138"/>
    </row>
    <row r="267" spans="2:10" x14ac:dyDescent="0.3">
      <c r="B267" s="138"/>
      <c r="C267" s="138"/>
      <c r="D267" s="138"/>
      <c r="E267" s="64"/>
      <c r="F267" s="64"/>
      <c r="G267" s="64"/>
      <c r="H267" s="138"/>
      <c r="I267" s="138"/>
      <c r="J267" s="138"/>
    </row>
    <row r="272" spans="2:10" x14ac:dyDescent="0.3">
      <c r="B272" s="138"/>
      <c r="C272" s="138"/>
      <c r="D272" s="138"/>
      <c r="E272" s="64"/>
      <c r="F272" s="64"/>
      <c r="G272" s="64"/>
      <c r="H272" s="138"/>
      <c r="I272" s="138"/>
      <c r="J272" s="138"/>
    </row>
    <row r="273" spans="2:10" x14ac:dyDescent="0.3">
      <c r="B273" s="138"/>
      <c r="C273" s="138"/>
      <c r="D273" s="138"/>
      <c r="E273" s="64"/>
      <c r="F273" s="64"/>
      <c r="G273" s="64"/>
      <c r="H273" s="138"/>
      <c r="I273" s="138"/>
      <c r="J273" s="138"/>
    </row>
    <row r="274" spans="2:10" x14ac:dyDescent="0.3">
      <c r="B274" s="138"/>
      <c r="C274" s="138"/>
      <c r="D274" s="138"/>
      <c r="E274" s="64"/>
      <c r="F274" s="64"/>
      <c r="G274" s="64"/>
      <c r="H274" s="138"/>
      <c r="I274" s="138"/>
      <c r="J274" s="138"/>
    </row>
    <row r="275" spans="2:10" x14ac:dyDescent="0.3">
      <c r="B275" s="138"/>
      <c r="C275" s="138"/>
      <c r="D275" s="138"/>
      <c r="E275" s="64"/>
      <c r="F275" s="64"/>
      <c r="G275" s="64"/>
      <c r="H275" s="138"/>
      <c r="I275" s="138"/>
      <c r="J275" s="138"/>
    </row>
    <row r="278" spans="2:10" x14ac:dyDescent="0.3">
      <c r="B278" s="138"/>
      <c r="C278" s="138"/>
      <c r="D278" s="138"/>
      <c r="E278" s="64"/>
      <c r="F278" s="64"/>
      <c r="G278" s="64"/>
      <c r="H278" s="138"/>
      <c r="I278" s="138"/>
      <c r="J278" s="138"/>
    </row>
    <row r="284" spans="2:10" x14ac:dyDescent="0.3">
      <c r="B284" s="138"/>
      <c r="C284" s="138"/>
      <c r="D284" s="138"/>
      <c r="E284" s="64"/>
      <c r="F284" s="64"/>
      <c r="G284" s="64"/>
      <c r="H284" s="138"/>
      <c r="I284" s="138"/>
      <c r="J284" s="138"/>
    </row>
    <row r="290" spans="2:10" x14ac:dyDescent="0.3">
      <c r="B290" s="138"/>
      <c r="C290" s="138"/>
      <c r="D290" s="138"/>
      <c r="E290" s="64"/>
      <c r="F290" s="64"/>
      <c r="G290" s="64"/>
      <c r="H290" s="138"/>
      <c r="I290" s="138"/>
      <c r="J290" s="138"/>
    </row>
    <row r="296" spans="2:10" x14ac:dyDescent="0.3">
      <c r="B296" s="138"/>
      <c r="C296" s="138"/>
      <c r="D296" s="138"/>
      <c r="E296" s="64"/>
      <c r="F296" s="64"/>
      <c r="G296" s="64"/>
      <c r="H296" s="138"/>
      <c r="I296" s="138"/>
      <c r="J296" s="138"/>
    </row>
    <row r="302" spans="2:10" x14ac:dyDescent="0.3">
      <c r="B302" s="138"/>
      <c r="C302" s="138"/>
      <c r="D302" s="138"/>
      <c r="E302" s="64"/>
      <c r="F302" s="64"/>
      <c r="G302" s="64"/>
      <c r="H302" s="138"/>
      <c r="I302" s="138"/>
      <c r="J302" s="138"/>
    </row>
    <row r="303" spans="2:10" x14ac:dyDescent="0.3">
      <c r="B303" s="138"/>
      <c r="C303" s="138"/>
      <c r="D303" s="138"/>
      <c r="E303" s="64"/>
      <c r="F303" s="64"/>
      <c r="G303" s="64"/>
      <c r="H303" s="138"/>
      <c r="I303" s="138"/>
      <c r="J303" s="138"/>
    </row>
    <row r="308" spans="2:10" x14ac:dyDescent="0.3">
      <c r="B308" s="138"/>
      <c r="C308" s="138"/>
      <c r="D308" s="138"/>
      <c r="E308" s="64"/>
      <c r="F308" s="64"/>
      <c r="G308" s="64"/>
      <c r="H308" s="138"/>
      <c r="I308" s="138"/>
      <c r="J308" s="138"/>
    </row>
    <row r="309" spans="2:10" x14ac:dyDescent="0.3">
      <c r="B309" s="138"/>
      <c r="C309" s="138"/>
      <c r="D309" s="138"/>
      <c r="E309" s="64"/>
      <c r="F309" s="64"/>
      <c r="G309" s="64"/>
      <c r="H309" s="138"/>
      <c r="I309" s="138"/>
      <c r="J309" s="138"/>
    </row>
    <row r="314" spans="2:10" x14ac:dyDescent="0.3">
      <c r="B314" s="138"/>
      <c r="C314" s="138"/>
      <c r="D314" s="138"/>
      <c r="E314" s="64"/>
      <c r="F314" s="64"/>
      <c r="G314" s="64"/>
      <c r="H314" s="138"/>
      <c r="I314" s="138"/>
      <c r="J314" s="138"/>
    </row>
    <row r="320" spans="2:10" x14ac:dyDescent="0.3">
      <c r="B320" s="138"/>
      <c r="C320" s="138"/>
      <c r="D320" s="138"/>
      <c r="E320" s="64"/>
      <c r="F320" s="64"/>
      <c r="G320" s="64"/>
      <c r="H320" s="138"/>
      <c r="I320" s="138"/>
      <c r="J320" s="138"/>
    </row>
    <row r="326" spans="2:10" x14ac:dyDescent="0.3">
      <c r="B326" s="138"/>
      <c r="C326" s="138"/>
      <c r="D326" s="138"/>
      <c r="E326" s="64"/>
      <c r="F326" s="64"/>
      <c r="G326" s="64"/>
      <c r="H326" s="138"/>
      <c r="I326" s="138"/>
      <c r="J326" s="138"/>
    </row>
    <row r="327" spans="2:10" x14ac:dyDescent="0.3">
      <c r="B327" s="138"/>
      <c r="C327" s="138"/>
      <c r="D327" s="138"/>
      <c r="E327" s="64"/>
      <c r="F327" s="64"/>
      <c r="G327" s="64"/>
      <c r="H327" s="138"/>
      <c r="I327" s="138"/>
      <c r="J327" s="138"/>
    </row>
    <row r="332" spans="2:10" x14ac:dyDescent="0.3">
      <c r="B332" s="138"/>
      <c r="C332" s="138"/>
      <c r="D332" s="138"/>
      <c r="E332" s="64"/>
      <c r="F332" s="64"/>
      <c r="G332" s="64"/>
      <c r="H332" s="138"/>
      <c r="I332" s="138"/>
      <c r="J332" s="138"/>
    </row>
    <row r="333" spans="2:10" x14ac:dyDescent="0.3">
      <c r="B333" s="138"/>
      <c r="C333" s="138"/>
      <c r="D333" s="138"/>
      <c r="E333" s="64"/>
      <c r="F333" s="64"/>
      <c r="G333" s="64"/>
      <c r="H333" s="138"/>
      <c r="I333" s="138"/>
      <c r="J333" s="138"/>
    </row>
    <row r="334" spans="2:10" x14ac:dyDescent="0.3">
      <c r="B334" s="138"/>
      <c r="C334" s="138"/>
      <c r="D334" s="138"/>
      <c r="E334" s="64"/>
      <c r="F334" s="64"/>
      <c r="G334" s="64"/>
      <c r="H334" s="138"/>
      <c r="I334" s="138"/>
      <c r="J334" s="138"/>
    </row>
    <row r="338" spans="2:10" x14ac:dyDescent="0.3">
      <c r="B338" s="138"/>
      <c r="C338" s="138"/>
      <c r="D338" s="138"/>
      <c r="E338" s="64"/>
      <c r="F338" s="64"/>
      <c r="G338" s="64"/>
      <c r="H338" s="138"/>
      <c r="I338" s="138"/>
      <c r="J338" s="138"/>
    </row>
    <row r="339" spans="2:10" x14ac:dyDescent="0.3">
      <c r="B339" s="138"/>
      <c r="C339" s="138"/>
      <c r="D339" s="138"/>
      <c r="E339" s="64"/>
      <c r="F339" s="64"/>
      <c r="G339" s="64"/>
      <c r="H339" s="138"/>
      <c r="I339" s="138"/>
      <c r="J339" s="138"/>
    </row>
    <row r="344" spans="2:10" x14ac:dyDescent="0.3">
      <c r="B344" s="138"/>
      <c r="C344" s="138"/>
      <c r="D344" s="138"/>
      <c r="E344" s="64"/>
      <c r="F344" s="64"/>
      <c r="G344" s="64"/>
      <c r="H344" s="138"/>
      <c r="I344" s="138"/>
      <c r="J344" s="138"/>
    </row>
    <row r="350" spans="2:10" x14ac:dyDescent="0.3">
      <c r="B350" s="138"/>
      <c r="C350" s="138"/>
      <c r="D350" s="138"/>
      <c r="E350" s="64"/>
      <c r="F350" s="64"/>
      <c r="G350" s="64"/>
      <c r="H350" s="138"/>
      <c r="I350" s="138"/>
      <c r="J350" s="138"/>
    </row>
    <row r="351" spans="2:10" x14ac:dyDescent="0.3">
      <c r="B351" s="138"/>
      <c r="C351" s="138"/>
      <c r="D351" s="138"/>
      <c r="E351" s="64"/>
      <c r="F351" s="64"/>
      <c r="G351" s="64"/>
      <c r="H351" s="138"/>
      <c r="I351" s="138"/>
      <c r="J351" s="138"/>
    </row>
    <row r="352" spans="2:10" x14ac:dyDescent="0.3">
      <c r="B352" s="138"/>
      <c r="C352" s="138"/>
      <c r="D352" s="138"/>
      <c r="E352" s="64"/>
      <c r="F352" s="64"/>
      <c r="G352" s="64"/>
      <c r="H352" s="138"/>
      <c r="I352" s="138"/>
      <c r="J352" s="138"/>
    </row>
    <row r="356" spans="2:10" x14ac:dyDescent="0.3">
      <c r="B356" s="138"/>
      <c r="C356" s="138"/>
      <c r="D356" s="138"/>
      <c r="E356" s="64"/>
      <c r="F356" s="64"/>
      <c r="G356" s="64"/>
      <c r="H356" s="138"/>
      <c r="I356" s="138"/>
      <c r="J356" s="138"/>
    </row>
    <row r="357" spans="2:10" x14ac:dyDescent="0.3">
      <c r="B357" s="138"/>
      <c r="C357" s="138"/>
      <c r="D357" s="138"/>
      <c r="E357" s="64"/>
      <c r="F357" s="64"/>
      <c r="G357" s="64"/>
      <c r="H357" s="138"/>
      <c r="I357" s="138"/>
      <c r="J357" s="138"/>
    </row>
    <row r="362" spans="2:10" x14ac:dyDescent="0.3">
      <c r="B362" s="138"/>
      <c r="C362" s="138"/>
      <c r="D362" s="138"/>
      <c r="E362" s="64"/>
      <c r="F362" s="64"/>
      <c r="G362" s="64"/>
      <c r="H362" s="138"/>
      <c r="I362" s="138"/>
      <c r="J362" s="138"/>
    </row>
    <row r="368" spans="2:10" x14ac:dyDescent="0.3">
      <c r="B368" s="138"/>
      <c r="C368" s="138"/>
      <c r="D368" s="138"/>
      <c r="E368" s="64"/>
      <c r="F368" s="64"/>
      <c r="G368" s="64"/>
      <c r="H368" s="138"/>
      <c r="I368" s="138"/>
      <c r="J368" s="138"/>
    </row>
    <row r="369" spans="2:10" x14ac:dyDescent="0.3">
      <c r="B369" s="138"/>
      <c r="C369" s="138"/>
      <c r="D369" s="138"/>
      <c r="E369" s="64"/>
      <c r="F369" s="64"/>
      <c r="G369" s="64"/>
      <c r="H369" s="138"/>
      <c r="I369" s="138"/>
      <c r="J369" s="138"/>
    </row>
    <row r="370" spans="2:10" x14ac:dyDescent="0.3">
      <c r="B370" s="138"/>
      <c r="C370" s="138"/>
      <c r="D370" s="138"/>
      <c r="E370" s="64"/>
      <c r="F370" s="64"/>
      <c r="G370" s="64"/>
      <c r="H370" s="138"/>
      <c r="I370" s="138"/>
      <c r="J370" s="138"/>
    </row>
    <row r="371" spans="2:10" x14ac:dyDescent="0.3">
      <c r="B371" s="138"/>
      <c r="C371" s="138"/>
      <c r="D371" s="138"/>
      <c r="E371" s="64"/>
      <c r="F371" s="64"/>
      <c r="G371" s="64"/>
      <c r="H371" s="138"/>
      <c r="I371" s="138"/>
      <c r="J371" s="138"/>
    </row>
    <row r="374" spans="2:10" x14ac:dyDescent="0.3">
      <c r="B374" s="138"/>
      <c r="C374" s="138"/>
      <c r="D374" s="138"/>
      <c r="E374" s="64"/>
      <c r="F374" s="64"/>
      <c r="G374" s="64"/>
      <c r="H374" s="138"/>
      <c r="I374" s="138"/>
      <c r="J374" s="138"/>
    </row>
    <row r="380" spans="2:10" x14ac:dyDescent="0.3">
      <c r="B380" s="138"/>
      <c r="C380" s="138"/>
      <c r="D380" s="138"/>
      <c r="E380" s="64"/>
      <c r="F380" s="64"/>
      <c r="G380" s="64"/>
      <c r="H380" s="138"/>
      <c r="I380" s="138"/>
      <c r="J380" s="138"/>
    </row>
    <row r="381" spans="2:10" x14ac:dyDescent="0.3">
      <c r="B381" s="138"/>
      <c r="C381" s="138"/>
      <c r="D381" s="138"/>
      <c r="E381" s="64"/>
      <c r="F381" s="64"/>
      <c r="G381" s="64"/>
      <c r="H381" s="138"/>
      <c r="I381" s="138"/>
      <c r="J381" s="138"/>
    </row>
    <row r="383" spans="2:10" x14ac:dyDescent="0.3">
      <c r="B383" s="138"/>
      <c r="C383" s="138"/>
      <c r="D383" s="138"/>
      <c r="E383" s="64"/>
      <c r="F383" s="64"/>
      <c r="G383" s="64"/>
      <c r="H383" s="138"/>
      <c r="I383" s="138"/>
      <c r="J383" s="138"/>
    </row>
    <row r="389" spans="2:10" x14ac:dyDescent="0.3">
      <c r="B389" s="138"/>
      <c r="C389" s="138"/>
      <c r="D389" s="138"/>
      <c r="E389" s="64"/>
      <c r="F389" s="64"/>
      <c r="G389" s="64"/>
      <c r="H389" s="138"/>
      <c r="I389" s="138"/>
      <c r="J389" s="138"/>
    </row>
    <row r="390" spans="2:10" x14ac:dyDescent="0.3">
      <c r="B390" s="138"/>
      <c r="C390" s="138"/>
      <c r="D390" s="138"/>
      <c r="E390" s="64"/>
      <c r="F390" s="64"/>
      <c r="G390" s="64"/>
      <c r="H390" s="138"/>
      <c r="I390" s="138"/>
      <c r="J390" s="138"/>
    </row>
    <row r="395" spans="2:10" x14ac:dyDescent="0.3">
      <c r="B395" s="138"/>
      <c r="C395" s="138"/>
      <c r="D395" s="138"/>
      <c r="E395" s="64"/>
      <c r="F395" s="64"/>
      <c r="G395" s="64"/>
      <c r="H395" s="138"/>
      <c r="I395" s="138"/>
      <c r="J395" s="138"/>
    </row>
    <row r="396" spans="2:10" x14ac:dyDescent="0.3">
      <c r="B396" s="138"/>
      <c r="C396" s="138"/>
      <c r="D396" s="138"/>
      <c r="E396" s="64"/>
      <c r="F396" s="64"/>
      <c r="G396" s="64"/>
      <c r="H396" s="138"/>
      <c r="I396" s="138"/>
      <c r="J396" s="138"/>
    </row>
    <row r="397" spans="2:10" x14ac:dyDescent="0.3">
      <c r="B397" s="138"/>
      <c r="C397" s="138"/>
      <c r="D397" s="138"/>
      <c r="E397" s="64"/>
      <c r="F397" s="64"/>
      <c r="G397" s="64"/>
      <c r="H397" s="138"/>
      <c r="I397" s="138"/>
      <c r="J397" s="138"/>
    </row>
    <row r="398" spans="2:10" x14ac:dyDescent="0.3">
      <c r="B398" s="138"/>
      <c r="C398" s="138"/>
      <c r="D398" s="138"/>
      <c r="E398" s="64"/>
      <c r="F398" s="64"/>
      <c r="G398" s="64"/>
      <c r="H398" s="138"/>
      <c r="I398" s="138"/>
      <c r="J398" s="138"/>
    </row>
    <row r="399" spans="2:10" x14ac:dyDescent="0.3">
      <c r="B399" s="138"/>
      <c r="C399" s="138"/>
      <c r="D399" s="138"/>
      <c r="E399" s="64"/>
      <c r="F399" s="64"/>
      <c r="G399" s="64"/>
      <c r="H399" s="138"/>
      <c r="I399" s="138"/>
      <c r="J399" s="138"/>
    </row>
    <row r="400" spans="2:10" x14ac:dyDescent="0.3">
      <c r="B400" s="138"/>
      <c r="C400" s="138"/>
      <c r="D400" s="138"/>
      <c r="E400" s="64"/>
      <c r="F400" s="64"/>
      <c r="G400" s="64"/>
      <c r="H400" s="138"/>
      <c r="I400" s="138"/>
      <c r="J400" s="138"/>
    </row>
    <row r="401" spans="2:10" x14ac:dyDescent="0.3">
      <c r="B401" s="138"/>
      <c r="C401" s="138"/>
      <c r="D401" s="138"/>
      <c r="E401" s="64"/>
      <c r="F401" s="64"/>
      <c r="G401" s="64"/>
      <c r="H401" s="138"/>
      <c r="I401" s="138"/>
      <c r="J401" s="138"/>
    </row>
    <row r="402" spans="2:10" x14ac:dyDescent="0.3">
      <c r="B402" s="138"/>
      <c r="C402" s="138"/>
      <c r="D402" s="138"/>
      <c r="E402" s="64"/>
      <c r="F402" s="64"/>
      <c r="G402" s="64"/>
      <c r="H402" s="138"/>
      <c r="I402" s="138"/>
      <c r="J402" s="138"/>
    </row>
  </sheetData>
  <autoFilter ref="K2:M2" xr:uid="{CE989A00-3C9C-4649-9815-06CC07EBF763}">
    <sortState xmlns:xlrd2="http://schemas.microsoft.com/office/spreadsheetml/2017/richdata2" ref="K3:M23">
      <sortCondition descending="1" ref="L2"/>
    </sortState>
  </autoFilter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Y57"/>
  <sheetViews>
    <sheetView showGridLines="0" topLeftCell="A4" zoomScale="80" zoomScaleNormal="80" workbookViewId="0">
      <selection activeCell="I20" sqref="I20"/>
    </sheetView>
  </sheetViews>
  <sheetFormatPr defaultColWidth="8.88671875" defaultRowHeight="18" x14ac:dyDescent="0.3"/>
  <cols>
    <col min="1" max="1" width="19.44140625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9.44140625" style="13" customWidth="1"/>
    <col min="6" max="6" width="1.6640625" style="14" customWidth="1"/>
    <col min="7" max="7" width="19.44140625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9.44140625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18.33203125" style="3" bestFit="1" customWidth="1"/>
    <col min="19" max="19" width="15" style="104" bestFit="1" customWidth="1"/>
    <col min="20" max="20" width="6.88671875" style="4" customWidth="1"/>
    <col min="21" max="21" width="2.6640625" style="4" customWidth="1"/>
    <col min="22" max="22" width="6.88671875" style="4" customWidth="1"/>
    <col min="23" max="23" width="6.33203125" style="105" bestFit="1" customWidth="1"/>
    <col min="24" max="24" width="3.77734375" style="3" customWidth="1"/>
    <col min="25" max="16384" width="8.88671875" style="3"/>
  </cols>
  <sheetData>
    <row r="1" spans="1:24" ht="16.8" thickTop="1" thickBot="1" x14ac:dyDescent="0.35">
      <c r="A1" s="205" t="s">
        <v>217</v>
      </c>
      <c r="B1" s="206"/>
      <c r="C1" s="206"/>
      <c r="D1" s="206"/>
      <c r="E1" s="206"/>
      <c r="F1" s="206"/>
      <c r="G1" s="206"/>
      <c r="H1" s="206"/>
      <c r="I1" s="206"/>
      <c r="J1" s="206"/>
      <c r="K1" s="207"/>
    </row>
    <row r="2" spans="1:24" ht="16.2" thickTop="1" x14ac:dyDescent="0.3">
      <c r="A2" s="147" t="s">
        <v>0</v>
      </c>
      <c r="B2" s="148"/>
      <c r="C2" s="148"/>
      <c r="D2" s="148"/>
      <c r="E2" s="148"/>
      <c r="F2" s="15"/>
      <c r="G2" s="148" t="s">
        <v>21</v>
      </c>
      <c r="H2" s="148"/>
      <c r="I2" s="148"/>
      <c r="J2" s="148"/>
      <c r="K2" s="171"/>
      <c r="O2" s="208" t="s">
        <v>253</v>
      </c>
      <c r="P2" s="209"/>
      <c r="R2" s="188" t="s">
        <v>215</v>
      </c>
      <c r="S2" s="189"/>
      <c r="T2" s="190"/>
      <c r="V2" s="179" t="s">
        <v>27</v>
      </c>
      <c r="W2" s="180"/>
      <c r="X2" s="181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58">
        <f>V12*0.4</f>
        <v>168</v>
      </c>
      <c r="S3" s="159"/>
      <c r="T3" s="160"/>
      <c r="V3" s="196">
        <v>21</v>
      </c>
      <c r="W3" s="197"/>
      <c r="X3" s="198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58"/>
      <c r="S4" s="159"/>
      <c r="T4" s="160"/>
      <c r="V4" s="196"/>
      <c r="W4" s="197"/>
      <c r="X4" s="198"/>
    </row>
    <row r="5" spans="1:24" ht="18" customHeight="1" x14ac:dyDescent="0.3">
      <c r="A5" s="56" t="s">
        <v>185</v>
      </c>
      <c r="B5" s="57">
        <v>2</v>
      </c>
      <c r="C5" s="58" t="s">
        <v>20</v>
      </c>
      <c r="D5" s="57">
        <v>0</v>
      </c>
      <c r="E5" s="29" t="s">
        <v>183</v>
      </c>
      <c r="F5" s="16"/>
      <c r="G5" s="47" t="s">
        <v>202</v>
      </c>
      <c r="H5" s="49">
        <v>2</v>
      </c>
      <c r="I5" s="6" t="s">
        <v>20</v>
      </c>
      <c r="J5" s="49">
        <v>1</v>
      </c>
      <c r="K5" s="45" t="s">
        <v>200</v>
      </c>
      <c r="O5" s="5" t="s">
        <v>212</v>
      </c>
      <c r="P5" s="9" t="s">
        <v>206</v>
      </c>
      <c r="R5" s="161"/>
      <c r="S5" s="162"/>
      <c r="T5" s="163"/>
      <c r="V5" s="199"/>
      <c r="W5" s="200"/>
      <c r="X5" s="201"/>
    </row>
    <row r="6" spans="1:24" x14ac:dyDescent="0.3">
      <c r="A6" s="56" t="s">
        <v>184</v>
      </c>
      <c r="B6" s="57">
        <v>2</v>
      </c>
      <c r="C6" s="58" t="s">
        <v>20</v>
      </c>
      <c r="D6" s="57">
        <v>1</v>
      </c>
      <c r="E6" s="29" t="s">
        <v>186</v>
      </c>
      <c r="F6" s="16"/>
      <c r="G6" s="47" t="s">
        <v>199</v>
      </c>
      <c r="H6" s="49">
        <v>0</v>
      </c>
      <c r="I6" s="6" t="s">
        <v>20</v>
      </c>
      <c r="J6" s="49">
        <v>0</v>
      </c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/>
      <c r="C7" s="58" t="s">
        <v>20</v>
      </c>
      <c r="D7" s="57"/>
      <c r="E7" s="29" t="s">
        <v>185</v>
      </c>
      <c r="F7" s="16"/>
      <c r="G7" s="47" t="s">
        <v>202</v>
      </c>
      <c r="H7" s="49"/>
      <c r="I7" s="6" t="s">
        <v>20</v>
      </c>
      <c r="J7" s="49"/>
      <c r="K7" s="45" t="s">
        <v>199</v>
      </c>
      <c r="O7" s="5" t="s">
        <v>192</v>
      </c>
      <c r="P7" s="9" t="s">
        <v>201</v>
      </c>
      <c r="R7" s="202" t="s">
        <v>30</v>
      </c>
      <c r="S7" s="203"/>
      <c r="T7" s="204"/>
      <c r="V7" s="179" t="s">
        <v>28</v>
      </c>
      <c r="W7" s="180"/>
      <c r="X7" s="181"/>
    </row>
    <row r="8" spans="1:24" x14ac:dyDescent="0.3">
      <c r="A8" s="56" t="s">
        <v>186</v>
      </c>
      <c r="B8" s="57"/>
      <c r="C8" s="58" t="s">
        <v>20</v>
      </c>
      <c r="D8" s="57"/>
      <c r="E8" s="29" t="s">
        <v>183</v>
      </c>
      <c r="F8" s="16"/>
      <c r="G8" s="47" t="s">
        <v>200</v>
      </c>
      <c r="H8" s="49"/>
      <c r="I8" s="6" t="s">
        <v>20</v>
      </c>
      <c r="J8" s="49"/>
      <c r="K8" s="45" t="s">
        <v>201</v>
      </c>
      <c r="O8" s="5" t="s">
        <v>191</v>
      </c>
      <c r="P8" s="9" t="s">
        <v>213</v>
      </c>
      <c r="R8" s="158">
        <f>V12*0.3</f>
        <v>126</v>
      </c>
      <c r="S8" s="159"/>
      <c r="T8" s="160"/>
      <c r="V8" s="173">
        <v>20</v>
      </c>
      <c r="W8" s="174"/>
      <c r="X8" s="175"/>
    </row>
    <row r="9" spans="1:24" ht="15.6" x14ac:dyDescent="0.3">
      <c r="A9" s="147" t="s">
        <v>1</v>
      </c>
      <c r="B9" s="148"/>
      <c r="C9" s="148"/>
      <c r="D9" s="148"/>
      <c r="E9" s="148"/>
      <c r="F9" s="16"/>
      <c r="G9" s="148" t="s">
        <v>22</v>
      </c>
      <c r="H9" s="148"/>
      <c r="I9" s="148"/>
      <c r="J9" s="148"/>
      <c r="K9" s="171"/>
      <c r="O9" s="5" t="s">
        <v>194</v>
      </c>
      <c r="P9" s="9" t="s">
        <v>185</v>
      </c>
      <c r="R9" s="161"/>
      <c r="S9" s="162"/>
      <c r="T9" s="163"/>
      <c r="V9" s="176"/>
      <c r="W9" s="177"/>
      <c r="X9" s="178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185" t="s">
        <v>31</v>
      </c>
      <c r="S11" s="186"/>
      <c r="T11" s="187"/>
      <c r="V11" s="179" t="s">
        <v>29</v>
      </c>
      <c r="W11" s="180"/>
      <c r="X11" s="181"/>
    </row>
    <row r="12" spans="1:24" ht="15.75" customHeight="1" x14ac:dyDescent="0.3">
      <c r="A12" s="41" t="s">
        <v>190</v>
      </c>
      <c r="B12" s="49">
        <v>1</v>
      </c>
      <c r="C12" s="6" t="s">
        <v>20</v>
      </c>
      <c r="D12" s="49">
        <v>3</v>
      </c>
      <c r="E12" s="43" t="s">
        <v>188</v>
      </c>
      <c r="F12" s="16"/>
      <c r="G12" s="47" t="s">
        <v>206</v>
      </c>
      <c r="H12" s="49">
        <v>3</v>
      </c>
      <c r="I12" s="6" t="s">
        <v>20</v>
      </c>
      <c r="J12" s="49">
        <v>4</v>
      </c>
      <c r="K12" s="45" t="s">
        <v>218</v>
      </c>
      <c r="O12" s="5" t="s">
        <v>189</v>
      </c>
      <c r="P12" s="9" t="s">
        <v>214</v>
      </c>
      <c r="R12" s="158">
        <f>V12*0.2</f>
        <v>84</v>
      </c>
      <c r="S12" s="159"/>
      <c r="T12" s="160"/>
      <c r="V12" s="191">
        <f>V3*V8</f>
        <v>420</v>
      </c>
      <c r="W12" s="168"/>
      <c r="X12" s="192"/>
    </row>
    <row r="13" spans="1:24" ht="15.75" customHeight="1" x14ac:dyDescent="0.3">
      <c r="A13" s="41" t="s">
        <v>187</v>
      </c>
      <c r="B13" s="49">
        <v>0</v>
      </c>
      <c r="C13" s="6" t="s">
        <v>20</v>
      </c>
      <c r="D13" s="49">
        <v>1</v>
      </c>
      <c r="E13" s="43" t="s">
        <v>189</v>
      </c>
      <c r="F13" s="16"/>
      <c r="G13" s="47" t="s">
        <v>203</v>
      </c>
      <c r="H13" s="49">
        <v>4</v>
      </c>
      <c r="I13" s="6" t="s">
        <v>20</v>
      </c>
      <c r="J13" s="49">
        <v>2</v>
      </c>
      <c r="K13" s="45" t="s">
        <v>205</v>
      </c>
      <c r="O13" s="5" t="s">
        <v>195</v>
      </c>
      <c r="P13" s="9" t="s">
        <v>211</v>
      </c>
      <c r="R13" s="161"/>
      <c r="S13" s="162"/>
      <c r="T13" s="163"/>
      <c r="V13" s="193"/>
      <c r="W13" s="194"/>
      <c r="X13" s="195"/>
    </row>
    <row r="14" spans="1:24" ht="15.75" customHeight="1" x14ac:dyDescent="0.3">
      <c r="A14" s="41" t="s">
        <v>190</v>
      </c>
      <c r="B14" s="49"/>
      <c r="C14" s="6" t="s">
        <v>20</v>
      </c>
      <c r="D14" s="49"/>
      <c r="E14" s="43" t="s">
        <v>187</v>
      </c>
      <c r="F14" s="16"/>
      <c r="G14" s="47" t="s">
        <v>206</v>
      </c>
      <c r="H14" s="49"/>
      <c r="I14" s="6" t="s">
        <v>20</v>
      </c>
      <c r="J14" s="49"/>
      <c r="K14" s="45" t="s">
        <v>203</v>
      </c>
      <c r="O14" s="5" t="s">
        <v>198</v>
      </c>
      <c r="P14" s="9" t="s">
        <v>199</v>
      </c>
      <c r="V14" s="93"/>
      <c r="W14" s="106"/>
      <c r="X14" s="11"/>
    </row>
    <row r="15" spans="1:24" x14ac:dyDescent="0.3">
      <c r="A15" s="41" t="s">
        <v>188</v>
      </c>
      <c r="B15" s="49"/>
      <c r="C15" s="6" t="s">
        <v>20</v>
      </c>
      <c r="D15" s="49"/>
      <c r="E15" s="43" t="s">
        <v>189</v>
      </c>
      <c r="F15" s="16"/>
      <c r="G15" s="47" t="s">
        <v>204</v>
      </c>
      <c r="H15" s="49"/>
      <c r="I15" s="6" t="s">
        <v>20</v>
      </c>
      <c r="J15" s="49"/>
      <c r="K15" s="45" t="s">
        <v>205</v>
      </c>
      <c r="O15" s="5" t="s">
        <v>197</v>
      </c>
      <c r="P15" s="9" t="s">
        <v>190</v>
      </c>
      <c r="R15" s="182" t="s">
        <v>216</v>
      </c>
      <c r="S15" s="183"/>
      <c r="T15" s="184"/>
      <c r="V15" s="172"/>
      <c r="W15" s="172"/>
      <c r="X15" s="172"/>
    </row>
    <row r="16" spans="1:24" ht="21" customHeight="1" x14ac:dyDescent="0.3">
      <c r="A16" s="147" t="s">
        <v>2</v>
      </c>
      <c r="B16" s="148"/>
      <c r="C16" s="148"/>
      <c r="D16" s="148"/>
      <c r="E16" s="148"/>
      <c r="F16" s="16"/>
      <c r="G16" s="148" t="s">
        <v>23</v>
      </c>
      <c r="H16" s="148"/>
      <c r="I16" s="148"/>
      <c r="J16" s="148"/>
      <c r="K16" s="171"/>
      <c r="O16" s="5" t="s">
        <v>203</v>
      </c>
      <c r="P16" s="9" t="s">
        <v>205</v>
      </c>
      <c r="R16" s="158">
        <f>V12*0.1</f>
        <v>42</v>
      </c>
      <c r="S16" s="159"/>
      <c r="T16" s="160"/>
      <c r="V16" s="168"/>
      <c r="W16" s="168"/>
      <c r="X16" s="168"/>
    </row>
    <row r="17" spans="1:25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61"/>
      <c r="S17" s="162"/>
      <c r="T17" s="163"/>
      <c r="V17" s="168"/>
      <c r="W17" s="168"/>
      <c r="X17" s="168"/>
    </row>
    <row r="18" spans="1:25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>
        <v>0</v>
      </c>
      <c r="I18" s="6" t="s">
        <v>20</v>
      </c>
      <c r="J18" s="49">
        <v>5</v>
      </c>
      <c r="K18" s="45" t="s">
        <v>210</v>
      </c>
      <c r="O18" s="7" t="s">
        <v>184</v>
      </c>
      <c r="P18" s="10" t="s">
        <v>208</v>
      </c>
    </row>
    <row r="19" spans="1:25" ht="18.600000000000001" thickTop="1" x14ac:dyDescent="0.3">
      <c r="A19" s="41" t="s">
        <v>194</v>
      </c>
      <c r="B19" s="49">
        <v>6</v>
      </c>
      <c r="C19" s="6" t="s">
        <v>20</v>
      </c>
      <c r="D19" s="49">
        <v>0</v>
      </c>
      <c r="E19" s="43" t="s">
        <v>192</v>
      </c>
      <c r="F19" s="16"/>
      <c r="G19" s="47" t="s">
        <v>210</v>
      </c>
      <c r="H19" s="49">
        <v>4</v>
      </c>
      <c r="I19" s="6" t="s">
        <v>20</v>
      </c>
      <c r="J19" s="49">
        <v>1</v>
      </c>
      <c r="K19" s="45" t="s">
        <v>208</v>
      </c>
    </row>
    <row r="20" spans="1:25" x14ac:dyDescent="0.3">
      <c r="A20" s="41" t="s">
        <v>191</v>
      </c>
      <c r="B20" s="49">
        <v>2</v>
      </c>
      <c r="C20" s="6" t="s">
        <v>20</v>
      </c>
      <c r="D20" s="49">
        <v>1</v>
      </c>
      <c r="E20" s="43" t="s">
        <v>193</v>
      </c>
      <c r="F20" s="16"/>
      <c r="G20" s="47" t="s">
        <v>207</v>
      </c>
      <c r="H20" s="49">
        <v>6</v>
      </c>
      <c r="I20" s="6" t="s">
        <v>20</v>
      </c>
      <c r="J20" s="49">
        <v>0</v>
      </c>
      <c r="K20" s="45" t="s">
        <v>209</v>
      </c>
      <c r="O20" s="157" t="s">
        <v>81</v>
      </c>
      <c r="P20" s="157"/>
      <c r="Q20" s="157"/>
      <c r="R20" s="169"/>
      <c r="S20" s="169"/>
      <c r="T20" s="169"/>
    </row>
    <row r="21" spans="1:25" x14ac:dyDescent="0.3">
      <c r="A21" s="41" t="s">
        <v>194</v>
      </c>
      <c r="B21" s="49"/>
      <c r="C21" s="6" t="s">
        <v>20</v>
      </c>
      <c r="D21" s="49"/>
      <c r="E21" s="43" t="s">
        <v>191</v>
      </c>
      <c r="F21" s="16"/>
      <c r="G21" s="47" t="s">
        <v>210</v>
      </c>
      <c r="H21" s="49"/>
      <c r="I21" s="6" t="s">
        <v>20</v>
      </c>
      <c r="J21" s="49"/>
      <c r="K21" s="45" t="s">
        <v>207</v>
      </c>
      <c r="O21" s="157" t="s">
        <v>82</v>
      </c>
      <c r="P21" s="157"/>
      <c r="Q21" s="157"/>
      <c r="R21" s="170"/>
      <c r="S21" s="170"/>
      <c r="T21" s="170"/>
    </row>
    <row r="22" spans="1:25" x14ac:dyDescent="0.3">
      <c r="A22" s="41" t="s">
        <v>192</v>
      </c>
      <c r="B22" s="49"/>
      <c r="C22" s="6" t="s">
        <v>20</v>
      </c>
      <c r="D22" s="49"/>
      <c r="E22" s="43" t="s">
        <v>193</v>
      </c>
      <c r="F22" s="16"/>
      <c r="G22" s="47" t="s">
        <v>208</v>
      </c>
      <c r="H22" s="49"/>
      <c r="I22" s="6" t="s">
        <v>20</v>
      </c>
      <c r="J22" s="49"/>
      <c r="K22" s="45" t="s">
        <v>209</v>
      </c>
    </row>
    <row r="23" spans="1:25" x14ac:dyDescent="0.3">
      <c r="A23" s="147" t="s">
        <v>3</v>
      </c>
      <c r="B23" s="148"/>
      <c r="C23" s="148"/>
      <c r="D23" s="148"/>
      <c r="E23" s="148"/>
      <c r="F23" s="16"/>
      <c r="G23" s="148" t="s">
        <v>24</v>
      </c>
      <c r="H23" s="148"/>
      <c r="I23" s="148"/>
      <c r="J23" s="148"/>
      <c r="K23" s="171"/>
      <c r="S23" s="167" t="s">
        <v>265</v>
      </c>
      <c r="T23" s="167"/>
      <c r="U23" s="167"/>
      <c r="V23" s="167"/>
      <c r="W23" s="167"/>
    </row>
    <row r="24" spans="1:25" x14ac:dyDescent="0.3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47" t="s">
        <v>207</v>
      </c>
      <c r="T24" s="49"/>
      <c r="U24" s="6" t="s">
        <v>20</v>
      </c>
      <c r="V24" s="49"/>
      <c r="W24" s="45" t="s">
        <v>209</v>
      </c>
    </row>
    <row r="25" spans="1:25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149" t="s">
        <v>251</v>
      </c>
      <c r="S25" s="149"/>
      <c r="T25" s="149"/>
      <c r="U25" s="149"/>
      <c r="V25" s="149"/>
      <c r="W25" s="149"/>
    </row>
    <row r="26" spans="1:25" x14ac:dyDescent="0.3">
      <c r="A26" s="41" t="s">
        <v>197</v>
      </c>
      <c r="B26" s="49">
        <v>3</v>
      </c>
      <c r="C26" s="6" t="s">
        <v>20</v>
      </c>
      <c r="D26" s="49">
        <v>1</v>
      </c>
      <c r="E26" s="43" t="s">
        <v>195</v>
      </c>
      <c r="F26" s="16"/>
      <c r="G26" s="47" t="s">
        <v>211</v>
      </c>
      <c r="H26" s="49">
        <v>3</v>
      </c>
      <c r="I26" s="6" t="s">
        <v>20</v>
      </c>
      <c r="J26" s="49">
        <v>1</v>
      </c>
      <c r="K26" s="45" t="s">
        <v>213</v>
      </c>
      <c r="R26" s="150"/>
      <c r="S26" s="150"/>
      <c r="T26" s="150"/>
      <c r="U26" s="150"/>
      <c r="V26" s="150"/>
      <c r="W26" s="150"/>
    </row>
    <row r="27" spans="1:25" ht="18" customHeight="1" x14ac:dyDescent="0.3">
      <c r="A27" s="41" t="s">
        <v>196</v>
      </c>
      <c r="B27" s="49">
        <v>0</v>
      </c>
      <c r="C27" s="6" t="s">
        <v>20</v>
      </c>
      <c r="D27" s="49">
        <v>1</v>
      </c>
      <c r="E27" s="43" t="s">
        <v>198</v>
      </c>
      <c r="F27" s="16"/>
      <c r="G27" s="47" t="s">
        <v>214</v>
      </c>
      <c r="H27" s="49">
        <v>0</v>
      </c>
      <c r="I27" s="6" t="s">
        <v>20</v>
      </c>
      <c r="J27" s="49">
        <v>0</v>
      </c>
      <c r="K27" s="45" t="s">
        <v>212</v>
      </c>
      <c r="R27" s="117" t="s">
        <v>219</v>
      </c>
      <c r="S27" s="118" t="s">
        <v>207</v>
      </c>
      <c r="T27" s="119">
        <v>3</v>
      </c>
      <c r="U27" s="120" t="s">
        <v>33</v>
      </c>
      <c r="V27" s="119">
        <v>1</v>
      </c>
      <c r="W27" s="121" t="s">
        <v>209</v>
      </c>
      <c r="X27" s="105"/>
      <c r="Y27" s="3" t="s">
        <v>266</v>
      </c>
    </row>
    <row r="28" spans="1:25" ht="18" customHeight="1" x14ac:dyDescent="0.3">
      <c r="A28" s="41" t="s">
        <v>198</v>
      </c>
      <c r="B28" s="49"/>
      <c r="C28" s="6" t="s">
        <v>20</v>
      </c>
      <c r="D28" s="49"/>
      <c r="E28" s="43" t="s">
        <v>195</v>
      </c>
      <c r="F28" s="16"/>
      <c r="G28" s="47" t="s">
        <v>214</v>
      </c>
      <c r="H28" s="49"/>
      <c r="I28" s="6" t="s">
        <v>20</v>
      </c>
      <c r="J28" s="49"/>
      <c r="K28" s="45" t="s">
        <v>211</v>
      </c>
      <c r="R28" s="113" t="s">
        <v>222</v>
      </c>
      <c r="S28" s="107" t="s">
        <v>207</v>
      </c>
      <c r="T28" s="115">
        <v>3</v>
      </c>
      <c r="U28" s="108" t="s">
        <v>33</v>
      </c>
      <c r="V28" s="115">
        <v>0</v>
      </c>
      <c r="W28" s="109" t="s">
        <v>209</v>
      </c>
      <c r="X28" s="105"/>
      <c r="Y28" s="3" t="s">
        <v>266</v>
      </c>
    </row>
    <row r="29" spans="1:25" ht="18.600000000000001" customHeight="1" thickBot="1" x14ac:dyDescent="0.35">
      <c r="A29" s="42" t="s">
        <v>196</v>
      </c>
      <c r="B29" s="50"/>
      <c r="C29" s="8" t="s">
        <v>20</v>
      </c>
      <c r="D29" s="50"/>
      <c r="E29" s="44" t="s">
        <v>197</v>
      </c>
      <c r="F29" s="17"/>
      <c r="G29" s="48" t="s">
        <v>212</v>
      </c>
      <c r="H29" s="50"/>
      <c r="I29" s="8" t="s">
        <v>20</v>
      </c>
      <c r="J29" s="50"/>
      <c r="K29" s="46" t="s">
        <v>213</v>
      </c>
      <c r="R29" s="117" t="s">
        <v>221</v>
      </c>
      <c r="S29" s="118" t="s">
        <v>207</v>
      </c>
      <c r="T29" s="119">
        <v>3</v>
      </c>
      <c r="U29" s="120" t="s">
        <v>33</v>
      </c>
      <c r="V29" s="119">
        <v>1</v>
      </c>
      <c r="W29" s="121" t="s">
        <v>209</v>
      </c>
      <c r="X29" s="105"/>
      <c r="Y29" s="3" t="s">
        <v>266</v>
      </c>
    </row>
    <row r="30" spans="1:25" ht="19.2" customHeight="1" thickTop="1" thickBot="1" x14ac:dyDescent="0.35">
      <c r="R30" s="113" t="s">
        <v>223</v>
      </c>
      <c r="S30" s="107" t="s">
        <v>207</v>
      </c>
      <c r="T30" s="115">
        <v>2</v>
      </c>
      <c r="U30" s="108" t="s">
        <v>33</v>
      </c>
      <c r="V30" s="115">
        <v>2</v>
      </c>
      <c r="W30" s="109" t="s">
        <v>209</v>
      </c>
      <c r="X30" s="105"/>
      <c r="Y30" s="3" t="s">
        <v>266</v>
      </c>
    </row>
    <row r="31" spans="1:25" ht="16.2" customHeight="1" thickTop="1" x14ac:dyDescent="0.3">
      <c r="A31" s="144" t="s">
        <v>126</v>
      </c>
      <c r="B31" s="145"/>
      <c r="C31" s="145"/>
      <c r="D31" s="145"/>
      <c r="E31" s="146"/>
      <c r="G31" s="147" t="s">
        <v>129</v>
      </c>
      <c r="H31" s="148"/>
      <c r="I31" s="148"/>
      <c r="J31" s="148"/>
      <c r="K31" s="148"/>
      <c r="R31" s="117" t="s">
        <v>45</v>
      </c>
      <c r="S31" s="118" t="s">
        <v>207</v>
      </c>
      <c r="T31" s="119">
        <v>3</v>
      </c>
      <c r="U31" s="120" t="s">
        <v>33</v>
      </c>
      <c r="V31" s="119">
        <v>0</v>
      </c>
      <c r="W31" s="121" t="s">
        <v>209</v>
      </c>
      <c r="X31" s="105"/>
      <c r="Y31" s="3" t="s">
        <v>266</v>
      </c>
    </row>
    <row r="32" spans="1:25" x14ac:dyDescent="0.3">
      <c r="A32" s="41"/>
      <c r="B32" s="49"/>
      <c r="C32" s="6" t="s">
        <v>33</v>
      </c>
      <c r="D32" s="49"/>
      <c r="E32" s="45"/>
      <c r="G32" s="164"/>
      <c r="H32" s="165"/>
      <c r="I32" s="165"/>
      <c r="J32" s="165"/>
      <c r="K32" s="166"/>
      <c r="R32" s="114" t="s">
        <v>232</v>
      </c>
      <c r="S32" s="110" t="s">
        <v>207</v>
      </c>
      <c r="T32" s="116">
        <v>3</v>
      </c>
      <c r="U32" s="111" t="s">
        <v>33</v>
      </c>
      <c r="V32" s="116">
        <v>1</v>
      </c>
      <c r="W32" s="112" t="s">
        <v>209</v>
      </c>
      <c r="X32" s="105"/>
      <c r="Y32" s="3" t="s">
        <v>266</v>
      </c>
    </row>
    <row r="33" spans="1:25" x14ac:dyDescent="0.3">
      <c r="A33" s="41"/>
      <c r="B33" s="49"/>
      <c r="C33" s="6" t="s">
        <v>33</v>
      </c>
      <c r="D33" s="49"/>
      <c r="E33" s="45"/>
      <c r="R33" s="117" t="s">
        <v>65</v>
      </c>
      <c r="S33" s="118" t="s">
        <v>207</v>
      </c>
      <c r="T33" s="119">
        <v>3</v>
      </c>
      <c r="U33" s="120" t="s">
        <v>33</v>
      </c>
      <c r="V33" s="119">
        <v>0</v>
      </c>
      <c r="W33" s="121" t="s">
        <v>209</v>
      </c>
      <c r="X33" s="105"/>
      <c r="Y33" s="3" t="s">
        <v>266</v>
      </c>
    </row>
    <row r="34" spans="1:25" x14ac:dyDescent="0.3">
      <c r="A34" s="41"/>
      <c r="B34" s="49"/>
      <c r="C34" s="6" t="s">
        <v>33</v>
      </c>
      <c r="D34" s="49"/>
      <c r="E34" s="45"/>
      <c r="G34" s="153" t="s">
        <v>82</v>
      </c>
      <c r="H34" s="154"/>
      <c r="I34" s="154"/>
      <c r="J34" s="154"/>
      <c r="K34" s="154"/>
      <c r="R34" s="114" t="s">
        <v>225</v>
      </c>
      <c r="S34" s="110" t="s">
        <v>207</v>
      </c>
      <c r="T34" s="116">
        <v>2</v>
      </c>
      <c r="U34" s="111" t="s">
        <v>33</v>
      </c>
      <c r="V34" s="116">
        <v>1</v>
      </c>
      <c r="W34" s="112" t="s">
        <v>209</v>
      </c>
      <c r="X34" s="105"/>
      <c r="Y34" s="3" t="s">
        <v>266</v>
      </c>
    </row>
    <row r="35" spans="1:25" x14ac:dyDescent="0.3">
      <c r="A35" s="41"/>
      <c r="B35" s="49"/>
      <c r="C35" s="6" t="s">
        <v>33</v>
      </c>
      <c r="D35" s="49"/>
      <c r="E35" s="45"/>
      <c r="G35" s="155"/>
      <c r="H35" s="155"/>
      <c r="I35" s="155"/>
      <c r="J35" s="155"/>
      <c r="K35" s="155"/>
      <c r="R35" s="117" t="s">
        <v>224</v>
      </c>
      <c r="S35" s="118" t="s">
        <v>207</v>
      </c>
      <c r="T35" s="119">
        <v>3</v>
      </c>
      <c r="U35" s="120" t="s">
        <v>33</v>
      </c>
      <c r="V35" s="119">
        <v>0</v>
      </c>
      <c r="W35" s="121" t="s">
        <v>209</v>
      </c>
      <c r="X35" s="105"/>
      <c r="Y35" s="3" t="s">
        <v>266</v>
      </c>
    </row>
    <row r="36" spans="1:25" x14ac:dyDescent="0.3">
      <c r="A36" s="41"/>
      <c r="B36" s="49"/>
      <c r="C36" s="6" t="s">
        <v>33</v>
      </c>
      <c r="D36" s="49"/>
      <c r="E36" s="45"/>
      <c r="R36" s="114" t="s">
        <v>227</v>
      </c>
      <c r="S36" s="110" t="s">
        <v>207</v>
      </c>
      <c r="T36" s="116">
        <v>1</v>
      </c>
      <c r="U36" s="111" t="s">
        <v>33</v>
      </c>
      <c r="V36" s="116">
        <v>0</v>
      </c>
      <c r="W36" s="112" t="s">
        <v>209</v>
      </c>
      <c r="X36" s="105"/>
      <c r="Y36" s="3" t="s">
        <v>266</v>
      </c>
    </row>
    <row r="37" spans="1:25" x14ac:dyDescent="0.3">
      <c r="A37" s="41"/>
      <c r="B37" s="49"/>
      <c r="C37" s="6" t="s">
        <v>33</v>
      </c>
      <c r="D37" s="49"/>
      <c r="E37" s="45"/>
      <c r="R37" s="117" t="s">
        <v>226</v>
      </c>
      <c r="S37" s="118" t="s">
        <v>207</v>
      </c>
      <c r="T37" s="119">
        <v>3</v>
      </c>
      <c r="U37" s="120" t="s">
        <v>33</v>
      </c>
      <c r="V37" s="119">
        <v>0</v>
      </c>
      <c r="W37" s="121" t="s">
        <v>209</v>
      </c>
      <c r="X37" s="105"/>
      <c r="Y37" s="3" t="s">
        <v>266</v>
      </c>
    </row>
    <row r="38" spans="1:25" x14ac:dyDescent="0.3">
      <c r="A38" s="41"/>
      <c r="B38" s="49"/>
      <c r="C38" s="6" t="s">
        <v>33</v>
      </c>
      <c r="D38" s="49"/>
      <c r="E38" s="45"/>
      <c r="R38" s="114" t="s">
        <v>59</v>
      </c>
      <c r="S38" s="110" t="s">
        <v>207</v>
      </c>
      <c r="T38" s="116">
        <v>4</v>
      </c>
      <c r="U38" s="111" t="s">
        <v>33</v>
      </c>
      <c r="V38" s="116">
        <v>0</v>
      </c>
      <c r="W38" s="112" t="s">
        <v>209</v>
      </c>
      <c r="X38" s="105"/>
      <c r="Y38" s="3" t="s">
        <v>266</v>
      </c>
    </row>
    <row r="39" spans="1:25" ht="18.600000000000001" thickBot="1" x14ac:dyDescent="0.35">
      <c r="A39" s="42"/>
      <c r="B39" s="50"/>
      <c r="C39" s="8" t="s">
        <v>33</v>
      </c>
      <c r="D39" s="50"/>
      <c r="E39" s="46"/>
      <c r="G39" s="156"/>
      <c r="H39" s="156"/>
      <c r="I39" s="156"/>
      <c r="J39" s="156"/>
      <c r="K39" s="156"/>
      <c r="R39" s="117" t="s">
        <v>228</v>
      </c>
      <c r="S39" s="118" t="s">
        <v>207</v>
      </c>
      <c r="T39" s="119">
        <v>3</v>
      </c>
      <c r="U39" s="120" t="s">
        <v>33</v>
      </c>
      <c r="V39" s="119">
        <v>0</v>
      </c>
      <c r="W39" s="121" t="s">
        <v>209</v>
      </c>
      <c r="X39" s="105"/>
      <c r="Y39" s="3" t="s">
        <v>266</v>
      </c>
    </row>
    <row r="40" spans="1:25" ht="19.2" thickTop="1" thickBot="1" x14ac:dyDescent="0.35">
      <c r="G40" s="100"/>
      <c r="H40" s="101"/>
      <c r="I40" s="102"/>
      <c r="J40" s="101"/>
      <c r="K40" s="103"/>
      <c r="R40" s="114" t="s">
        <v>234</v>
      </c>
      <c r="S40" s="110" t="s">
        <v>207</v>
      </c>
      <c r="T40" s="116">
        <v>3</v>
      </c>
      <c r="U40" s="111" t="s">
        <v>33</v>
      </c>
      <c r="V40" s="116">
        <v>0</v>
      </c>
      <c r="W40" s="112" t="s">
        <v>209</v>
      </c>
      <c r="X40" s="105"/>
      <c r="Y40" s="3" t="s">
        <v>266</v>
      </c>
    </row>
    <row r="41" spans="1:25" ht="18.600000000000001" thickTop="1" x14ac:dyDescent="0.3">
      <c r="A41" s="144" t="s">
        <v>95</v>
      </c>
      <c r="B41" s="145"/>
      <c r="C41" s="145"/>
      <c r="D41" s="145"/>
      <c r="E41" s="146"/>
      <c r="G41" s="100"/>
      <c r="H41" s="101"/>
      <c r="I41" s="102"/>
      <c r="J41" s="101"/>
      <c r="K41" s="103"/>
      <c r="R41" s="117" t="s">
        <v>47</v>
      </c>
      <c r="S41" s="118" t="s">
        <v>207</v>
      </c>
      <c r="T41" s="119">
        <v>4</v>
      </c>
      <c r="U41" s="120" t="s">
        <v>33</v>
      </c>
      <c r="V41" s="119">
        <v>0</v>
      </c>
      <c r="W41" s="121" t="s">
        <v>209</v>
      </c>
      <c r="X41" s="105"/>
      <c r="Y41" s="3" t="s">
        <v>266</v>
      </c>
    </row>
    <row r="42" spans="1:25" x14ac:dyDescent="0.3">
      <c r="A42" s="41"/>
      <c r="B42" s="49"/>
      <c r="C42" s="6" t="s">
        <v>33</v>
      </c>
      <c r="D42" s="49"/>
      <c r="E42" s="45"/>
      <c r="G42" s="100"/>
      <c r="H42" s="101"/>
      <c r="I42" s="102"/>
      <c r="J42" s="101"/>
      <c r="K42" s="103"/>
      <c r="R42" s="114" t="s">
        <v>229</v>
      </c>
      <c r="S42" s="110" t="s">
        <v>207</v>
      </c>
      <c r="T42" s="116">
        <v>4</v>
      </c>
      <c r="U42" s="111" t="s">
        <v>33</v>
      </c>
      <c r="V42" s="116">
        <v>0</v>
      </c>
      <c r="W42" s="112" t="s">
        <v>209</v>
      </c>
      <c r="X42" s="105"/>
      <c r="Y42" s="3" t="s">
        <v>266</v>
      </c>
    </row>
    <row r="43" spans="1:25" x14ac:dyDescent="0.3">
      <c r="A43" s="41"/>
      <c r="B43" s="49"/>
      <c r="C43" s="6" t="s">
        <v>33</v>
      </c>
      <c r="D43" s="49"/>
      <c r="E43" s="45"/>
      <c r="G43" s="100"/>
      <c r="H43" s="101"/>
      <c r="I43" s="102"/>
      <c r="J43" s="101"/>
      <c r="K43" s="103"/>
      <c r="R43" s="117" t="s">
        <v>50</v>
      </c>
      <c r="S43" s="118" t="s">
        <v>207</v>
      </c>
      <c r="T43" s="119">
        <v>2</v>
      </c>
      <c r="U43" s="120" t="s">
        <v>33</v>
      </c>
      <c r="V43" s="119">
        <v>0</v>
      </c>
      <c r="W43" s="121" t="s">
        <v>209</v>
      </c>
      <c r="X43" s="105"/>
      <c r="Y43" s="3" t="s">
        <v>266</v>
      </c>
    </row>
    <row r="44" spans="1:25" x14ac:dyDescent="0.3">
      <c r="A44" s="41"/>
      <c r="B44" s="49"/>
      <c r="C44" s="6" t="s">
        <v>33</v>
      </c>
      <c r="D44" s="49"/>
      <c r="E44" s="45"/>
      <c r="G44" s="100"/>
      <c r="H44" s="101"/>
      <c r="I44" s="102"/>
      <c r="J44" s="101"/>
      <c r="K44" s="103"/>
      <c r="R44" s="114" t="s">
        <v>230</v>
      </c>
      <c r="S44" s="110" t="s">
        <v>207</v>
      </c>
      <c r="T44" s="116">
        <v>4</v>
      </c>
      <c r="U44" s="111" t="s">
        <v>33</v>
      </c>
      <c r="V44" s="116">
        <v>0</v>
      </c>
      <c r="W44" s="112" t="s">
        <v>209</v>
      </c>
      <c r="X44" s="105"/>
      <c r="Y44" s="3" t="s">
        <v>266</v>
      </c>
    </row>
    <row r="45" spans="1:25" ht="18.600000000000001" thickBot="1" x14ac:dyDescent="0.35">
      <c r="A45" s="42"/>
      <c r="B45" s="50"/>
      <c r="C45" s="8" t="s">
        <v>33</v>
      </c>
      <c r="D45" s="50"/>
      <c r="E45" s="46"/>
      <c r="G45" s="100"/>
      <c r="H45" s="101"/>
      <c r="I45" s="102"/>
      <c r="J45" s="101"/>
      <c r="K45" s="103"/>
      <c r="R45" s="117" t="s">
        <v>233</v>
      </c>
      <c r="S45" s="118" t="s">
        <v>207</v>
      </c>
      <c r="T45" s="119">
        <v>1</v>
      </c>
      <c r="U45" s="120" t="s">
        <v>33</v>
      </c>
      <c r="V45" s="119">
        <v>0</v>
      </c>
      <c r="W45" s="121" t="s">
        <v>209</v>
      </c>
      <c r="X45" s="105"/>
      <c r="Y45" s="3" t="s">
        <v>266</v>
      </c>
    </row>
    <row r="46" spans="1:25" ht="18.600000000000001" thickTop="1" x14ac:dyDescent="0.3">
      <c r="G46" s="100"/>
      <c r="H46" s="101"/>
      <c r="I46" s="102"/>
      <c r="J46" s="101"/>
      <c r="K46" s="103"/>
      <c r="R46" s="114" t="s">
        <v>246</v>
      </c>
      <c r="S46" s="110" t="s">
        <v>207</v>
      </c>
      <c r="T46" s="116">
        <v>3</v>
      </c>
      <c r="U46" s="111" t="s">
        <v>33</v>
      </c>
      <c r="V46" s="116">
        <v>0</v>
      </c>
      <c r="W46" s="112" t="s">
        <v>209</v>
      </c>
      <c r="X46" s="105"/>
      <c r="Y46" s="3" t="s">
        <v>266</v>
      </c>
    </row>
    <row r="47" spans="1:25" x14ac:dyDescent="0.3">
      <c r="A47" s="147" t="s">
        <v>96</v>
      </c>
      <c r="B47" s="148"/>
      <c r="C47" s="148"/>
      <c r="D47" s="148"/>
      <c r="E47" s="148"/>
      <c r="G47" s="100"/>
      <c r="H47" s="101"/>
      <c r="I47" s="102"/>
      <c r="J47" s="101"/>
      <c r="K47" s="103"/>
      <c r="R47" s="117" t="s">
        <v>247</v>
      </c>
      <c r="S47" s="118" t="s">
        <v>207</v>
      </c>
      <c r="T47" s="119">
        <v>2</v>
      </c>
      <c r="U47" s="120" t="s">
        <v>33</v>
      </c>
      <c r="V47" s="119">
        <v>1</v>
      </c>
      <c r="W47" s="121" t="s">
        <v>209</v>
      </c>
      <c r="X47" s="105"/>
      <c r="Y47" s="3" t="s">
        <v>266</v>
      </c>
    </row>
    <row r="48" spans="1:25" x14ac:dyDescent="0.3">
      <c r="A48" s="41"/>
      <c r="B48" s="49"/>
      <c r="C48" s="6" t="s">
        <v>33</v>
      </c>
      <c r="D48" s="49"/>
      <c r="E48" s="43"/>
      <c r="G48" s="100"/>
      <c r="H48" s="101"/>
      <c r="I48" s="102"/>
      <c r="J48" s="101"/>
      <c r="K48" s="103"/>
    </row>
    <row r="49" spans="1:11" x14ac:dyDescent="0.3">
      <c r="A49" s="41"/>
      <c r="B49" s="49"/>
      <c r="C49" s="6" t="s">
        <v>33</v>
      </c>
      <c r="D49" s="49"/>
      <c r="E49" s="43"/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47" t="s">
        <v>97</v>
      </c>
      <c r="B51" s="148"/>
      <c r="C51" s="148"/>
      <c r="D51" s="148"/>
      <c r="E51" s="148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151" t="s">
        <v>98</v>
      </c>
      <c r="B54" s="152"/>
      <c r="C54" s="152"/>
      <c r="D54" s="152"/>
      <c r="E54" s="152"/>
      <c r="G54" s="100"/>
      <c r="H54" s="101"/>
      <c r="I54" s="102"/>
      <c r="J54" s="101"/>
      <c r="K54" s="103"/>
    </row>
    <row r="55" spans="1:11" x14ac:dyDescent="0.3">
      <c r="A55" s="41"/>
      <c r="B55" s="49"/>
      <c r="C55" s="6" t="s">
        <v>33</v>
      </c>
      <c r="D55" s="49"/>
      <c r="E55" s="43"/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2">
    <mergeCell ref="A1:K1"/>
    <mergeCell ref="O2:P2"/>
    <mergeCell ref="A2:E2"/>
    <mergeCell ref="A9:E9"/>
    <mergeCell ref="A16:E16"/>
    <mergeCell ref="G2:K2"/>
    <mergeCell ref="G9:K9"/>
    <mergeCell ref="G16:K16"/>
    <mergeCell ref="V2:X2"/>
    <mergeCell ref="V7:X7"/>
    <mergeCell ref="R2:T2"/>
    <mergeCell ref="V12:X13"/>
    <mergeCell ref="V3:X5"/>
    <mergeCell ref="R7:T7"/>
    <mergeCell ref="R3:T5"/>
    <mergeCell ref="V15:X15"/>
    <mergeCell ref="V8:X9"/>
    <mergeCell ref="V11:X11"/>
    <mergeCell ref="R15:T15"/>
    <mergeCell ref="R11:T11"/>
    <mergeCell ref="R12:T13"/>
    <mergeCell ref="R8:T9"/>
    <mergeCell ref="A23:E23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A41:E41"/>
    <mergeCell ref="A47:E47"/>
    <mergeCell ref="R25:W26"/>
    <mergeCell ref="A51:E51"/>
    <mergeCell ref="A54:E54"/>
    <mergeCell ref="G34:K34"/>
    <mergeCell ref="G35:K35"/>
    <mergeCell ref="G39:K3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tabSelected="1"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219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J6" s="71" t="s">
        <v>220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J7" s="71" t="s">
        <v>220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IF(Tabela!F9="","",Tabela!F9)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4" t="s">
        <v>80</v>
      </c>
      <c r="X9" s="134"/>
      <c r="Y9" s="134"/>
      <c r="Z9" s="134"/>
      <c r="AA9" s="134"/>
      <c r="AB9" s="134"/>
      <c r="AC9" s="134"/>
      <c r="AD9" s="134"/>
      <c r="AE9" s="1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4" t="s">
        <v>184</v>
      </c>
      <c r="X10" s="134"/>
      <c r="Y10" s="134"/>
      <c r="Z10" s="2">
        <v>2</v>
      </c>
      <c r="AB10" s="2">
        <v>1</v>
      </c>
      <c r="AC10" s="134" t="s">
        <v>186</v>
      </c>
      <c r="AD10" s="134"/>
      <c r="AE10" s="13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300</v>
      </c>
      <c r="R11" s="215"/>
      <c r="S11" s="215"/>
      <c r="T11" s="215"/>
      <c r="U11" s="215"/>
      <c r="W11" s="134" t="s">
        <v>189</v>
      </c>
      <c r="X11" s="134"/>
      <c r="Y11" s="134"/>
      <c r="Z11" s="2">
        <v>2</v>
      </c>
      <c r="AB11" s="2">
        <v>1</v>
      </c>
      <c r="AC11" s="134" t="s">
        <v>190</v>
      </c>
      <c r="AD11" s="134"/>
      <c r="AE11" s="134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4" t="s">
        <v>191</v>
      </c>
      <c r="X12" s="134"/>
      <c r="Y12" s="134"/>
      <c r="Z12" s="2">
        <v>2</v>
      </c>
      <c r="AB12" s="2">
        <v>1</v>
      </c>
      <c r="AC12" s="134" t="s">
        <v>193</v>
      </c>
      <c r="AD12" s="134"/>
      <c r="AE12" s="13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">
        <v>220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5"/>
      <c r="R13" s="215"/>
      <c r="S13" s="215"/>
      <c r="T13" s="215"/>
      <c r="U13" s="215"/>
      <c r="W13" s="134" t="s">
        <v>197</v>
      </c>
      <c r="X13" s="134"/>
      <c r="Y13" s="134"/>
      <c r="Z13" s="2">
        <v>2</v>
      </c>
      <c r="AB13" s="2">
        <v>0</v>
      </c>
      <c r="AC13" s="134" t="s">
        <v>198</v>
      </c>
      <c r="AD13" s="134"/>
      <c r="AE13" s="13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">
        <v>220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4"/>
      <c r="X14" s="134"/>
      <c r="Y14" s="134"/>
      <c r="AC14" s="134"/>
      <c r="AD14" s="134"/>
      <c r="AE14" s="134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4"/>
      <c r="X15" s="134"/>
      <c r="Y15" s="134"/>
      <c r="AC15" s="134"/>
      <c r="AD15" s="134"/>
      <c r="AE15" s="134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4"/>
      <c r="X16" s="134"/>
      <c r="Y16" s="134"/>
      <c r="AC16" s="134"/>
      <c r="AD16" s="134"/>
      <c r="AE16" s="13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4"/>
      <c r="X17" s="134"/>
      <c r="Y17" s="134"/>
      <c r="AC17" s="134"/>
      <c r="AD17" s="134"/>
      <c r="AE17" s="134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4"/>
      <c r="X18" s="134"/>
      <c r="Y18" s="134"/>
      <c r="AC18" s="134"/>
      <c r="AD18" s="134"/>
      <c r="AE18" s="13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5</v>
      </c>
      <c r="S19" s="18">
        <v>10</v>
      </c>
      <c r="T19" s="18">
        <v>5</v>
      </c>
      <c r="U19" s="18">
        <v>8</v>
      </c>
      <c r="W19" s="134"/>
      <c r="X19" s="134"/>
      <c r="Y19" s="134"/>
      <c r="AC19" s="134"/>
      <c r="AD19" s="134"/>
      <c r="AE19" s="13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">
        <v>220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4"/>
      <c r="X20" s="134"/>
      <c r="Y20" s="134"/>
      <c r="AC20" s="134"/>
      <c r="AD20" s="134"/>
      <c r="AE20" s="134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">
        <v>220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7" t="s">
        <v>26</v>
      </c>
      <c r="R21" s="217"/>
      <c r="S21" s="218" t="s">
        <v>187</v>
      </c>
      <c r="T21" s="218"/>
      <c r="U21" s="218" t="s">
        <v>211</v>
      </c>
      <c r="V21" s="218"/>
      <c r="W21" s="134"/>
      <c r="X21" s="134"/>
      <c r="Y21" s="134"/>
      <c r="AC21" s="134"/>
      <c r="AD21" s="134"/>
      <c r="AE21" s="134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IF(Tabela!F23="","",Tabela!F23)</f>
        <v/>
      </c>
      <c r="K22" s="214" t="s">
        <v>40</v>
      </c>
      <c r="L22" s="214"/>
      <c r="M22" s="214"/>
      <c r="N22" s="214"/>
      <c r="O22" s="214"/>
      <c r="Q22" s="217" t="s">
        <v>25</v>
      </c>
      <c r="R22" s="217"/>
      <c r="S22" s="219" t="s">
        <v>84</v>
      </c>
      <c r="T22" s="219"/>
      <c r="U22" s="219" t="s">
        <v>85</v>
      </c>
      <c r="V22" s="219"/>
      <c r="W22" s="134"/>
      <c r="X22" s="134"/>
      <c r="Y22" s="134"/>
      <c r="AC22" s="134"/>
      <c r="AD22" s="134"/>
      <c r="AE22" s="134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4"/>
      <c r="X23" s="134"/>
      <c r="Y23" s="134"/>
      <c r="AC23" s="134"/>
      <c r="AD23" s="134"/>
      <c r="AE23" s="13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4"/>
      <c r="X24" s="134"/>
      <c r="Y24" s="134"/>
      <c r="AC24" s="134"/>
      <c r="AD24" s="134"/>
      <c r="AE24" s="13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4"/>
      <c r="X25" s="134"/>
      <c r="Y25" s="134"/>
      <c r="AC25" s="134"/>
      <c r="AD25" s="134"/>
      <c r="AE25" s="13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4"/>
      <c r="X26" s="134"/>
      <c r="Y26" s="134"/>
      <c r="AC26" s="134"/>
      <c r="AD26" s="134"/>
      <c r="AE26" s="13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">
        <v>220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4"/>
      <c r="X27" s="134"/>
      <c r="Y27" s="134"/>
      <c r="Z27" s="19"/>
      <c r="AC27" s="134"/>
      <c r="AD27" s="134"/>
      <c r="AE27" s="13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">
        <v>220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4"/>
      <c r="X28" s="134"/>
      <c r="Y28" s="134"/>
      <c r="AC28" s="134"/>
      <c r="AD28" s="134"/>
      <c r="AE28" s="134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4"/>
      <c r="X29" s="134"/>
      <c r="Y29" s="134"/>
      <c r="AC29" s="134"/>
      <c r="AD29" s="134"/>
      <c r="AE29" s="13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4"/>
      <c r="X30" s="134"/>
      <c r="Y30" s="134"/>
      <c r="AC30" s="134"/>
      <c r="AD30" s="134"/>
      <c r="AE30" s="13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">
        <v>220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">
        <v>220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IF(Tabela!L9="","",Tabela!L9)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J41" s="71" t="s">
        <v>220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J42" s="71" t="s">
        <v>220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IF(Tabela!L16="","",Tabela!L16)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">
        <v>220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J49" s="71" t="s">
        <v>220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IF(Tabela!L23="","",Tabela!L23)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">
        <v>220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">
        <v>220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0" t="str">
        <f>_xlfn.CONCAT(W2,A57)</f>
        <v>Ivan Alex - Oitavas de Final</v>
      </c>
      <c r="B58" s="210"/>
      <c r="C58" s="210"/>
      <c r="D58" s="210"/>
      <c r="E58" s="210"/>
      <c r="K58" s="211" t="s">
        <v>126</v>
      </c>
      <c r="L58" s="211"/>
      <c r="M58" s="211"/>
      <c r="N58" s="211"/>
      <c r="O58" s="211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">
        <v>220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">
        <v>220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">
        <v>220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">
        <v>220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">
        <v>220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">
        <v>220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">
        <v>220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">
        <v>220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10" t="str">
        <f>_xlfn.CONCAT(W2,A67)</f>
        <v>Ivan Alex - Quartas de Final</v>
      </c>
      <c r="B68" s="210"/>
      <c r="C68" s="210"/>
      <c r="D68" s="210"/>
      <c r="E68" s="210"/>
      <c r="J68" s="71" t="str">
        <f>IF(Tabela!F41="","",Tabela!F41)</f>
        <v/>
      </c>
      <c r="K68" s="211" t="s">
        <v>95</v>
      </c>
      <c r="L68" s="211"/>
      <c r="M68" s="211"/>
      <c r="N68" s="211"/>
      <c r="O68" s="211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">
        <v>220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">
        <v>220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">
        <v>220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">
        <v>220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0" t="str">
        <f>_xlfn.CONCAT(W$2,A73)</f>
        <v>Ivan Alex - Semi Final</v>
      </c>
      <c r="B74" s="210"/>
      <c r="C74" s="210"/>
      <c r="D74" s="210"/>
      <c r="E74" s="210"/>
      <c r="J74" s="71" t="str">
        <f>IF(Tabela!F47="","",Tabela!F47)</f>
        <v/>
      </c>
      <c r="K74" s="211" t="s">
        <v>96</v>
      </c>
      <c r="L74" s="211"/>
      <c r="M74" s="211"/>
      <c r="N74" s="211"/>
      <c r="O74" s="211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">
        <v>220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">
        <v>220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0" t="str">
        <f>_xlfn.CONCAT(W$2,A77)</f>
        <v>Ivan Alex - Final</v>
      </c>
      <c r="B78" s="210"/>
      <c r="C78" s="210"/>
      <c r="D78" s="210"/>
      <c r="E78" s="210"/>
      <c r="J78" s="71" t="str">
        <f>IF(Tabela!F54="","",Tabela!F54)</f>
        <v/>
      </c>
      <c r="K78" s="211" t="s">
        <v>98</v>
      </c>
      <c r="L78" s="211"/>
      <c r="M78" s="211"/>
      <c r="N78" s="211"/>
      <c r="O78" s="211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">
        <v>220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W9:AD9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4:Y14"/>
    <mergeCell ref="AC14:AE14"/>
    <mergeCell ref="W16:Y16"/>
    <mergeCell ref="AC16:AE16"/>
    <mergeCell ref="W17:Y17"/>
    <mergeCell ref="AC17:AE17"/>
    <mergeCell ref="A68:E68"/>
    <mergeCell ref="K68:O68"/>
    <mergeCell ref="A15:E15"/>
    <mergeCell ref="K8:O8"/>
    <mergeCell ref="A58:E58"/>
    <mergeCell ref="K58:O58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AC10:AE10"/>
    <mergeCell ref="W12:Y12"/>
    <mergeCell ref="AC12:AE12"/>
    <mergeCell ref="W10:Y10"/>
    <mergeCell ref="AC13:AE13"/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0" t="s">
        <v>35</v>
      </c>
      <c r="B1" s="220"/>
      <c r="C1" s="220"/>
      <c r="D1" s="220"/>
      <c r="E1" s="220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222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20" t="s">
        <v>42</v>
      </c>
      <c r="B8" s="220"/>
      <c r="C8" s="220"/>
      <c r="D8" s="220"/>
      <c r="E8" s="220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4" t="s">
        <v>80</v>
      </c>
      <c r="X9" s="134"/>
      <c r="Y9" s="134"/>
      <c r="Z9" s="134"/>
      <c r="AA9" s="134"/>
      <c r="AB9" s="134"/>
      <c r="AC9" s="134"/>
      <c r="AD9" s="134"/>
      <c r="AE9" s="13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4" t="s">
        <v>195</v>
      </c>
      <c r="X10" s="134"/>
      <c r="Y10" s="134"/>
      <c r="Z10" s="2">
        <v>2</v>
      </c>
      <c r="AB10" s="2">
        <v>0</v>
      </c>
      <c r="AC10" s="134" t="s">
        <v>196</v>
      </c>
      <c r="AD10" s="134"/>
      <c r="AE10" s="13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275</v>
      </c>
      <c r="R11" s="215"/>
      <c r="S11" s="215"/>
      <c r="T11" s="215"/>
      <c r="U11" s="215"/>
      <c r="W11" s="134"/>
      <c r="X11" s="134"/>
      <c r="Y11" s="134"/>
      <c r="AC11" s="134"/>
      <c r="AD11" s="134"/>
      <c r="AE11" s="134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4"/>
      <c r="X12" s="134"/>
      <c r="Y12" s="134"/>
      <c r="AC12" s="134"/>
      <c r="AD12" s="134"/>
      <c r="AE12" s="134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5"/>
      <c r="R13" s="215"/>
      <c r="S13" s="215"/>
      <c r="T13" s="215"/>
      <c r="U13" s="215"/>
      <c r="W13" s="134"/>
      <c r="X13" s="134"/>
      <c r="Y13" s="134"/>
      <c r="AC13" s="134"/>
      <c r="AD13" s="134"/>
      <c r="AE13" s="13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4"/>
      <c r="X14" s="134"/>
      <c r="Y14" s="134"/>
      <c r="AC14" s="134"/>
      <c r="AD14" s="134"/>
      <c r="AE14" s="134"/>
      <c r="BD14" s="1">
        <v>5</v>
      </c>
    </row>
    <row r="15" spans="1:56" x14ac:dyDescent="0.3">
      <c r="A15" s="220" t="s">
        <v>41</v>
      </c>
      <c r="B15" s="220"/>
      <c r="C15" s="220"/>
      <c r="D15" s="220"/>
      <c r="E15" s="220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4"/>
      <c r="X15" s="134"/>
      <c r="Y15" s="134"/>
      <c r="AC15" s="134"/>
      <c r="AD15" s="134"/>
      <c r="AE15" s="134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4"/>
      <c r="X16" s="134"/>
      <c r="Y16" s="134"/>
      <c r="AC16" s="134"/>
      <c r="AD16" s="134"/>
      <c r="AE16" s="13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4"/>
      <c r="X17" s="134"/>
      <c r="Y17" s="134"/>
      <c r="AC17" s="134"/>
      <c r="AD17" s="134"/>
      <c r="AE17" s="13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4"/>
      <c r="X18" s="134"/>
      <c r="Y18" s="134"/>
      <c r="AC18" s="134"/>
      <c r="AD18" s="134"/>
      <c r="AE18" s="13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9</v>
      </c>
      <c r="S19" s="18">
        <v>8</v>
      </c>
      <c r="T19" s="18">
        <v>7</v>
      </c>
      <c r="U19" s="18">
        <v>7</v>
      </c>
      <c r="W19" s="134"/>
      <c r="X19" s="134"/>
      <c r="Y19" s="134"/>
      <c r="AC19" s="134"/>
      <c r="AD19" s="134"/>
      <c r="AE19" s="13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4"/>
      <c r="X20" s="134"/>
      <c r="Y20" s="134"/>
      <c r="AC20" s="134"/>
      <c r="AD20" s="134"/>
      <c r="AE20" s="13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7" t="s">
        <v>26</v>
      </c>
      <c r="R21" s="217"/>
      <c r="S21" s="218" t="s">
        <v>207</v>
      </c>
      <c r="T21" s="218"/>
      <c r="U21" s="218" t="s">
        <v>211</v>
      </c>
      <c r="V21" s="218"/>
      <c r="W21" s="134"/>
      <c r="X21" s="134"/>
      <c r="Y21" s="134"/>
      <c r="AC21" s="134"/>
      <c r="AD21" s="134"/>
      <c r="AE21" s="134"/>
    </row>
    <row r="22" spans="1:31" x14ac:dyDescent="0.3">
      <c r="A22" s="220" t="s">
        <v>40</v>
      </c>
      <c r="B22" s="220"/>
      <c r="C22" s="220"/>
      <c r="D22" s="220"/>
      <c r="E22" s="220"/>
      <c r="J22" s="71" t="str">
        <f>'1.Ivan'!J22</f>
        <v/>
      </c>
      <c r="K22" s="214" t="s">
        <v>40</v>
      </c>
      <c r="L22" s="214"/>
      <c r="M22" s="214"/>
      <c r="N22" s="214"/>
      <c r="O22" s="214"/>
      <c r="Q22" s="217" t="s">
        <v>25</v>
      </c>
      <c r="R22" s="217"/>
      <c r="S22" s="219" t="s">
        <v>237</v>
      </c>
      <c r="T22" s="219"/>
      <c r="U22" s="219" t="s">
        <v>238</v>
      </c>
      <c r="V22" s="219"/>
      <c r="W22" s="134"/>
      <c r="X22" s="134"/>
      <c r="Y22" s="134"/>
      <c r="AC22" s="134"/>
      <c r="AD22" s="134"/>
      <c r="AE22" s="13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4"/>
      <c r="X23" s="134"/>
      <c r="Y23" s="134"/>
      <c r="AC23" s="134"/>
      <c r="AD23" s="134"/>
      <c r="AE23" s="134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4"/>
      <c r="X24" s="134"/>
      <c r="Y24" s="134"/>
      <c r="AC24" s="134"/>
      <c r="AD24" s="134"/>
      <c r="AE24" s="13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4"/>
      <c r="X25" s="134"/>
      <c r="Y25" s="134"/>
      <c r="AC25" s="134"/>
      <c r="AD25" s="134"/>
      <c r="AE25" s="13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4"/>
      <c r="X26" s="134"/>
      <c r="Y26" s="134"/>
      <c r="AC26" s="134"/>
      <c r="AD26" s="134"/>
      <c r="AE26" s="134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4"/>
      <c r="X27" s="134"/>
      <c r="Y27" s="134"/>
      <c r="Z27" s="19"/>
      <c r="AC27" s="134"/>
      <c r="AD27" s="134"/>
      <c r="AE27" s="13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4"/>
      <c r="X28" s="134"/>
      <c r="Y28" s="134"/>
      <c r="AC28" s="134"/>
      <c r="AD28" s="134"/>
      <c r="AE28" s="134"/>
    </row>
    <row r="29" spans="1:31" x14ac:dyDescent="0.3">
      <c r="A29" s="220" t="s">
        <v>39</v>
      </c>
      <c r="B29" s="220"/>
      <c r="C29" s="220"/>
      <c r="D29" s="220"/>
      <c r="E29" s="220"/>
      <c r="K29" s="214" t="s">
        <v>39</v>
      </c>
      <c r="L29" s="214"/>
      <c r="M29" s="214"/>
      <c r="N29" s="214"/>
      <c r="O29" s="214"/>
      <c r="W29" s="134"/>
      <c r="X29" s="134"/>
      <c r="Y29" s="134"/>
      <c r="AC29" s="134"/>
      <c r="AD29" s="134"/>
      <c r="AE29" s="134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4"/>
      <c r="X30" s="134"/>
      <c r="Y30" s="134"/>
      <c r="AC30" s="134"/>
      <c r="AD30" s="134"/>
      <c r="AE30" s="13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0" t="s">
        <v>38</v>
      </c>
      <c r="B36" s="220"/>
      <c r="C36" s="220"/>
      <c r="D36" s="220"/>
      <c r="E36" s="220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0" t="s">
        <v>37</v>
      </c>
      <c r="B43" s="220"/>
      <c r="C43" s="220"/>
      <c r="D43" s="220"/>
      <c r="E43" s="220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0" t="s">
        <v>36</v>
      </c>
      <c r="B50" s="220"/>
      <c r="C50" s="220"/>
      <c r="D50" s="220"/>
      <c r="E50" s="220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0" t="str">
        <f>_xlfn.CONCAT(W2,A57)</f>
        <v>Sérginho - Oitavas de Final</v>
      </c>
      <c r="B58" s="210"/>
      <c r="C58" s="210"/>
      <c r="D58" s="210"/>
      <c r="E58" s="210"/>
      <c r="K58" s="211" t="s">
        <v>126</v>
      </c>
      <c r="L58" s="211"/>
      <c r="M58" s="211"/>
      <c r="N58" s="211"/>
      <c r="O58" s="211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10" t="str">
        <f>_xlfn.CONCAT(W2,A67)</f>
        <v>Sérginho - Quartas de Final</v>
      </c>
      <c r="B68" s="210"/>
      <c r="C68" s="210"/>
      <c r="D68" s="210"/>
      <c r="E68" s="210"/>
      <c r="J68" s="71" t="str">
        <f>'1.Ivan'!J68</f>
        <v/>
      </c>
      <c r="K68" s="211" t="s">
        <v>95</v>
      </c>
      <c r="L68" s="211"/>
      <c r="M68" s="211"/>
      <c r="N68" s="211"/>
      <c r="O68" s="211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0" t="str">
        <f>_xlfn.CONCAT(W$2,A73)</f>
        <v>Sérginho - Semi Final</v>
      </c>
      <c r="B74" s="210"/>
      <c r="C74" s="210"/>
      <c r="D74" s="210"/>
      <c r="E74" s="210"/>
      <c r="J74" s="71" t="str">
        <f>'1.Ivan'!J74</f>
        <v/>
      </c>
      <c r="K74" s="211" t="s">
        <v>96</v>
      </c>
      <c r="L74" s="211"/>
      <c r="M74" s="211"/>
      <c r="N74" s="211"/>
      <c r="O74" s="211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0" t="str">
        <f>_xlfn.CONCAT(W$2,A77)</f>
        <v>Sérginho - Final</v>
      </c>
      <c r="B78" s="210"/>
      <c r="C78" s="210"/>
      <c r="D78" s="210"/>
      <c r="E78" s="210"/>
      <c r="J78" s="71" t="str">
        <f>'1.Ivan'!J78</f>
        <v/>
      </c>
      <c r="K78" s="211" t="s">
        <v>98</v>
      </c>
      <c r="L78" s="211"/>
      <c r="M78" s="211"/>
      <c r="N78" s="211"/>
      <c r="O78" s="211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221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4" t="s">
        <v>80</v>
      </c>
      <c r="X9" s="134"/>
      <c r="Y9" s="134"/>
      <c r="Z9" s="134"/>
      <c r="AA9" s="134"/>
      <c r="AB9" s="134"/>
      <c r="AC9" s="134"/>
      <c r="AD9" s="134"/>
      <c r="AE9" s="13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4" t="s">
        <v>189</v>
      </c>
      <c r="X10" s="134"/>
      <c r="Y10" s="134"/>
      <c r="Z10" s="2">
        <v>2</v>
      </c>
      <c r="AB10" s="2">
        <v>1</v>
      </c>
      <c r="AC10" s="134" t="s">
        <v>190</v>
      </c>
      <c r="AD10" s="134"/>
      <c r="AE10" s="13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330</v>
      </c>
      <c r="R11" s="215"/>
      <c r="S11" s="215"/>
      <c r="T11" s="215"/>
      <c r="U11" s="215"/>
      <c r="W11" s="134" t="s">
        <v>193</v>
      </c>
      <c r="X11" s="134"/>
      <c r="Y11" s="134"/>
      <c r="Z11" s="2">
        <v>2</v>
      </c>
      <c r="AB11" s="2">
        <v>2</v>
      </c>
      <c r="AC11" s="134" t="s">
        <v>194</v>
      </c>
      <c r="AD11" s="134"/>
      <c r="AE11" s="134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4" t="s">
        <v>195</v>
      </c>
      <c r="X12" s="134"/>
      <c r="Y12" s="134"/>
      <c r="Z12" s="2">
        <v>2</v>
      </c>
      <c r="AB12" s="2">
        <v>0</v>
      </c>
      <c r="AC12" s="134" t="s">
        <v>196</v>
      </c>
      <c r="AD12" s="134"/>
      <c r="AE12" s="13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5"/>
      <c r="R13" s="215"/>
      <c r="S13" s="215"/>
      <c r="T13" s="215"/>
      <c r="U13" s="215"/>
      <c r="W13" s="134" t="s">
        <v>197</v>
      </c>
      <c r="X13" s="134"/>
      <c r="Y13" s="134"/>
      <c r="Z13" s="2">
        <v>2</v>
      </c>
      <c r="AB13" s="2">
        <v>0</v>
      </c>
      <c r="AC13" s="134" t="s">
        <v>198</v>
      </c>
      <c r="AD13" s="134"/>
      <c r="AE13" s="13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4" t="s">
        <v>202</v>
      </c>
      <c r="X14" s="134"/>
      <c r="Y14" s="134"/>
      <c r="Z14" s="2">
        <v>2</v>
      </c>
      <c r="AB14" s="2">
        <v>1</v>
      </c>
      <c r="AC14" s="134" t="s">
        <v>200</v>
      </c>
      <c r="AD14" s="134"/>
      <c r="AE14" s="134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4"/>
      <c r="X15" s="134"/>
      <c r="Y15" s="134"/>
      <c r="AC15" s="134"/>
      <c r="AD15" s="134"/>
      <c r="AE15" s="134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4"/>
      <c r="X16" s="134"/>
      <c r="Y16" s="134"/>
      <c r="AC16" s="134"/>
      <c r="AD16" s="134"/>
      <c r="AE16" s="134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4"/>
      <c r="X17" s="134"/>
      <c r="Y17" s="134"/>
      <c r="AC17" s="134"/>
      <c r="AD17" s="134"/>
      <c r="AE17" s="134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4"/>
      <c r="X18" s="134"/>
      <c r="Y18" s="134"/>
      <c r="AC18" s="134"/>
      <c r="AD18" s="134"/>
      <c r="AE18" s="134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6</v>
      </c>
      <c r="S19" s="18">
        <v>9</v>
      </c>
      <c r="T19" s="18">
        <v>5</v>
      </c>
      <c r="U19" s="18">
        <v>7</v>
      </c>
      <c r="W19" s="134"/>
      <c r="X19" s="134"/>
      <c r="Y19" s="134"/>
      <c r="AC19" s="134"/>
      <c r="AD19" s="134"/>
      <c r="AE19" s="13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4"/>
      <c r="X20" s="134"/>
      <c r="Y20" s="134"/>
      <c r="AC20" s="134"/>
      <c r="AD20" s="134"/>
      <c r="AE20" s="13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7" t="s">
        <v>26</v>
      </c>
      <c r="R21" s="217"/>
      <c r="S21" s="218" t="s">
        <v>185</v>
      </c>
      <c r="T21" s="218"/>
      <c r="U21" s="218" t="s">
        <v>187</v>
      </c>
      <c r="V21" s="218"/>
      <c r="W21" s="134"/>
      <c r="X21" s="134"/>
      <c r="Y21" s="134"/>
      <c r="AC21" s="134"/>
      <c r="AD21" s="134"/>
      <c r="AE21" s="134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17" t="s">
        <v>25</v>
      </c>
      <c r="R22" s="217"/>
      <c r="S22" s="219" t="s">
        <v>239</v>
      </c>
      <c r="T22" s="219"/>
      <c r="U22" s="219" t="s">
        <v>237</v>
      </c>
      <c r="V22" s="219"/>
      <c r="W22" s="134"/>
      <c r="X22" s="134"/>
      <c r="Y22" s="134"/>
      <c r="AC22" s="134"/>
      <c r="AD22" s="134"/>
      <c r="AE22" s="13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4"/>
      <c r="X23" s="134"/>
      <c r="Y23" s="134"/>
      <c r="AC23" s="134"/>
      <c r="AD23" s="134"/>
      <c r="AE23" s="13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4"/>
      <c r="X24" s="134"/>
      <c r="Y24" s="134"/>
      <c r="AC24" s="134"/>
      <c r="AD24" s="134"/>
      <c r="AE24" s="134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Q25"/>
      <c r="W25" s="134"/>
      <c r="X25" s="134"/>
      <c r="Y25" s="134"/>
      <c r="AC25" s="134"/>
      <c r="AD25" s="134"/>
      <c r="AE25" s="13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Q26"/>
      <c r="W26" s="134"/>
      <c r="X26" s="134"/>
      <c r="Y26" s="134"/>
      <c r="AC26" s="134"/>
      <c r="AD26" s="134"/>
      <c r="AE26" s="13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Q27"/>
      <c r="W27" s="134"/>
      <c r="X27" s="134"/>
      <c r="Y27" s="134"/>
      <c r="Z27" s="19"/>
      <c r="AC27" s="134"/>
      <c r="AD27" s="134"/>
      <c r="AE27" s="13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Q28"/>
      <c r="W28" s="134"/>
      <c r="X28" s="134"/>
      <c r="Y28" s="134"/>
      <c r="AC28" s="134"/>
      <c r="AD28" s="134"/>
      <c r="AE28" s="134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Q29"/>
      <c r="W29" s="134"/>
      <c r="X29" s="134"/>
      <c r="Y29" s="134"/>
      <c r="AC29" s="134"/>
      <c r="AD29" s="134"/>
      <c r="AE29" s="13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34"/>
      <c r="X30" s="134"/>
      <c r="Y30" s="134"/>
      <c r="AC30" s="134"/>
      <c r="AD30" s="134"/>
      <c r="AE30" s="13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22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0" t="str">
        <f>_xlfn.CONCAT(W2,A57)</f>
        <v>Jean Carlos - Oitavas de Final</v>
      </c>
      <c r="B58" s="210"/>
      <c r="C58" s="210"/>
      <c r="D58" s="210"/>
      <c r="E58" s="210"/>
      <c r="K58" s="211" t="s">
        <v>126</v>
      </c>
      <c r="L58" s="211"/>
      <c r="M58" s="211"/>
      <c r="N58" s="211"/>
      <c r="O58" s="211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0" t="str">
        <f>_xlfn.CONCAT(W2,A67)</f>
        <v>Jean Carlos - Quartas de Final</v>
      </c>
      <c r="B68" s="210"/>
      <c r="C68" s="210"/>
      <c r="D68" s="210"/>
      <c r="E68" s="210"/>
      <c r="J68" s="71" t="str">
        <f>'1.Ivan'!J68</f>
        <v/>
      </c>
      <c r="K68" s="211" t="s">
        <v>95</v>
      </c>
      <c r="L68" s="211"/>
      <c r="M68" s="211"/>
      <c r="N68" s="211"/>
      <c r="O68" s="211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0" t="str">
        <f>_xlfn.CONCAT(W$2,A73)</f>
        <v>Jean Carlos - Semi Final</v>
      </c>
      <c r="B74" s="210"/>
      <c r="C74" s="210"/>
      <c r="D74" s="210"/>
      <c r="E74" s="210"/>
      <c r="J74" s="71" t="str">
        <f>'1.Ivan'!J74</f>
        <v/>
      </c>
      <c r="K74" s="211" t="s">
        <v>96</v>
      </c>
      <c r="L74" s="211"/>
      <c r="M74" s="211"/>
      <c r="N74" s="211"/>
      <c r="O74" s="211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0" t="str">
        <f>_xlfn.CONCAT(W$2,A77)</f>
        <v>Jean Carlos - Final</v>
      </c>
      <c r="B78" s="210"/>
      <c r="C78" s="210"/>
      <c r="D78" s="210"/>
      <c r="E78" s="210"/>
      <c r="J78" s="71" t="str">
        <f>'1.Ivan'!J78</f>
        <v/>
      </c>
      <c r="K78" s="211" t="s">
        <v>98</v>
      </c>
      <c r="L78" s="211"/>
      <c r="M78" s="211"/>
      <c r="N78" s="211"/>
      <c r="O78" s="211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0" t="s">
        <v>35</v>
      </c>
      <c r="B1" s="220"/>
      <c r="C1" s="220"/>
      <c r="D1" s="220"/>
      <c r="E1" s="220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223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20" t="s">
        <v>42</v>
      </c>
      <c r="B8" s="220"/>
      <c r="C8" s="220"/>
      <c r="D8" s="220"/>
      <c r="E8" s="220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4" t="s">
        <v>80</v>
      </c>
      <c r="X9" s="134"/>
      <c r="Y9" s="134"/>
      <c r="Z9" s="134"/>
      <c r="AA9" s="134"/>
      <c r="AB9" s="134"/>
      <c r="AC9" s="134"/>
      <c r="AD9" s="134"/>
      <c r="AE9" s="13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4" t="s">
        <v>189</v>
      </c>
      <c r="X10" s="134"/>
      <c r="Y10" s="134"/>
      <c r="Z10" s="2">
        <v>2</v>
      </c>
      <c r="AB10" s="2">
        <v>1</v>
      </c>
      <c r="AC10" s="134" t="s">
        <v>190</v>
      </c>
      <c r="AD10" s="134"/>
      <c r="AE10" s="13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260</v>
      </c>
      <c r="R11" s="215"/>
      <c r="S11" s="215"/>
      <c r="T11" s="215"/>
      <c r="U11" s="215"/>
      <c r="W11" s="134" t="s">
        <v>207</v>
      </c>
      <c r="X11" s="134"/>
      <c r="Y11" s="134"/>
      <c r="Z11" s="2">
        <v>2</v>
      </c>
      <c r="AB11" s="2">
        <v>0</v>
      </c>
      <c r="AC11" s="134" t="s">
        <v>208</v>
      </c>
      <c r="AD11" s="134"/>
      <c r="AE11" s="134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4"/>
      <c r="X12" s="134"/>
      <c r="Y12" s="134"/>
      <c r="AC12" s="134"/>
      <c r="AD12" s="134"/>
      <c r="AE12" s="13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5"/>
      <c r="R13" s="215"/>
      <c r="S13" s="215"/>
      <c r="T13" s="215"/>
      <c r="U13" s="215"/>
      <c r="W13" s="134"/>
      <c r="X13" s="134"/>
      <c r="Y13" s="134"/>
      <c r="AC13" s="134"/>
      <c r="AD13" s="134"/>
      <c r="AE13" s="13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4"/>
      <c r="X14" s="134"/>
      <c r="Y14" s="134"/>
      <c r="AC14" s="134"/>
      <c r="AD14" s="134"/>
      <c r="AE14" s="134"/>
      <c r="BD14" s="1">
        <v>5</v>
      </c>
    </row>
    <row r="15" spans="1:56" x14ac:dyDescent="0.3">
      <c r="A15" s="220" t="s">
        <v>41</v>
      </c>
      <c r="B15" s="220"/>
      <c r="C15" s="220"/>
      <c r="D15" s="220"/>
      <c r="E15" s="220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4"/>
      <c r="X15" s="134"/>
      <c r="Y15" s="134"/>
      <c r="AC15" s="134"/>
      <c r="AD15" s="134"/>
      <c r="AE15" s="134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4"/>
      <c r="X16" s="134"/>
      <c r="Y16" s="134"/>
      <c r="AC16" s="134"/>
      <c r="AD16" s="134"/>
      <c r="AE16" s="13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4"/>
      <c r="X17" s="134"/>
      <c r="Y17" s="134"/>
      <c r="AC17" s="134"/>
      <c r="AD17" s="134"/>
      <c r="AE17" s="134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4"/>
      <c r="X18" s="134"/>
      <c r="Y18" s="134"/>
      <c r="AC18" s="134"/>
      <c r="AD18" s="134"/>
      <c r="AE18" s="13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5</v>
      </c>
      <c r="S19" s="18">
        <v>11</v>
      </c>
      <c r="T19" s="18">
        <v>5</v>
      </c>
      <c r="U19" s="18">
        <v>9</v>
      </c>
      <c r="W19" s="134"/>
      <c r="X19" s="134"/>
      <c r="Y19" s="134"/>
      <c r="AC19" s="134"/>
      <c r="AD19" s="134"/>
      <c r="AE19" s="13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4"/>
      <c r="X20" s="134"/>
      <c r="Y20" s="134"/>
      <c r="AC20" s="134"/>
      <c r="AD20" s="134"/>
      <c r="AE20" s="13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7" t="s">
        <v>26</v>
      </c>
      <c r="R21" s="217"/>
      <c r="S21" s="218" t="s">
        <v>211</v>
      </c>
      <c r="T21" s="218"/>
      <c r="U21" s="218" t="s">
        <v>187</v>
      </c>
      <c r="V21" s="218"/>
      <c r="W21" s="134"/>
      <c r="X21" s="134"/>
      <c r="Y21" s="134"/>
      <c r="AC21" s="134"/>
      <c r="AD21" s="134"/>
      <c r="AE21" s="134"/>
    </row>
    <row r="22" spans="1:31" x14ac:dyDescent="0.3">
      <c r="A22" s="220" t="s">
        <v>40</v>
      </c>
      <c r="B22" s="220"/>
      <c r="C22" s="220"/>
      <c r="D22" s="220"/>
      <c r="E22" s="220"/>
      <c r="J22" s="71" t="str">
        <f>'1.Ivan'!J22</f>
        <v/>
      </c>
      <c r="K22" s="214" t="s">
        <v>40</v>
      </c>
      <c r="L22" s="214"/>
      <c r="M22" s="214"/>
      <c r="N22" s="214"/>
      <c r="O22" s="214"/>
      <c r="Q22" s="217" t="s">
        <v>25</v>
      </c>
      <c r="R22" s="217"/>
      <c r="S22" s="219" t="s">
        <v>84</v>
      </c>
      <c r="T22" s="219"/>
      <c r="U22" s="219" t="s">
        <v>85</v>
      </c>
      <c r="V22" s="219"/>
      <c r="W22" s="134"/>
      <c r="X22" s="134"/>
      <c r="Y22" s="134"/>
      <c r="AC22" s="134"/>
      <c r="AD22" s="134"/>
      <c r="AE22" s="13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4"/>
      <c r="X23" s="134"/>
      <c r="Y23" s="134"/>
      <c r="AC23" s="134"/>
      <c r="AD23" s="134"/>
      <c r="AE23" s="13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4"/>
      <c r="X24" s="134"/>
      <c r="Y24" s="134"/>
      <c r="AC24" s="134"/>
      <c r="AD24" s="134"/>
      <c r="AE24" s="13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4"/>
      <c r="X25" s="134"/>
      <c r="Y25" s="134"/>
      <c r="AC25" s="134"/>
      <c r="AD25" s="134"/>
      <c r="AE25" s="13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4"/>
      <c r="X26" s="134"/>
      <c r="Y26" s="134"/>
      <c r="AC26" s="134"/>
      <c r="AD26" s="134"/>
      <c r="AE26" s="134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4"/>
      <c r="X27" s="134"/>
      <c r="Y27" s="134"/>
      <c r="Z27" s="19"/>
      <c r="AC27" s="134"/>
      <c r="AD27" s="134"/>
      <c r="AE27" s="134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4"/>
      <c r="X28" s="134"/>
      <c r="Y28" s="134"/>
      <c r="AC28" s="134"/>
      <c r="AD28" s="134"/>
      <c r="AE28" s="134"/>
    </row>
    <row r="29" spans="1:31" x14ac:dyDescent="0.3">
      <c r="A29" s="220" t="s">
        <v>39</v>
      </c>
      <c r="B29" s="220"/>
      <c r="C29" s="220"/>
      <c r="D29" s="220"/>
      <c r="E29" s="220"/>
      <c r="K29" s="214" t="s">
        <v>39</v>
      </c>
      <c r="L29" s="214"/>
      <c r="M29" s="214"/>
      <c r="N29" s="214"/>
      <c r="O29" s="214"/>
      <c r="W29" s="134"/>
      <c r="X29" s="134"/>
      <c r="Y29" s="134"/>
      <c r="AC29" s="134"/>
      <c r="AD29" s="134"/>
      <c r="AE29" s="13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4"/>
      <c r="X30" s="134"/>
      <c r="Y30" s="134"/>
      <c r="AC30" s="134"/>
      <c r="AD30" s="134"/>
      <c r="AE30" s="13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0" t="s">
        <v>38</v>
      </c>
      <c r="B36" s="220"/>
      <c r="C36" s="220"/>
      <c r="D36" s="220"/>
      <c r="E36" s="220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0" t="s">
        <v>37</v>
      </c>
      <c r="B43" s="220"/>
      <c r="C43" s="220"/>
      <c r="D43" s="220"/>
      <c r="E43" s="220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H47" s="2">
        <v>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0" t="s">
        <v>36</v>
      </c>
      <c r="B50" s="220"/>
      <c r="C50" s="220"/>
      <c r="D50" s="220"/>
      <c r="E50" s="220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H53" s="2">
        <v>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0" t="str">
        <f>_xlfn.CONCAT(W2,A57)</f>
        <v>Macélio Henrique - Oitavas de Final</v>
      </c>
      <c r="B58" s="210"/>
      <c r="C58" s="210"/>
      <c r="D58" s="210"/>
      <c r="E58" s="210"/>
      <c r="K58" s="211" t="s">
        <v>126</v>
      </c>
      <c r="L58" s="211"/>
      <c r="M58" s="211"/>
      <c r="N58" s="211"/>
      <c r="O58" s="211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0" t="str">
        <f>_xlfn.CONCAT(W2,A67)</f>
        <v>Macélio Henrique - Quartas de Final</v>
      </c>
      <c r="B68" s="210"/>
      <c r="C68" s="210"/>
      <c r="D68" s="210"/>
      <c r="E68" s="210"/>
      <c r="J68" s="71" t="str">
        <f>'1.Ivan'!J68</f>
        <v/>
      </c>
      <c r="K68" s="211" t="s">
        <v>95</v>
      </c>
      <c r="L68" s="211"/>
      <c r="M68" s="211"/>
      <c r="N68" s="211"/>
      <c r="O68" s="211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0" t="str">
        <f>_xlfn.CONCAT(W$2,A73)</f>
        <v>Macélio Henrique - Semi Final</v>
      </c>
      <c r="B74" s="210"/>
      <c r="C74" s="210"/>
      <c r="D74" s="210"/>
      <c r="E74" s="210"/>
      <c r="J74" s="71" t="str">
        <f>'1.Ivan'!J74</f>
        <v/>
      </c>
      <c r="K74" s="211" t="s">
        <v>96</v>
      </c>
      <c r="L74" s="211"/>
      <c r="M74" s="211"/>
      <c r="N74" s="211"/>
      <c r="O74" s="211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0" t="str">
        <f>_xlfn.CONCAT(W$2,A77)</f>
        <v>Macélio Henrique - Final</v>
      </c>
      <c r="B78" s="210"/>
      <c r="C78" s="210"/>
      <c r="D78" s="210"/>
      <c r="E78" s="210"/>
      <c r="J78" s="71" t="str">
        <f>'1.Ivan'!J78</f>
        <v/>
      </c>
      <c r="K78" s="211" t="s">
        <v>98</v>
      </c>
      <c r="L78" s="211"/>
      <c r="M78" s="211"/>
      <c r="N78" s="211"/>
      <c r="O78" s="211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45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4" t="s">
        <v>80</v>
      </c>
      <c r="X9" s="134"/>
      <c r="Y9" s="134"/>
      <c r="Z9" s="134"/>
      <c r="AA9" s="134"/>
      <c r="AB9" s="134"/>
      <c r="AC9" s="134"/>
      <c r="AD9" s="134"/>
      <c r="AE9" s="134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4" t="s">
        <v>195</v>
      </c>
      <c r="X10" s="134"/>
      <c r="Y10" s="134"/>
      <c r="Z10" s="2">
        <v>2</v>
      </c>
      <c r="AB10" s="2">
        <v>0</v>
      </c>
      <c r="AC10" s="134" t="s">
        <v>196</v>
      </c>
      <c r="AD10" s="134"/>
      <c r="AE10" s="13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240</v>
      </c>
      <c r="R11" s="215"/>
      <c r="S11" s="215"/>
      <c r="T11" s="215"/>
      <c r="U11" s="215"/>
      <c r="W11" s="134" t="s">
        <v>213</v>
      </c>
      <c r="X11" s="134"/>
      <c r="Y11" s="134"/>
      <c r="Z11" s="2">
        <v>1</v>
      </c>
      <c r="AB11" s="2">
        <v>2</v>
      </c>
      <c r="AC11" s="134" t="s">
        <v>214</v>
      </c>
      <c r="AD11" s="134"/>
      <c r="AE11" s="134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4"/>
      <c r="X12" s="134"/>
      <c r="Y12" s="134"/>
      <c r="AC12" s="134"/>
      <c r="AD12" s="134"/>
      <c r="AE12" s="13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5"/>
      <c r="R13" s="215"/>
      <c r="S13" s="215"/>
      <c r="T13" s="215"/>
      <c r="U13" s="215"/>
      <c r="W13" s="134"/>
      <c r="X13" s="134"/>
      <c r="Y13" s="134"/>
      <c r="AC13" s="134"/>
      <c r="AD13" s="134"/>
      <c r="AE13" s="134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4"/>
      <c r="X14" s="134"/>
      <c r="Y14" s="134"/>
      <c r="AC14" s="134"/>
      <c r="AD14" s="134"/>
      <c r="AE14" s="134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4"/>
      <c r="X15" s="134"/>
      <c r="Y15" s="134"/>
      <c r="AC15" s="134"/>
      <c r="AD15" s="134"/>
      <c r="AE15" s="134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4"/>
      <c r="X16" s="134"/>
      <c r="Y16" s="134"/>
      <c r="AC16" s="134"/>
      <c r="AD16" s="134"/>
      <c r="AE16" s="13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4"/>
      <c r="X17" s="134"/>
      <c r="Y17" s="134"/>
      <c r="AC17" s="134"/>
      <c r="AD17" s="134"/>
      <c r="AE17" s="13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4"/>
      <c r="X18" s="134"/>
      <c r="Y18" s="134"/>
      <c r="AC18" s="134"/>
      <c r="AD18" s="134"/>
      <c r="AE18" s="13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7</v>
      </c>
      <c r="S19" s="18">
        <v>6</v>
      </c>
      <c r="T19" s="18">
        <v>5</v>
      </c>
      <c r="U19" s="18">
        <v>12</v>
      </c>
      <c r="W19" s="134"/>
      <c r="X19" s="134"/>
      <c r="Y19" s="134"/>
      <c r="AC19" s="134"/>
      <c r="AD19" s="134"/>
      <c r="AE19" s="13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4"/>
      <c r="X20" s="134"/>
      <c r="Y20" s="134"/>
      <c r="AC20" s="134"/>
      <c r="AD20" s="134"/>
      <c r="AE20" s="13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7" t="s">
        <v>26</v>
      </c>
      <c r="R21" s="217"/>
      <c r="S21" s="218" t="s">
        <v>187</v>
      </c>
      <c r="T21" s="218"/>
      <c r="U21" s="218" t="s">
        <v>211</v>
      </c>
      <c r="V21" s="218"/>
      <c r="W21" s="134"/>
      <c r="X21" s="134"/>
      <c r="Y21" s="134"/>
      <c r="AC21" s="134"/>
      <c r="AD21" s="134"/>
      <c r="AE21" s="134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17" t="s">
        <v>25</v>
      </c>
      <c r="R22" s="217"/>
      <c r="S22" s="219" t="s">
        <v>238</v>
      </c>
      <c r="T22" s="219"/>
      <c r="U22" s="219" t="s">
        <v>84</v>
      </c>
      <c r="V22" s="219"/>
      <c r="W22" s="134"/>
      <c r="X22" s="134"/>
      <c r="Y22" s="134"/>
      <c r="AC22" s="134"/>
      <c r="AD22" s="134"/>
      <c r="AE22" s="13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4"/>
      <c r="X23" s="134"/>
      <c r="Y23" s="134"/>
      <c r="AC23" s="134"/>
      <c r="AD23" s="134"/>
      <c r="AE23" s="13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4"/>
      <c r="X24" s="134"/>
      <c r="Y24" s="134"/>
      <c r="AC24" s="134"/>
      <c r="AD24" s="134"/>
      <c r="AE24" s="13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4"/>
      <c r="X25" s="134"/>
      <c r="Y25" s="134"/>
      <c r="AC25" s="134"/>
      <c r="AD25" s="134"/>
      <c r="AE25" s="13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4"/>
      <c r="X26" s="134"/>
      <c r="Y26" s="134"/>
      <c r="AC26" s="134"/>
      <c r="AD26" s="134"/>
      <c r="AE26" s="13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4"/>
      <c r="X27" s="134"/>
      <c r="Y27" s="134"/>
      <c r="Z27" s="19"/>
      <c r="AC27" s="134"/>
      <c r="AD27" s="134"/>
      <c r="AE27" s="13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4"/>
      <c r="X28" s="134"/>
      <c r="Y28" s="134"/>
      <c r="AC28" s="134"/>
      <c r="AD28" s="134"/>
      <c r="AE28" s="134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4"/>
      <c r="X29" s="134"/>
      <c r="Y29" s="134"/>
      <c r="AC29" s="134"/>
      <c r="AD29" s="134"/>
      <c r="AE29" s="134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4"/>
      <c r="X30" s="134"/>
      <c r="Y30" s="134"/>
      <c r="AC30" s="134"/>
      <c r="AD30" s="134"/>
      <c r="AE30" s="13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H40" s="2">
        <v>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0" t="str">
        <f>_xlfn.CONCAT(W2,A57)</f>
        <v>Macélio - Oitavas de Final</v>
      </c>
      <c r="B58" s="210"/>
      <c r="C58" s="210"/>
      <c r="D58" s="210"/>
      <c r="E58" s="210"/>
      <c r="K58" s="211" t="s">
        <v>126</v>
      </c>
      <c r="L58" s="211"/>
      <c r="M58" s="211"/>
      <c r="N58" s="211"/>
      <c r="O58" s="211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0" t="str">
        <f>_xlfn.CONCAT(W2,A67)</f>
        <v>Macélio - Quartas de Final</v>
      </c>
      <c r="B68" s="210"/>
      <c r="C68" s="210"/>
      <c r="D68" s="210"/>
      <c r="E68" s="210"/>
      <c r="J68" s="71" t="str">
        <f>'1.Ivan'!J68</f>
        <v/>
      </c>
      <c r="K68" s="211" t="s">
        <v>95</v>
      </c>
      <c r="L68" s="211"/>
      <c r="M68" s="211"/>
      <c r="N68" s="211"/>
      <c r="O68" s="211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0" t="str">
        <f>_xlfn.CONCAT(W$2,A73)</f>
        <v>Macélio - Semi Final</v>
      </c>
      <c r="B74" s="210"/>
      <c r="C74" s="210"/>
      <c r="D74" s="210"/>
      <c r="E74" s="210"/>
      <c r="J74" s="71" t="str">
        <f>'1.Ivan'!J74</f>
        <v/>
      </c>
      <c r="K74" s="211" t="s">
        <v>96</v>
      </c>
      <c r="L74" s="211"/>
      <c r="M74" s="211"/>
      <c r="N74" s="211"/>
      <c r="O74" s="211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0" t="str">
        <f>_xlfn.CONCAT(W$2,A77)</f>
        <v>Macélio - Final</v>
      </c>
      <c r="B78" s="210"/>
      <c r="C78" s="210"/>
      <c r="D78" s="210"/>
      <c r="E78" s="210"/>
      <c r="J78" s="71" t="str">
        <f>'1.Ivan'!J78</f>
        <v/>
      </c>
      <c r="K78" s="211" t="s">
        <v>98</v>
      </c>
      <c r="L78" s="211"/>
      <c r="M78" s="211"/>
      <c r="N78" s="211"/>
      <c r="O78" s="211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0" t="s">
        <v>35</v>
      </c>
      <c r="B1" s="220"/>
      <c r="C1" s="220"/>
      <c r="D1" s="220"/>
      <c r="E1" s="220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232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20" t="s">
        <v>42</v>
      </c>
      <c r="B8" s="220"/>
      <c r="C8" s="220"/>
      <c r="D8" s="220"/>
      <c r="E8" s="220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4" t="s">
        <v>80</v>
      </c>
      <c r="X9" s="134"/>
      <c r="Y9" s="134"/>
      <c r="Z9" s="134"/>
      <c r="AA9" s="134"/>
      <c r="AB9" s="134"/>
      <c r="AC9" s="134"/>
      <c r="AD9" s="134"/>
      <c r="AE9" s="13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4" t="s">
        <v>190</v>
      </c>
      <c r="X10" s="134"/>
      <c r="Y10" s="134"/>
      <c r="Z10" s="2">
        <v>1</v>
      </c>
      <c r="AB10" s="2">
        <v>3</v>
      </c>
      <c r="AC10" s="134" t="s">
        <v>188</v>
      </c>
      <c r="AD10" s="134"/>
      <c r="AE10" s="134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360</v>
      </c>
      <c r="R11" s="215"/>
      <c r="S11" s="215"/>
      <c r="T11" s="215"/>
      <c r="U11" s="215"/>
      <c r="W11" s="134" t="s">
        <v>191</v>
      </c>
      <c r="X11" s="134"/>
      <c r="Y11" s="134"/>
      <c r="Z11" s="2">
        <v>2</v>
      </c>
      <c r="AB11" s="2">
        <v>1</v>
      </c>
      <c r="AC11" s="134" t="s">
        <v>193</v>
      </c>
      <c r="AD11" s="134"/>
      <c r="AE11" s="134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4" t="s">
        <v>195</v>
      </c>
      <c r="X12" s="134"/>
      <c r="Y12" s="134"/>
      <c r="Z12" s="2">
        <v>2</v>
      </c>
      <c r="AB12" s="2">
        <v>0</v>
      </c>
      <c r="AC12" s="134" t="s">
        <v>196</v>
      </c>
      <c r="AD12" s="134"/>
      <c r="AE12" s="134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5"/>
      <c r="R13" s="215"/>
      <c r="S13" s="215"/>
      <c r="T13" s="215"/>
      <c r="U13" s="215"/>
      <c r="W13" s="134" t="s">
        <v>199</v>
      </c>
      <c r="X13" s="134"/>
      <c r="Y13" s="134"/>
      <c r="Z13" s="2">
        <v>0</v>
      </c>
      <c r="AB13" s="2">
        <v>0</v>
      </c>
      <c r="AC13" s="134" t="s">
        <v>201</v>
      </c>
      <c r="AD13" s="134"/>
      <c r="AE13" s="13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4" t="s">
        <v>207</v>
      </c>
      <c r="X14" s="134"/>
      <c r="Y14" s="134"/>
      <c r="Z14" s="2">
        <v>2</v>
      </c>
      <c r="AB14" s="2">
        <v>0</v>
      </c>
      <c r="AC14" s="134" t="s">
        <v>208</v>
      </c>
      <c r="AD14" s="134"/>
      <c r="AE14" s="134"/>
      <c r="BD14" s="1">
        <v>5</v>
      </c>
    </row>
    <row r="15" spans="1:56" x14ac:dyDescent="0.3">
      <c r="A15" s="220" t="s">
        <v>41</v>
      </c>
      <c r="B15" s="220"/>
      <c r="C15" s="220"/>
      <c r="D15" s="220"/>
      <c r="E15" s="220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4" t="s">
        <v>214</v>
      </c>
      <c r="X15" s="134"/>
      <c r="Y15" s="134"/>
      <c r="Z15" s="2">
        <v>0</v>
      </c>
      <c r="AB15" s="2">
        <v>0</v>
      </c>
      <c r="AC15" s="134" t="s">
        <v>212</v>
      </c>
      <c r="AD15" s="134"/>
      <c r="AE15" s="134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4"/>
      <c r="X16" s="134"/>
      <c r="Y16" s="134"/>
      <c r="AC16" s="134"/>
      <c r="AD16" s="134"/>
      <c r="AE16" s="134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4"/>
      <c r="X17" s="134"/>
      <c r="Y17" s="134"/>
      <c r="AC17" s="134"/>
      <c r="AD17" s="134"/>
      <c r="AE17" s="13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4"/>
      <c r="X18" s="134"/>
      <c r="Y18" s="134"/>
      <c r="AC18" s="134"/>
      <c r="AD18" s="134"/>
      <c r="AE18" s="13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7</v>
      </c>
      <c r="S19" s="18">
        <v>7</v>
      </c>
      <c r="T19" s="18">
        <v>7</v>
      </c>
      <c r="U19" s="18">
        <v>5</v>
      </c>
      <c r="W19" s="134"/>
      <c r="X19" s="134"/>
      <c r="Y19" s="134"/>
      <c r="AC19" s="134"/>
      <c r="AD19" s="134"/>
      <c r="AE19" s="13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4"/>
      <c r="X20" s="134"/>
      <c r="Y20" s="134"/>
      <c r="AC20" s="134"/>
      <c r="AD20" s="134"/>
      <c r="AE20" s="134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7" t="s">
        <v>26</v>
      </c>
      <c r="R21" s="217"/>
      <c r="S21" s="218" t="s">
        <v>195</v>
      </c>
      <c r="T21" s="218"/>
      <c r="U21" s="218" t="s">
        <v>202</v>
      </c>
      <c r="V21" s="218"/>
      <c r="W21" s="134"/>
      <c r="X21" s="134"/>
      <c r="Y21" s="134"/>
      <c r="AC21" s="134"/>
      <c r="AD21" s="134"/>
      <c r="AE21" s="134"/>
    </row>
    <row r="22" spans="1:31" x14ac:dyDescent="0.3">
      <c r="A22" s="220" t="s">
        <v>40</v>
      </c>
      <c r="B22" s="220"/>
      <c r="C22" s="220"/>
      <c r="D22" s="220"/>
      <c r="E22" s="220"/>
      <c r="J22" s="71" t="str">
        <f>'1.Ivan'!J22</f>
        <v/>
      </c>
      <c r="K22" s="214" t="s">
        <v>40</v>
      </c>
      <c r="L22" s="214"/>
      <c r="M22" s="214"/>
      <c r="N22" s="214"/>
      <c r="O22" s="214"/>
      <c r="Q22" s="217" t="s">
        <v>25</v>
      </c>
      <c r="R22" s="217"/>
      <c r="S22" s="219" t="s">
        <v>84</v>
      </c>
      <c r="T22" s="219"/>
      <c r="U22" s="219" t="s">
        <v>240</v>
      </c>
      <c r="V22" s="219"/>
      <c r="W22" s="134"/>
      <c r="X22" s="134"/>
      <c r="Y22" s="134"/>
      <c r="AC22" s="134"/>
      <c r="AD22" s="134"/>
      <c r="AE22" s="13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4"/>
      <c r="X23" s="134"/>
      <c r="Y23" s="134"/>
      <c r="AC23" s="134"/>
      <c r="AD23" s="134"/>
      <c r="AE23" s="134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4"/>
      <c r="X24" s="134"/>
      <c r="Y24" s="134"/>
      <c r="AC24" s="134"/>
      <c r="AD24" s="134"/>
      <c r="AE24" s="13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4"/>
      <c r="X25" s="134"/>
      <c r="Y25" s="134"/>
      <c r="AC25" s="134"/>
      <c r="AD25" s="134"/>
      <c r="AE25" s="13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4"/>
      <c r="X26" s="134"/>
      <c r="Y26" s="134"/>
      <c r="AC26" s="134"/>
      <c r="AD26" s="134"/>
      <c r="AE26" s="134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4"/>
      <c r="X27" s="134"/>
      <c r="Y27" s="134"/>
      <c r="Z27" s="19"/>
      <c r="AC27" s="134"/>
      <c r="AD27" s="134"/>
      <c r="AE27" s="13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4"/>
      <c r="X28" s="134"/>
      <c r="Y28" s="134"/>
      <c r="AC28" s="134"/>
      <c r="AD28" s="134"/>
      <c r="AE28" s="134"/>
    </row>
    <row r="29" spans="1:31" x14ac:dyDescent="0.3">
      <c r="A29" s="220" t="s">
        <v>39</v>
      </c>
      <c r="B29" s="220"/>
      <c r="C29" s="220"/>
      <c r="D29" s="220"/>
      <c r="E29" s="220"/>
      <c r="K29" s="214" t="s">
        <v>39</v>
      </c>
      <c r="L29" s="214"/>
      <c r="M29" s="214"/>
      <c r="N29" s="214"/>
      <c r="O29" s="214"/>
      <c r="W29" s="134"/>
      <c r="X29" s="134"/>
      <c r="Y29" s="134"/>
      <c r="AC29" s="134"/>
      <c r="AD29" s="134"/>
      <c r="AE29" s="134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4"/>
      <c r="X30" s="134"/>
      <c r="Y30" s="134"/>
      <c r="AC30" s="134"/>
      <c r="AD30" s="134"/>
      <c r="AE30" s="13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0" t="s">
        <v>38</v>
      </c>
      <c r="B36" s="220"/>
      <c r="C36" s="220"/>
      <c r="D36" s="220"/>
      <c r="E36" s="220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0" t="s">
        <v>37</v>
      </c>
      <c r="B43" s="220"/>
      <c r="C43" s="220"/>
      <c r="D43" s="220"/>
      <c r="E43" s="220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0" t="s">
        <v>36</v>
      </c>
      <c r="B50" s="220"/>
      <c r="C50" s="220"/>
      <c r="D50" s="220"/>
      <c r="E50" s="220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0" t="str">
        <f>_xlfn.CONCAT(W2,A57)</f>
        <v>Mateus Aires - Oitavas de Final</v>
      </c>
      <c r="B58" s="210"/>
      <c r="C58" s="210"/>
      <c r="D58" s="210"/>
      <c r="E58" s="210"/>
      <c r="K58" s="211" t="s">
        <v>126</v>
      </c>
      <c r="L58" s="211"/>
      <c r="M58" s="211"/>
      <c r="N58" s="211"/>
      <c r="O58" s="211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0" t="str">
        <f>_xlfn.CONCAT(W2,A67)</f>
        <v>Mateus Aires - Quartas de Final</v>
      </c>
      <c r="B68" s="210"/>
      <c r="C68" s="210"/>
      <c r="D68" s="210"/>
      <c r="E68" s="210"/>
      <c r="J68" s="71" t="str">
        <f>'1.Ivan'!J68</f>
        <v/>
      </c>
      <c r="K68" s="211" t="s">
        <v>95</v>
      </c>
      <c r="L68" s="211"/>
      <c r="M68" s="211"/>
      <c r="N68" s="211"/>
      <c r="O68" s="211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0" t="str">
        <f>_xlfn.CONCAT(W$2,A73)</f>
        <v>Mateus Aires - Semi Final</v>
      </c>
      <c r="B74" s="210"/>
      <c r="C74" s="210"/>
      <c r="D74" s="210"/>
      <c r="E74" s="210"/>
      <c r="J74" s="71" t="str">
        <f>'1.Ivan'!J74</f>
        <v/>
      </c>
      <c r="K74" s="211" t="s">
        <v>96</v>
      </c>
      <c r="L74" s="211"/>
      <c r="M74" s="211"/>
      <c r="N74" s="211"/>
      <c r="O74" s="211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0" t="str">
        <f>_xlfn.CONCAT(W$2,A77)</f>
        <v>Mateus Aires - Final</v>
      </c>
      <c r="B78" s="210"/>
      <c r="C78" s="210"/>
      <c r="D78" s="210"/>
      <c r="E78" s="210"/>
      <c r="J78" s="71" t="str">
        <f>'1.Ivan'!J78</f>
        <v/>
      </c>
      <c r="K78" s="211" t="s">
        <v>98</v>
      </c>
      <c r="L78" s="211"/>
      <c r="M78" s="211"/>
      <c r="N78" s="211"/>
      <c r="O78" s="211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65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4" t="s">
        <v>80</v>
      </c>
      <c r="X9" s="134"/>
      <c r="Y9" s="134"/>
      <c r="Z9" s="134"/>
      <c r="AA9" s="134"/>
      <c r="AB9" s="134"/>
      <c r="AC9" s="134"/>
      <c r="AD9" s="134"/>
      <c r="AE9" s="13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4" t="s">
        <v>185</v>
      </c>
      <c r="X10" s="134"/>
      <c r="Y10" s="134"/>
      <c r="Z10" s="2">
        <v>2</v>
      </c>
      <c r="AB10" s="2">
        <v>0</v>
      </c>
      <c r="AC10" s="134" t="s">
        <v>183</v>
      </c>
      <c r="AD10" s="134"/>
      <c r="AE10" s="134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310</v>
      </c>
      <c r="R11" s="215"/>
      <c r="S11" s="215"/>
      <c r="T11" s="215"/>
      <c r="U11" s="215"/>
      <c r="W11" s="134" t="s">
        <v>197</v>
      </c>
      <c r="X11" s="134"/>
      <c r="Y11" s="134"/>
      <c r="Z11" s="2">
        <v>2</v>
      </c>
      <c r="AB11" s="2">
        <v>0</v>
      </c>
      <c r="AC11" s="134" t="s">
        <v>198</v>
      </c>
      <c r="AD11" s="134"/>
      <c r="AE11" s="134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4" t="s">
        <v>202</v>
      </c>
      <c r="X12" s="134"/>
      <c r="Y12" s="134"/>
      <c r="Z12" s="2">
        <v>2</v>
      </c>
      <c r="AB12" s="2">
        <v>1</v>
      </c>
      <c r="AC12" s="134" t="s">
        <v>200</v>
      </c>
      <c r="AD12" s="134"/>
      <c r="AE12" s="134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5"/>
      <c r="R13" s="215"/>
      <c r="S13" s="215"/>
      <c r="T13" s="215"/>
      <c r="U13" s="215"/>
      <c r="W13" s="134" t="s">
        <v>207</v>
      </c>
      <c r="X13" s="134"/>
      <c r="Y13" s="134"/>
      <c r="Z13" s="2">
        <v>2</v>
      </c>
      <c r="AB13" s="2">
        <v>0</v>
      </c>
      <c r="AC13" s="134" t="s">
        <v>208</v>
      </c>
      <c r="AD13" s="134"/>
      <c r="AE13" s="13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4" t="s">
        <v>213</v>
      </c>
      <c r="X14" s="134"/>
      <c r="Y14" s="134"/>
      <c r="Z14" s="2">
        <v>1</v>
      </c>
      <c r="AB14" s="2">
        <v>2</v>
      </c>
      <c r="AC14" s="134" t="s">
        <v>214</v>
      </c>
      <c r="AD14" s="134"/>
      <c r="AE14" s="134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4"/>
      <c r="X15" s="134"/>
      <c r="Y15" s="134"/>
      <c r="AC15" s="134"/>
      <c r="AD15" s="134"/>
      <c r="AE15" s="134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4"/>
      <c r="X16" s="134"/>
      <c r="Y16" s="134"/>
      <c r="AC16" s="134"/>
      <c r="AD16" s="134"/>
      <c r="AE16" s="134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4"/>
      <c r="X17" s="134"/>
      <c r="Y17" s="134"/>
      <c r="AC17" s="134"/>
      <c r="AD17" s="134"/>
      <c r="AE17" s="134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4"/>
      <c r="X18" s="134"/>
      <c r="Y18" s="134"/>
      <c r="AC18" s="134"/>
      <c r="AD18" s="134"/>
      <c r="AE18" s="13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8</v>
      </c>
      <c r="S19" s="18">
        <v>5</v>
      </c>
      <c r="T19" s="18">
        <v>3</v>
      </c>
      <c r="U19" s="18">
        <v>11</v>
      </c>
      <c r="W19" s="134"/>
      <c r="X19" s="134"/>
      <c r="Y19" s="134"/>
      <c r="AC19" s="134"/>
      <c r="AD19" s="134"/>
      <c r="AE19" s="13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4"/>
      <c r="X20" s="134"/>
      <c r="Y20" s="134"/>
      <c r="AC20" s="134"/>
      <c r="AD20" s="134"/>
      <c r="AE20" s="13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7" t="s">
        <v>26</v>
      </c>
      <c r="R21" s="217"/>
      <c r="S21" s="218" t="s">
        <v>211</v>
      </c>
      <c r="T21" s="218"/>
      <c r="U21" s="218" t="s">
        <v>187</v>
      </c>
      <c r="V21" s="218"/>
      <c r="W21" s="134"/>
      <c r="X21" s="134"/>
      <c r="Y21" s="134"/>
      <c r="AC21" s="134"/>
      <c r="AD21" s="134"/>
      <c r="AE21" s="134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17" t="s">
        <v>25</v>
      </c>
      <c r="R22" s="217"/>
      <c r="S22" s="219" t="s">
        <v>84</v>
      </c>
      <c r="T22" s="219"/>
      <c r="U22" s="219" t="s">
        <v>239</v>
      </c>
      <c r="V22" s="219"/>
      <c r="W22" s="134"/>
      <c r="X22" s="134"/>
      <c r="Y22" s="134"/>
      <c r="AC22" s="134"/>
      <c r="AD22" s="134"/>
      <c r="AE22" s="13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4"/>
      <c r="X23" s="134"/>
      <c r="Y23" s="134"/>
      <c r="AC23" s="134"/>
      <c r="AD23" s="134"/>
      <c r="AE23" s="13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4"/>
      <c r="X24" s="134"/>
      <c r="Y24" s="134"/>
      <c r="AC24" s="134"/>
      <c r="AD24" s="134"/>
      <c r="AE24" s="13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4"/>
      <c r="X25" s="134"/>
      <c r="Y25" s="134"/>
      <c r="AC25" s="134"/>
      <c r="AD25" s="134"/>
      <c r="AE25" s="134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4"/>
      <c r="X26" s="134"/>
      <c r="Y26" s="134"/>
      <c r="AC26" s="134"/>
      <c r="AD26" s="134"/>
      <c r="AE26" s="134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4"/>
      <c r="X27" s="134"/>
      <c r="Y27" s="134"/>
      <c r="Z27" s="19"/>
      <c r="AC27" s="134"/>
      <c r="AD27" s="134"/>
      <c r="AE27" s="13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4"/>
      <c r="X28" s="134"/>
      <c r="Y28" s="134"/>
      <c r="AC28" s="134"/>
      <c r="AD28" s="134"/>
      <c r="AE28" s="134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4"/>
      <c r="X29" s="134"/>
      <c r="Y29" s="134"/>
      <c r="AC29" s="134"/>
      <c r="AD29" s="134"/>
      <c r="AE29" s="13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4"/>
      <c r="X30" s="134"/>
      <c r="Y30" s="134"/>
      <c r="AC30" s="134"/>
      <c r="AD30" s="134"/>
      <c r="AE30" s="13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0" t="str">
        <f>_xlfn.CONCAT(W2,A57)</f>
        <v>Bruno Flores - Oitavas de Final</v>
      </c>
      <c r="B58" s="210"/>
      <c r="C58" s="210"/>
      <c r="D58" s="210"/>
      <c r="E58" s="210"/>
      <c r="K58" s="211" t="s">
        <v>126</v>
      </c>
      <c r="L58" s="211"/>
      <c r="M58" s="211"/>
      <c r="N58" s="211"/>
      <c r="O58" s="211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24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24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10" t="str">
        <f>_xlfn.CONCAT(W2,A67)</f>
        <v>Bruno Flores - Quartas de Final</v>
      </c>
      <c r="B68" s="210"/>
      <c r="C68" s="210"/>
      <c r="D68" s="210"/>
      <c r="E68" s="210"/>
      <c r="J68" s="71" t="str">
        <f>'1.Ivan'!J68</f>
        <v/>
      </c>
      <c r="K68" s="211" t="s">
        <v>95</v>
      </c>
      <c r="L68" s="211"/>
      <c r="M68" s="211"/>
      <c r="N68" s="211"/>
      <c r="O68" s="211"/>
    </row>
    <row r="69" spans="1:24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10" t="str">
        <f>_xlfn.CONCAT(W$2,A73)</f>
        <v>Bruno Flores - Semi Final</v>
      </c>
      <c r="B74" s="210"/>
      <c r="C74" s="210"/>
      <c r="D74" s="210"/>
      <c r="E74" s="210"/>
      <c r="J74" s="71" t="str">
        <f>'1.Ivan'!J74</f>
        <v/>
      </c>
      <c r="K74" s="211" t="s">
        <v>96</v>
      </c>
      <c r="L74" s="211"/>
      <c r="M74" s="211"/>
      <c r="N74" s="211"/>
      <c r="O74" s="211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10" t="str">
        <f>_xlfn.CONCAT(W$2,A77)</f>
        <v>Bruno Flores - Final</v>
      </c>
      <c r="B78" s="210"/>
      <c r="C78" s="210"/>
      <c r="D78" s="210"/>
      <c r="E78" s="210"/>
      <c r="J78" s="71" t="str">
        <f>'1.Ivan'!J78</f>
        <v/>
      </c>
      <c r="K78" s="211" t="s">
        <v>98</v>
      </c>
      <c r="L78" s="211"/>
      <c r="M78" s="211"/>
      <c r="N78" s="211"/>
      <c r="O78" s="211"/>
    </row>
    <row r="79" spans="1:24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0" t="s">
        <v>35</v>
      </c>
      <c r="B1" s="220"/>
      <c r="C1" s="220"/>
      <c r="D1" s="220"/>
      <c r="E1" s="220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225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20" t="s">
        <v>42</v>
      </c>
      <c r="B8" s="220"/>
      <c r="C8" s="220"/>
      <c r="D8" s="220"/>
      <c r="E8" s="220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4" t="s">
        <v>80</v>
      </c>
      <c r="X9" s="134"/>
      <c r="Y9" s="134"/>
      <c r="Z9" s="134"/>
      <c r="AA9" s="134"/>
      <c r="AB9" s="134"/>
      <c r="AC9" s="134"/>
      <c r="AD9" s="134"/>
      <c r="AE9" s="134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4" t="s">
        <v>195</v>
      </c>
      <c r="X10" s="134"/>
      <c r="Y10" s="134"/>
      <c r="Z10" s="2">
        <v>2</v>
      </c>
      <c r="AB10" s="2">
        <v>0</v>
      </c>
      <c r="AC10" s="134" t="s">
        <v>196</v>
      </c>
      <c r="AD10" s="134"/>
      <c r="AE10" s="134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260</v>
      </c>
      <c r="R11" s="215"/>
      <c r="S11" s="215"/>
      <c r="T11" s="215"/>
      <c r="U11" s="215"/>
      <c r="W11" s="134" t="s">
        <v>202</v>
      </c>
      <c r="X11" s="134"/>
      <c r="Y11" s="134"/>
      <c r="Z11" s="2">
        <v>2</v>
      </c>
      <c r="AB11" s="2">
        <v>1</v>
      </c>
      <c r="AC11" s="134" t="s">
        <v>200</v>
      </c>
      <c r="AD11" s="134"/>
      <c r="AE11" s="134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4" t="s">
        <v>207</v>
      </c>
      <c r="X12" s="134"/>
      <c r="Y12" s="134"/>
      <c r="Z12" s="2">
        <v>2</v>
      </c>
      <c r="AB12" s="2">
        <v>0</v>
      </c>
      <c r="AC12" s="134" t="s">
        <v>208</v>
      </c>
      <c r="AD12" s="134"/>
      <c r="AE12" s="13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5"/>
      <c r="R13" s="215"/>
      <c r="S13" s="215"/>
      <c r="T13" s="215"/>
      <c r="U13" s="215"/>
      <c r="W13" s="134"/>
      <c r="X13" s="134"/>
      <c r="Y13" s="134"/>
      <c r="AC13" s="134"/>
      <c r="AD13" s="134"/>
      <c r="AE13" s="13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4"/>
      <c r="X14" s="134"/>
      <c r="Y14" s="134"/>
      <c r="AC14" s="134"/>
      <c r="AD14" s="134"/>
      <c r="AE14" s="134"/>
      <c r="BD14" s="1">
        <v>5</v>
      </c>
    </row>
    <row r="15" spans="1:56" x14ac:dyDescent="0.3">
      <c r="A15" s="220" t="s">
        <v>41</v>
      </c>
      <c r="B15" s="220"/>
      <c r="C15" s="220"/>
      <c r="D15" s="220"/>
      <c r="E15" s="220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4"/>
      <c r="X15" s="134"/>
      <c r="Y15" s="134"/>
      <c r="AC15" s="134"/>
      <c r="AD15" s="134"/>
      <c r="AE15" s="134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4"/>
      <c r="X16" s="134"/>
      <c r="Y16" s="134"/>
      <c r="AC16" s="134"/>
      <c r="AD16" s="134"/>
      <c r="AE16" s="13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4"/>
      <c r="X17" s="134"/>
      <c r="Y17" s="134"/>
      <c r="AC17" s="134"/>
      <c r="AD17" s="134"/>
      <c r="AE17" s="13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4"/>
      <c r="X18" s="134"/>
      <c r="Y18" s="134"/>
      <c r="AC18" s="134"/>
      <c r="AD18" s="134"/>
      <c r="AE18" s="13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5</v>
      </c>
      <c r="S19" s="18">
        <v>6</v>
      </c>
      <c r="T19" s="18">
        <v>10</v>
      </c>
      <c r="U19" s="18">
        <v>8</v>
      </c>
      <c r="W19" s="134"/>
      <c r="X19" s="134"/>
      <c r="Y19" s="134"/>
      <c r="AC19" s="134"/>
      <c r="AD19" s="134"/>
      <c r="AE19" s="13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4"/>
      <c r="X20" s="134"/>
      <c r="Y20" s="134"/>
      <c r="AC20" s="134"/>
      <c r="AD20" s="134"/>
      <c r="AE20" s="134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7" t="s">
        <v>26</v>
      </c>
      <c r="R21" s="217"/>
      <c r="S21" s="218" t="s">
        <v>187</v>
      </c>
      <c r="T21" s="218"/>
      <c r="U21" s="218" t="s">
        <v>204</v>
      </c>
      <c r="V21" s="218"/>
      <c r="W21" s="134"/>
      <c r="X21" s="134"/>
      <c r="Y21" s="134"/>
      <c r="AC21" s="134"/>
      <c r="AD21" s="134"/>
      <c r="AE21" s="134"/>
    </row>
    <row r="22" spans="1:31" x14ac:dyDescent="0.3">
      <c r="A22" s="220" t="s">
        <v>40</v>
      </c>
      <c r="B22" s="220"/>
      <c r="C22" s="220"/>
      <c r="D22" s="220"/>
      <c r="E22" s="220"/>
      <c r="J22" s="71" t="str">
        <f>'1.Ivan'!J22</f>
        <v/>
      </c>
      <c r="K22" s="214" t="s">
        <v>40</v>
      </c>
      <c r="L22" s="214"/>
      <c r="M22" s="214"/>
      <c r="N22" s="214"/>
      <c r="O22" s="214"/>
      <c r="Q22" s="217" t="s">
        <v>25</v>
      </c>
      <c r="R22" s="217"/>
      <c r="S22" s="219" t="s">
        <v>84</v>
      </c>
      <c r="T22" s="219"/>
      <c r="U22" s="219" t="s">
        <v>241</v>
      </c>
      <c r="V22" s="219"/>
      <c r="W22" s="134"/>
      <c r="X22" s="134"/>
      <c r="Y22" s="134"/>
      <c r="AC22" s="134"/>
      <c r="AD22" s="134"/>
      <c r="AE22" s="13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4"/>
      <c r="X23" s="134"/>
      <c r="Y23" s="134"/>
      <c r="AC23" s="134"/>
      <c r="AD23" s="134"/>
      <c r="AE23" s="134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4"/>
      <c r="X24" s="134"/>
      <c r="Y24" s="134"/>
      <c r="AC24" s="134"/>
      <c r="AD24" s="134"/>
      <c r="AE24" s="134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4"/>
      <c r="X25" s="134"/>
      <c r="Y25" s="134"/>
      <c r="AC25" s="134"/>
      <c r="AD25" s="134"/>
      <c r="AE25" s="13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4"/>
      <c r="X26" s="134"/>
      <c r="Y26" s="134"/>
      <c r="AC26" s="134"/>
      <c r="AD26" s="134"/>
      <c r="AE26" s="13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4"/>
      <c r="X27" s="134"/>
      <c r="Y27" s="134"/>
      <c r="Z27" s="19"/>
      <c r="AC27" s="134"/>
      <c r="AD27" s="134"/>
      <c r="AE27" s="134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4"/>
      <c r="X28" s="134"/>
      <c r="Y28" s="134"/>
      <c r="AC28" s="134"/>
      <c r="AD28" s="134"/>
      <c r="AE28" s="134"/>
    </row>
    <row r="29" spans="1:31" x14ac:dyDescent="0.3">
      <c r="A29" s="220" t="s">
        <v>39</v>
      </c>
      <c r="B29" s="220"/>
      <c r="C29" s="220"/>
      <c r="D29" s="220"/>
      <c r="E29" s="220"/>
      <c r="K29" s="214" t="s">
        <v>39</v>
      </c>
      <c r="L29" s="214"/>
      <c r="M29" s="214"/>
      <c r="N29" s="214"/>
      <c r="O29" s="214"/>
      <c r="W29" s="134"/>
      <c r="X29" s="134"/>
      <c r="Y29" s="134"/>
      <c r="AC29" s="134"/>
      <c r="AD29" s="134"/>
      <c r="AE29" s="134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4"/>
      <c r="X30" s="134"/>
      <c r="Y30" s="134"/>
      <c r="AC30" s="134"/>
      <c r="AD30" s="134"/>
      <c r="AE30" s="13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0" t="s">
        <v>38</v>
      </c>
      <c r="B36" s="220"/>
      <c r="C36" s="220"/>
      <c r="D36" s="220"/>
      <c r="E36" s="220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0" t="s">
        <v>37</v>
      </c>
      <c r="B43" s="220"/>
      <c r="C43" s="220"/>
      <c r="D43" s="220"/>
      <c r="E43" s="220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0" t="s">
        <v>36</v>
      </c>
      <c r="B50" s="220"/>
      <c r="C50" s="220"/>
      <c r="D50" s="220"/>
      <c r="E50" s="220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0" t="str">
        <f>_xlfn.CONCAT(W2,A57)</f>
        <v>Naldinho - Oitavas de Final</v>
      </c>
      <c r="B58" s="210"/>
      <c r="C58" s="210"/>
      <c r="D58" s="210"/>
      <c r="E58" s="210"/>
      <c r="K58" s="211" t="s">
        <v>126</v>
      </c>
      <c r="L58" s="211"/>
      <c r="M58" s="211"/>
      <c r="N58" s="211"/>
      <c r="O58" s="211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0" t="str">
        <f>_xlfn.CONCAT(W2,A67)</f>
        <v>Naldinho - Quartas de Final</v>
      </c>
      <c r="B68" s="210"/>
      <c r="C68" s="210"/>
      <c r="D68" s="210"/>
      <c r="E68" s="210"/>
      <c r="J68" s="71" t="str">
        <f>'1.Ivan'!J68</f>
        <v/>
      </c>
      <c r="K68" s="211" t="s">
        <v>95</v>
      </c>
      <c r="L68" s="211"/>
      <c r="M68" s="211"/>
      <c r="N68" s="211"/>
      <c r="O68" s="211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0" t="str">
        <f>_xlfn.CONCAT(W$2,A73)</f>
        <v>Naldinho - Semi Final</v>
      </c>
      <c r="B74" s="210"/>
      <c r="C74" s="210"/>
      <c r="D74" s="210"/>
      <c r="E74" s="210"/>
      <c r="J74" s="71" t="str">
        <f>'1.Ivan'!J74</f>
        <v/>
      </c>
      <c r="K74" s="211" t="s">
        <v>96</v>
      </c>
      <c r="L74" s="211"/>
      <c r="M74" s="211"/>
      <c r="N74" s="211"/>
      <c r="O74" s="211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0" t="str">
        <f>_xlfn.CONCAT(W$2,A77)</f>
        <v>Naldinho - Final</v>
      </c>
      <c r="B78" s="210"/>
      <c r="C78" s="210"/>
      <c r="D78" s="210"/>
      <c r="E78" s="210"/>
      <c r="J78" s="71" t="str">
        <f>'1.Ivan'!J78</f>
        <v/>
      </c>
      <c r="K78" s="211" t="s">
        <v>98</v>
      </c>
      <c r="L78" s="211"/>
      <c r="M78" s="211"/>
      <c r="N78" s="211"/>
      <c r="O78" s="211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224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4" t="s">
        <v>80</v>
      </c>
      <c r="X9" s="134"/>
      <c r="Y9" s="134"/>
      <c r="Z9" s="134"/>
      <c r="AA9" s="134"/>
      <c r="AB9" s="134"/>
      <c r="AC9" s="134"/>
      <c r="AD9" s="134"/>
      <c r="AE9" s="13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4" t="s">
        <v>185</v>
      </c>
      <c r="X10" s="134"/>
      <c r="Y10" s="134"/>
      <c r="Z10" s="2">
        <v>2</v>
      </c>
      <c r="AB10" s="2">
        <v>0</v>
      </c>
      <c r="AC10" s="134" t="s">
        <v>183</v>
      </c>
      <c r="AD10" s="134"/>
      <c r="AE10" s="13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330</v>
      </c>
      <c r="R11" s="215"/>
      <c r="S11" s="215"/>
      <c r="T11" s="215"/>
      <c r="U11" s="215"/>
      <c r="W11" s="134" t="s">
        <v>189</v>
      </c>
      <c r="X11" s="134"/>
      <c r="Y11" s="134"/>
      <c r="Z11" s="2">
        <v>2</v>
      </c>
      <c r="AB11" s="2">
        <v>1</v>
      </c>
      <c r="AC11" s="134" t="s">
        <v>190</v>
      </c>
      <c r="AD11" s="134"/>
      <c r="AE11" s="134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4" t="s">
        <v>213</v>
      </c>
      <c r="X12" s="134"/>
      <c r="Y12" s="134"/>
      <c r="Z12" s="2">
        <v>1</v>
      </c>
      <c r="AB12" s="2">
        <v>2</v>
      </c>
      <c r="AC12" s="134" t="s">
        <v>214</v>
      </c>
      <c r="AD12" s="134"/>
      <c r="AE12" s="13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5"/>
      <c r="R13" s="215"/>
      <c r="S13" s="215"/>
      <c r="T13" s="215"/>
      <c r="U13" s="215"/>
      <c r="W13" s="134"/>
      <c r="X13" s="134"/>
      <c r="Y13" s="134"/>
      <c r="AC13" s="134"/>
      <c r="AD13" s="134"/>
      <c r="AE13" s="13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4"/>
      <c r="X14" s="134"/>
      <c r="Y14" s="134"/>
      <c r="AC14" s="134"/>
      <c r="AD14" s="134"/>
      <c r="AE14" s="134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4"/>
      <c r="X15" s="134"/>
      <c r="Y15" s="134"/>
      <c r="AC15" s="134"/>
      <c r="AD15" s="134"/>
      <c r="AE15" s="134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4"/>
      <c r="X16" s="134"/>
      <c r="Y16" s="134"/>
      <c r="AC16" s="134"/>
      <c r="AD16" s="134"/>
      <c r="AE16" s="134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4"/>
      <c r="X17" s="134"/>
      <c r="Y17" s="134"/>
      <c r="AC17" s="134"/>
      <c r="AD17" s="134"/>
      <c r="AE17" s="134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4"/>
      <c r="X18" s="134"/>
      <c r="Y18" s="134"/>
      <c r="AC18" s="134"/>
      <c r="AD18" s="134"/>
      <c r="AE18" s="134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10</v>
      </c>
      <c r="S19" s="18">
        <v>8</v>
      </c>
      <c r="T19" s="18">
        <v>5</v>
      </c>
      <c r="U19" s="18">
        <v>6</v>
      </c>
      <c r="W19" s="134"/>
      <c r="X19" s="134"/>
      <c r="Y19" s="134"/>
      <c r="AC19" s="134"/>
      <c r="AD19" s="134"/>
      <c r="AE19" s="134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4"/>
      <c r="X20" s="134"/>
      <c r="Y20" s="134"/>
      <c r="AC20" s="134"/>
      <c r="AD20" s="134"/>
      <c r="AE20" s="13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7" t="s">
        <v>26</v>
      </c>
      <c r="R21" s="217"/>
      <c r="S21" s="218" t="s">
        <v>211</v>
      </c>
      <c r="T21" s="218"/>
      <c r="U21" s="218" t="s">
        <v>187</v>
      </c>
      <c r="V21" s="218"/>
      <c r="W21" s="134"/>
      <c r="X21" s="134"/>
      <c r="Y21" s="134"/>
      <c r="AC21" s="134"/>
      <c r="AD21" s="134"/>
      <c r="AE21" s="134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17" t="s">
        <v>25</v>
      </c>
      <c r="R22" s="217"/>
      <c r="S22" s="219" t="s">
        <v>84</v>
      </c>
      <c r="T22" s="219"/>
      <c r="U22" s="219" t="s">
        <v>238</v>
      </c>
      <c r="V22" s="219"/>
      <c r="W22" s="134"/>
      <c r="X22" s="134"/>
      <c r="Y22" s="134"/>
      <c r="AC22" s="134"/>
      <c r="AD22" s="134"/>
      <c r="AE22" s="134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4"/>
      <c r="X23" s="134"/>
      <c r="Y23" s="134"/>
      <c r="AC23" s="134"/>
      <c r="AD23" s="134"/>
      <c r="AE23" s="134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4"/>
      <c r="X24" s="134"/>
      <c r="Y24" s="134"/>
      <c r="AC24" s="134"/>
      <c r="AD24" s="134"/>
      <c r="AE24" s="13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4"/>
      <c r="X25" s="134"/>
      <c r="Y25" s="134"/>
      <c r="AC25" s="134"/>
      <c r="AD25" s="134"/>
      <c r="AE25" s="134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4"/>
      <c r="X26" s="134"/>
      <c r="Y26" s="134"/>
      <c r="AC26" s="134"/>
      <c r="AD26" s="134"/>
      <c r="AE26" s="13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4"/>
      <c r="X27" s="134"/>
      <c r="Y27" s="134"/>
      <c r="Z27" s="19"/>
      <c r="AC27" s="134"/>
      <c r="AD27" s="134"/>
      <c r="AE27" s="134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4"/>
      <c r="X28" s="134"/>
      <c r="Y28" s="134"/>
      <c r="AC28" s="134"/>
      <c r="AD28" s="134"/>
      <c r="AE28" s="134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4"/>
      <c r="X29" s="134"/>
      <c r="Y29" s="134"/>
      <c r="AC29" s="134"/>
      <c r="AD29" s="134"/>
      <c r="AE29" s="13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4"/>
      <c r="X30" s="134"/>
      <c r="Y30" s="134"/>
      <c r="AC30" s="134"/>
      <c r="AD30" s="134"/>
      <c r="AE30" s="13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0" t="str">
        <f>_xlfn.CONCAT(W2,A57)</f>
        <v>Julio Santos - Oitavas de Final</v>
      </c>
      <c r="B58" s="210"/>
      <c r="C58" s="210"/>
      <c r="D58" s="210"/>
      <c r="E58" s="210"/>
      <c r="K58" s="211" t="s">
        <v>126</v>
      </c>
      <c r="L58" s="211"/>
      <c r="M58" s="211"/>
      <c r="N58" s="211"/>
      <c r="O58" s="211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0" t="str">
        <f>_xlfn.CONCAT(W2,A67)</f>
        <v>Julio Santos - Quartas de Final</v>
      </c>
      <c r="B68" s="210"/>
      <c r="C68" s="210"/>
      <c r="D68" s="210"/>
      <c r="E68" s="210"/>
      <c r="J68" s="71" t="str">
        <f>'1.Ivan'!J68</f>
        <v/>
      </c>
      <c r="K68" s="211" t="s">
        <v>95</v>
      </c>
      <c r="L68" s="211"/>
      <c r="M68" s="211"/>
      <c r="N68" s="211"/>
      <c r="O68" s="211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0" t="str">
        <f>_xlfn.CONCAT(W$2,A73)</f>
        <v>Julio Santos - Semi Final</v>
      </c>
      <c r="B74" s="210"/>
      <c r="C74" s="210"/>
      <c r="D74" s="210"/>
      <c r="E74" s="210"/>
      <c r="J74" s="71" t="str">
        <f>'1.Ivan'!J74</f>
        <v/>
      </c>
      <c r="K74" s="211" t="s">
        <v>96</v>
      </c>
      <c r="L74" s="211"/>
      <c r="M74" s="211"/>
      <c r="N74" s="211"/>
      <c r="O74" s="211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0" t="str">
        <f>_xlfn.CONCAT(W$2,A77)</f>
        <v>Julio Santos - Final</v>
      </c>
      <c r="B78" s="210"/>
      <c r="C78" s="210"/>
      <c r="D78" s="210"/>
      <c r="E78" s="210"/>
      <c r="J78" s="71" t="str">
        <f>'1.Ivan'!J78</f>
        <v/>
      </c>
      <c r="K78" s="211" t="s">
        <v>98</v>
      </c>
      <c r="L78" s="211"/>
      <c r="M78" s="211"/>
      <c r="N78" s="211"/>
      <c r="O78" s="211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0" t="s">
        <v>35</v>
      </c>
      <c r="B1" s="220"/>
      <c r="C1" s="220"/>
      <c r="D1" s="220"/>
      <c r="E1" s="220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227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20" t="s">
        <v>42</v>
      </c>
      <c r="B8" s="220"/>
      <c r="C8" s="220"/>
      <c r="D8" s="220"/>
      <c r="E8" s="220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4" t="s">
        <v>80</v>
      </c>
      <c r="X9" s="134"/>
      <c r="Y9" s="134"/>
      <c r="Z9" s="134"/>
      <c r="AA9" s="134"/>
      <c r="AB9" s="134"/>
      <c r="AC9" s="134"/>
      <c r="AD9" s="134"/>
      <c r="AE9" s="13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4" t="s">
        <v>196</v>
      </c>
      <c r="X10" s="134"/>
      <c r="Y10" s="134"/>
      <c r="Z10" s="2">
        <v>0</v>
      </c>
      <c r="AB10" s="2">
        <v>1</v>
      </c>
      <c r="AC10" s="134" t="s">
        <v>198</v>
      </c>
      <c r="AD10" s="134"/>
      <c r="AE10" s="13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330</v>
      </c>
      <c r="R11" s="215"/>
      <c r="S11" s="215"/>
      <c r="T11" s="215"/>
      <c r="U11" s="215"/>
      <c r="W11" s="134" t="s">
        <v>203</v>
      </c>
      <c r="X11" s="134"/>
      <c r="Y11" s="134"/>
      <c r="Z11" s="2">
        <v>0</v>
      </c>
      <c r="AB11" s="2">
        <v>0</v>
      </c>
      <c r="AC11" s="134" t="s">
        <v>218</v>
      </c>
      <c r="AD11" s="134"/>
      <c r="AE11" s="134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4" t="s">
        <v>214</v>
      </c>
      <c r="X12" s="134"/>
      <c r="Y12" s="134"/>
      <c r="Z12" s="2">
        <v>0</v>
      </c>
      <c r="AB12" s="2">
        <v>0</v>
      </c>
      <c r="AC12" s="134" t="s">
        <v>212</v>
      </c>
      <c r="AD12" s="134"/>
      <c r="AE12" s="13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5"/>
      <c r="R13" s="215"/>
      <c r="S13" s="215"/>
      <c r="T13" s="215"/>
      <c r="U13" s="215"/>
      <c r="W13" s="134"/>
      <c r="X13" s="134"/>
      <c r="Y13" s="134"/>
      <c r="AC13" s="134"/>
      <c r="AD13" s="134"/>
      <c r="AE13" s="134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4"/>
      <c r="X14" s="134"/>
      <c r="Y14" s="134"/>
      <c r="AC14" s="134"/>
      <c r="AD14" s="134"/>
      <c r="AE14" s="134"/>
      <c r="BD14" s="1">
        <v>5</v>
      </c>
    </row>
    <row r="15" spans="1:56" x14ac:dyDescent="0.3">
      <c r="A15" s="220" t="s">
        <v>41</v>
      </c>
      <c r="B15" s="220"/>
      <c r="C15" s="220"/>
      <c r="D15" s="220"/>
      <c r="E15" s="220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4"/>
      <c r="X15" s="134"/>
      <c r="Y15" s="134"/>
      <c r="AC15" s="134"/>
      <c r="AD15" s="134"/>
      <c r="AE15" s="134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4"/>
      <c r="X16" s="134"/>
      <c r="Y16" s="134"/>
      <c r="AC16" s="134"/>
      <c r="AD16" s="134"/>
      <c r="AE16" s="134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4"/>
      <c r="X17" s="134"/>
      <c r="Y17" s="134"/>
      <c r="AC17" s="134"/>
      <c r="AD17" s="134"/>
      <c r="AE17" s="13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4"/>
      <c r="X18" s="134"/>
      <c r="Y18" s="134"/>
      <c r="AC18" s="134"/>
      <c r="AD18" s="134"/>
      <c r="AE18" s="134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7</v>
      </c>
      <c r="S19" s="18">
        <v>11</v>
      </c>
      <c r="T19" s="18">
        <v>8</v>
      </c>
      <c r="U19" s="18">
        <v>3</v>
      </c>
      <c r="W19" s="134"/>
      <c r="X19" s="134"/>
      <c r="Y19" s="134"/>
      <c r="AC19" s="134"/>
      <c r="AD19" s="134"/>
      <c r="AE19" s="13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4"/>
      <c r="X20" s="134"/>
      <c r="Y20" s="134"/>
      <c r="AC20" s="134"/>
      <c r="AD20" s="134"/>
      <c r="AE20" s="13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7" t="s">
        <v>26</v>
      </c>
      <c r="R21" s="217"/>
      <c r="S21" s="218" t="s">
        <v>187</v>
      </c>
      <c r="T21" s="218"/>
      <c r="U21" s="218" t="s">
        <v>211</v>
      </c>
      <c r="V21" s="218"/>
      <c r="W21" s="134"/>
      <c r="X21" s="134"/>
      <c r="Y21" s="134"/>
      <c r="AC21" s="134"/>
      <c r="AD21" s="134"/>
      <c r="AE21" s="134"/>
    </row>
    <row r="22" spans="1:31" x14ac:dyDescent="0.3">
      <c r="A22" s="220" t="s">
        <v>40</v>
      </c>
      <c r="B22" s="220"/>
      <c r="C22" s="220"/>
      <c r="D22" s="220"/>
      <c r="E22" s="220"/>
      <c r="J22" s="71" t="str">
        <f>'1.Ivan'!J22</f>
        <v/>
      </c>
      <c r="K22" s="214" t="s">
        <v>40</v>
      </c>
      <c r="L22" s="214"/>
      <c r="M22" s="214"/>
      <c r="N22" s="214"/>
      <c r="O22" s="214"/>
      <c r="Q22" s="217" t="s">
        <v>25</v>
      </c>
      <c r="R22" s="217"/>
      <c r="S22" s="219" t="s">
        <v>84</v>
      </c>
      <c r="T22" s="219"/>
      <c r="U22" s="219" t="s">
        <v>239</v>
      </c>
      <c r="V22" s="219"/>
      <c r="W22" s="134"/>
      <c r="X22" s="134"/>
      <c r="Y22" s="134"/>
      <c r="AC22" s="134"/>
      <c r="AD22" s="134"/>
      <c r="AE22" s="134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4"/>
      <c r="X23" s="134"/>
      <c r="Y23" s="134"/>
      <c r="AC23" s="134"/>
      <c r="AD23" s="134"/>
      <c r="AE23" s="134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4"/>
      <c r="X24" s="134"/>
      <c r="Y24" s="134"/>
      <c r="AC24" s="134"/>
      <c r="AD24" s="134"/>
      <c r="AE24" s="13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H25" s="2">
        <v>10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4"/>
      <c r="X25" s="134"/>
      <c r="Y25" s="134"/>
      <c r="AC25" s="134"/>
      <c r="AD25" s="134"/>
      <c r="AE25" s="134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H26" s="2">
        <v>25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4"/>
      <c r="X26" s="134"/>
      <c r="Y26" s="134"/>
      <c r="AC26" s="134"/>
      <c r="AD26" s="134"/>
      <c r="AE26" s="13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4"/>
      <c r="X27" s="134"/>
      <c r="Y27" s="134"/>
      <c r="Z27" s="19"/>
      <c r="AC27" s="134"/>
      <c r="AD27" s="134"/>
      <c r="AE27" s="134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4"/>
      <c r="X28" s="134"/>
      <c r="Y28" s="134"/>
      <c r="AC28" s="134"/>
      <c r="AD28" s="134"/>
      <c r="AE28" s="134"/>
    </row>
    <row r="29" spans="1:31" x14ac:dyDescent="0.3">
      <c r="A29" s="220" t="s">
        <v>39</v>
      </c>
      <c r="B29" s="220"/>
      <c r="C29" s="220"/>
      <c r="D29" s="220"/>
      <c r="E29" s="220"/>
      <c r="K29" s="214" t="s">
        <v>39</v>
      </c>
      <c r="L29" s="214"/>
      <c r="M29" s="214"/>
      <c r="N29" s="214"/>
      <c r="O29" s="214"/>
      <c r="W29" s="134"/>
      <c r="X29" s="134"/>
      <c r="Y29" s="134"/>
      <c r="AC29" s="134"/>
      <c r="AD29" s="134"/>
      <c r="AE29" s="13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4"/>
      <c r="X30" s="134"/>
      <c r="Y30" s="134"/>
      <c r="AC30" s="134"/>
      <c r="AD30" s="134"/>
      <c r="AE30" s="13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0" t="s">
        <v>38</v>
      </c>
      <c r="B36" s="220"/>
      <c r="C36" s="220"/>
      <c r="D36" s="220"/>
      <c r="E36" s="220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0" t="s">
        <v>37</v>
      </c>
      <c r="B43" s="220"/>
      <c r="C43" s="220"/>
      <c r="D43" s="220"/>
      <c r="E43" s="220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0" t="s">
        <v>36</v>
      </c>
      <c r="B50" s="220"/>
      <c r="C50" s="220"/>
      <c r="D50" s="220"/>
      <c r="E50" s="220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0" t="str">
        <f>_xlfn.CONCAT(W2,A57)</f>
        <v>Joseir - Oitavas de Final</v>
      </c>
      <c r="B58" s="210"/>
      <c r="C58" s="210"/>
      <c r="D58" s="210"/>
      <c r="E58" s="210"/>
      <c r="K58" s="211" t="s">
        <v>126</v>
      </c>
      <c r="L58" s="211"/>
      <c r="M58" s="211"/>
      <c r="N58" s="211"/>
      <c r="O58" s="211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0" t="str">
        <f>_xlfn.CONCAT(W2,A67)</f>
        <v>Joseir - Quartas de Final</v>
      </c>
      <c r="B68" s="210"/>
      <c r="C68" s="210"/>
      <c r="D68" s="210"/>
      <c r="E68" s="210"/>
      <c r="J68" s="71" t="str">
        <f>'1.Ivan'!J68</f>
        <v/>
      </c>
      <c r="K68" s="211" t="s">
        <v>95</v>
      </c>
      <c r="L68" s="211"/>
      <c r="M68" s="211"/>
      <c r="N68" s="211"/>
      <c r="O68" s="211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0" t="str">
        <f>_xlfn.CONCAT(W$2,A73)</f>
        <v>Joseir - Semi Final</v>
      </c>
      <c r="B74" s="210"/>
      <c r="C74" s="210"/>
      <c r="D74" s="210"/>
      <c r="E74" s="210"/>
      <c r="J74" s="71" t="str">
        <f>'1.Ivan'!J74</f>
        <v/>
      </c>
      <c r="K74" s="211" t="s">
        <v>96</v>
      </c>
      <c r="L74" s="211"/>
      <c r="M74" s="211"/>
      <c r="N74" s="211"/>
      <c r="O74" s="211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0" t="str">
        <f>_xlfn.CONCAT(W$2,A77)</f>
        <v>Joseir - Final</v>
      </c>
      <c r="B78" s="210"/>
      <c r="C78" s="210"/>
      <c r="D78" s="210"/>
      <c r="E78" s="210"/>
      <c r="J78" s="71" t="str">
        <f>'1.Ivan'!J78</f>
        <v/>
      </c>
      <c r="K78" s="211" t="s">
        <v>98</v>
      </c>
      <c r="L78" s="211"/>
      <c r="M78" s="211"/>
      <c r="N78" s="211"/>
      <c r="O78" s="211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226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4" t="s">
        <v>80</v>
      </c>
      <c r="X9" s="134"/>
      <c r="Y9" s="134"/>
      <c r="Z9" s="134"/>
      <c r="AA9" s="134"/>
      <c r="AB9" s="134"/>
      <c r="AC9" s="134"/>
      <c r="AD9" s="134"/>
      <c r="AE9" s="13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4" t="s">
        <v>190</v>
      </c>
      <c r="X10" s="134"/>
      <c r="Y10" s="134"/>
      <c r="Z10" s="2">
        <v>1</v>
      </c>
      <c r="AB10" s="2">
        <v>3</v>
      </c>
      <c r="AC10" s="134" t="s">
        <v>188</v>
      </c>
      <c r="AD10" s="134"/>
      <c r="AE10" s="134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275</v>
      </c>
      <c r="R11" s="215"/>
      <c r="S11" s="215"/>
      <c r="T11" s="215"/>
      <c r="U11" s="215"/>
      <c r="W11" s="134" t="s">
        <v>195</v>
      </c>
      <c r="X11" s="134"/>
      <c r="Y11" s="134"/>
      <c r="Z11" s="2">
        <v>2</v>
      </c>
      <c r="AB11" s="2">
        <v>0</v>
      </c>
      <c r="AC11" s="134" t="s">
        <v>196</v>
      </c>
      <c r="AD11" s="134"/>
      <c r="AE11" s="134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4" t="s">
        <v>207</v>
      </c>
      <c r="X12" s="134"/>
      <c r="Y12" s="134"/>
      <c r="Z12" s="2">
        <v>2</v>
      </c>
      <c r="AB12" s="2">
        <v>0</v>
      </c>
      <c r="AC12" s="134" t="s">
        <v>208</v>
      </c>
      <c r="AD12" s="134"/>
      <c r="AE12" s="134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5"/>
      <c r="R13" s="215"/>
      <c r="S13" s="215"/>
      <c r="T13" s="215"/>
      <c r="U13" s="215"/>
      <c r="W13" s="134"/>
      <c r="X13" s="134"/>
      <c r="Y13" s="134"/>
      <c r="AC13" s="134"/>
      <c r="AD13" s="134"/>
      <c r="AE13" s="134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4"/>
      <c r="X14" s="134"/>
      <c r="Y14" s="134"/>
      <c r="AC14" s="134"/>
      <c r="AD14" s="134"/>
      <c r="AE14" s="134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4"/>
      <c r="X15" s="134"/>
      <c r="Y15" s="134"/>
      <c r="AC15" s="134"/>
      <c r="AD15" s="134"/>
      <c r="AE15" s="134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4"/>
      <c r="X16" s="134"/>
      <c r="Y16" s="134"/>
      <c r="AC16" s="134"/>
      <c r="AD16" s="134"/>
      <c r="AE16" s="134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4"/>
      <c r="X17" s="134"/>
      <c r="Y17" s="134"/>
      <c r="AC17" s="134"/>
      <c r="AD17" s="134"/>
      <c r="AE17" s="134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H18" s="2">
        <v>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4"/>
      <c r="X18" s="134"/>
      <c r="Y18" s="134"/>
      <c r="AC18" s="134"/>
      <c r="AD18" s="134"/>
      <c r="AE18" s="13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6</v>
      </c>
      <c r="S19" s="18">
        <v>8</v>
      </c>
      <c r="T19" s="18">
        <v>6</v>
      </c>
      <c r="U19" s="18">
        <v>9</v>
      </c>
      <c r="W19" s="134"/>
      <c r="X19" s="134"/>
      <c r="Y19" s="134"/>
      <c r="AC19" s="134"/>
      <c r="AD19" s="134"/>
      <c r="AE19" s="13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4"/>
      <c r="X20" s="134"/>
      <c r="Y20" s="134"/>
      <c r="AC20" s="134"/>
      <c r="AD20" s="134"/>
      <c r="AE20" s="13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7" t="s">
        <v>26</v>
      </c>
      <c r="R21" s="217"/>
      <c r="S21" s="218" t="s">
        <v>211</v>
      </c>
      <c r="T21" s="218"/>
      <c r="U21" s="218" t="s">
        <v>187</v>
      </c>
      <c r="V21" s="218"/>
      <c r="W21" s="134"/>
      <c r="X21" s="134"/>
      <c r="Y21" s="134"/>
      <c r="AC21" s="134"/>
      <c r="AD21" s="134"/>
      <c r="AE21" s="134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17" t="s">
        <v>25</v>
      </c>
      <c r="R22" s="217"/>
      <c r="S22" s="219" t="s">
        <v>242</v>
      </c>
      <c r="T22" s="219"/>
      <c r="U22" s="219" t="s">
        <v>237</v>
      </c>
      <c r="V22" s="219"/>
      <c r="W22" s="134"/>
      <c r="X22" s="134"/>
      <c r="Y22" s="134"/>
      <c r="AC22" s="134"/>
      <c r="AD22" s="134"/>
      <c r="AE22" s="13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4"/>
      <c r="X23" s="134"/>
      <c r="Y23" s="134"/>
      <c r="AC23" s="134"/>
      <c r="AD23" s="134"/>
      <c r="AE23" s="134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4"/>
      <c r="X24" s="134"/>
      <c r="Y24" s="134"/>
      <c r="AC24" s="134"/>
      <c r="AD24" s="134"/>
      <c r="AE24" s="13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4"/>
      <c r="X25" s="134"/>
      <c r="Y25" s="134"/>
      <c r="AC25" s="134"/>
      <c r="AD25" s="134"/>
      <c r="AE25" s="13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4"/>
      <c r="X26" s="134"/>
      <c r="Y26" s="134"/>
      <c r="AC26" s="134"/>
      <c r="AD26" s="134"/>
      <c r="AE26" s="134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4"/>
      <c r="X27" s="134"/>
      <c r="Y27" s="134"/>
      <c r="Z27" s="19"/>
      <c r="AC27" s="134"/>
      <c r="AD27" s="134"/>
      <c r="AE27" s="13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4"/>
      <c r="X28" s="134"/>
      <c r="Y28" s="134"/>
      <c r="AC28" s="134"/>
      <c r="AD28" s="134"/>
      <c r="AE28" s="134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4"/>
      <c r="X29" s="134"/>
      <c r="Y29" s="134"/>
      <c r="AC29" s="134"/>
      <c r="AD29" s="134"/>
      <c r="AE29" s="13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4"/>
      <c r="X30" s="134"/>
      <c r="Y30" s="134"/>
      <c r="AC30" s="134"/>
      <c r="AD30" s="134"/>
      <c r="AE30" s="13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H39" s="2">
        <v>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31" t="str">
        <f t="shared" ref="A52:A56" si="14">K52</f>
        <v>Pachuca</v>
      </c>
      <c r="B52" s="132">
        <v>1</v>
      </c>
      <c r="C52" s="132" t="s">
        <v>33</v>
      </c>
      <c r="D52" s="132">
        <v>0</v>
      </c>
      <c r="E52" s="13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0" t="str">
        <f>_xlfn.CONCAT(W2,A57)</f>
        <v>Juninho - Oitavas de Final</v>
      </c>
      <c r="B58" s="210"/>
      <c r="C58" s="210"/>
      <c r="D58" s="210"/>
      <c r="E58" s="210"/>
      <c r="K58" s="211" t="s">
        <v>126</v>
      </c>
      <c r="L58" s="211"/>
      <c r="M58" s="211"/>
      <c r="N58" s="211"/>
      <c r="O58" s="211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0" t="str">
        <f>_xlfn.CONCAT(W2,A67)</f>
        <v>Juninho - Quartas de Final</v>
      </c>
      <c r="B68" s="210"/>
      <c r="C68" s="210"/>
      <c r="D68" s="210"/>
      <c r="E68" s="210"/>
      <c r="J68" s="71" t="str">
        <f>'1.Ivan'!J68</f>
        <v/>
      </c>
      <c r="K68" s="211" t="s">
        <v>95</v>
      </c>
      <c r="L68" s="211"/>
      <c r="M68" s="211"/>
      <c r="N68" s="211"/>
      <c r="O68" s="211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0" t="str">
        <f>_xlfn.CONCAT(W$2,A73)</f>
        <v>Juninho - Semi Final</v>
      </c>
      <c r="B74" s="210"/>
      <c r="C74" s="210"/>
      <c r="D74" s="210"/>
      <c r="E74" s="210"/>
      <c r="J74" s="71" t="str">
        <f>'1.Ivan'!J74</f>
        <v/>
      </c>
      <c r="K74" s="211" t="s">
        <v>96</v>
      </c>
      <c r="L74" s="211"/>
      <c r="M74" s="211"/>
      <c r="N74" s="211"/>
      <c r="O74" s="211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0" t="str">
        <f>_xlfn.CONCAT(W$2,A77)</f>
        <v>Juninho - Final</v>
      </c>
      <c r="B78" s="210"/>
      <c r="C78" s="210"/>
      <c r="D78" s="210"/>
      <c r="E78" s="210"/>
      <c r="J78" s="71" t="str">
        <f>'1.Ivan'!J78</f>
        <v/>
      </c>
      <c r="K78" s="211" t="s">
        <v>98</v>
      </c>
      <c r="L78" s="211"/>
      <c r="M78" s="211"/>
      <c r="N78" s="211"/>
      <c r="O78" s="211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0" t="s">
        <v>35</v>
      </c>
      <c r="B1" s="220"/>
      <c r="C1" s="220"/>
      <c r="D1" s="220"/>
      <c r="E1" s="220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59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20" t="s">
        <v>42</v>
      </c>
      <c r="B8" s="220"/>
      <c r="C8" s="220"/>
      <c r="D8" s="220"/>
      <c r="E8" s="220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4" t="s">
        <v>80</v>
      </c>
      <c r="X9" s="134"/>
      <c r="Y9" s="134"/>
      <c r="Z9" s="134"/>
      <c r="AA9" s="134"/>
      <c r="AB9" s="134"/>
      <c r="AC9" s="134"/>
      <c r="AD9" s="134"/>
      <c r="AE9" s="134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4" t="s">
        <v>195</v>
      </c>
      <c r="X10" s="134"/>
      <c r="Y10" s="134"/>
      <c r="Z10" s="2">
        <v>2</v>
      </c>
      <c r="AB10" s="2">
        <v>0</v>
      </c>
      <c r="AC10" s="134" t="s">
        <v>196</v>
      </c>
      <c r="AD10" s="134"/>
      <c r="AE10" s="134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355</v>
      </c>
      <c r="R11" s="215"/>
      <c r="S11" s="215"/>
      <c r="T11" s="215"/>
      <c r="U11" s="215"/>
      <c r="W11" s="134" t="s">
        <v>202</v>
      </c>
      <c r="X11" s="134"/>
      <c r="Y11" s="134"/>
      <c r="Z11" s="2">
        <v>2</v>
      </c>
      <c r="AB11" s="2">
        <v>1</v>
      </c>
      <c r="AC11" s="134" t="s">
        <v>200</v>
      </c>
      <c r="AD11" s="134"/>
      <c r="AE11" s="134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4" t="s">
        <v>213</v>
      </c>
      <c r="X12" s="134"/>
      <c r="Y12" s="134"/>
      <c r="Z12" s="2">
        <v>1</v>
      </c>
      <c r="AB12" s="2">
        <v>2</v>
      </c>
      <c r="AC12" s="134" t="s">
        <v>214</v>
      </c>
      <c r="AD12" s="134"/>
      <c r="AE12" s="134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5"/>
      <c r="R13" s="215"/>
      <c r="S13" s="215"/>
      <c r="T13" s="215"/>
      <c r="U13" s="215"/>
      <c r="W13" s="134"/>
      <c r="X13" s="134"/>
      <c r="Y13" s="134"/>
      <c r="AC13" s="134"/>
      <c r="AD13" s="134"/>
      <c r="AE13" s="13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4"/>
      <c r="X14" s="134"/>
      <c r="Y14" s="134"/>
      <c r="AC14" s="134"/>
      <c r="AD14" s="134"/>
      <c r="AE14" s="134"/>
      <c r="BD14" s="1">
        <v>5</v>
      </c>
    </row>
    <row r="15" spans="1:56" x14ac:dyDescent="0.3">
      <c r="A15" s="220" t="s">
        <v>41</v>
      </c>
      <c r="B15" s="220"/>
      <c r="C15" s="220"/>
      <c r="D15" s="220"/>
      <c r="E15" s="220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4"/>
      <c r="X15" s="134"/>
      <c r="Y15" s="134"/>
      <c r="AC15" s="134"/>
      <c r="AD15" s="134"/>
      <c r="AE15" s="134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4"/>
      <c r="X16" s="134"/>
      <c r="Y16" s="134"/>
      <c r="AC16" s="134"/>
      <c r="AD16" s="134"/>
      <c r="AE16" s="13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4"/>
      <c r="X17" s="134"/>
      <c r="Y17" s="134"/>
      <c r="AC17" s="134"/>
      <c r="AD17" s="134"/>
      <c r="AE17" s="13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4"/>
      <c r="X18" s="134"/>
      <c r="Y18" s="134"/>
      <c r="AC18" s="134"/>
      <c r="AD18" s="134"/>
      <c r="AE18" s="134"/>
    </row>
    <row r="19" spans="1:31" x14ac:dyDescent="0.3">
      <c r="A19" s="131" t="str">
        <f t="shared" si="4"/>
        <v>Bayern de Munique</v>
      </c>
      <c r="B19" s="132">
        <v>2</v>
      </c>
      <c r="C19" s="132" t="s">
        <v>33</v>
      </c>
      <c r="D19" s="132">
        <v>0</v>
      </c>
      <c r="E19" s="13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9</v>
      </c>
      <c r="S19" s="18">
        <v>12</v>
      </c>
      <c r="T19" s="18">
        <v>5</v>
      </c>
      <c r="U19" s="18">
        <v>3</v>
      </c>
      <c r="W19" s="134"/>
      <c r="X19" s="134"/>
      <c r="Y19" s="134"/>
      <c r="AC19" s="134"/>
      <c r="AD19" s="134"/>
      <c r="AE19" s="13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4"/>
      <c r="X20" s="134"/>
      <c r="Y20" s="134"/>
      <c r="AC20" s="134"/>
      <c r="AD20" s="134"/>
      <c r="AE20" s="13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7" t="s">
        <v>26</v>
      </c>
      <c r="R21" s="217"/>
      <c r="S21" s="218" t="s">
        <v>207</v>
      </c>
      <c r="T21" s="218"/>
      <c r="U21" s="218" t="s">
        <v>211</v>
      </c>
      <c r="V21" s="218"/>
      <c r="W21" s="134"/>
      <c r="X21" s="134"/>
      <c r="Y21" s="134"/>
      <c r="AC21" s="134"/>
      <c r="AD21" s="134"/>
      <c r="AE21" s="134"/>
    </row>
    <row r="22" spans="1:31" x14ac:dyDescent="0.3">
      <c r="A22" s="220" t="s">
        <v>40</v>
      </c>
      <c r="B22" s="220"/>
      <c r="C22" s="220"/>
      <c r="D22" s="220"/>
      <c r="E22" s="220"/>
      <c r="J22" s="71" t="str">
        <f>'1.Ivan'!J22</f>
        <v/>
      </c>
      <c r="K22" s="214" t="s">
        <v>40</v>
      </c>
      <c r="L22" s="214"/>
      <c r="M22" s="214"/>
      <c r="N22" s="214"/>
      <c r="O22" s="214"/>
      <c r="Q22" s="217" t="s">
        <v>25</v>
      </c>
      <c r="R22" s="217"/>
      <c r="S22" s="219" t="s">
        <v>237</v>
      </c>
      <c r="T22" s="219"/>
      <c r="U22" s="219" t="s">
        <v>84</v>
      </c>
      <c r="V22" s="219"/>
      <c r="W22" s="134"/>
      <c r="X22" s="134"/>
      <c r="Y22" s="134"/>
      <c r="AC22" s="134"/>
      <c r="AD22" s="134"/>
      <c r="AE22" s="13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4"/>
      <c r="X23" s="134"/>
      <c r="Y23" s="134"/>
      <c r="AC23" s="134"/>
      <c r="AD23" s="134"/>
      <c r="AE23" s="13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4"/>
      <c r="X24" s="134"/>
      <c r="Y24" s="134"/>
      <c r="AC24" s="134"/>
      <c r="AD24" s="134"/>
      <c r="AE24" s="134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4"/>
      <c r="X25" s="134"/>
      <c r="Y25" s="134"/>
      <c r="AC25" s="134"/>
      <c r="AD25" s="134"/>
      <c r="AE25" s="134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4"/>
      <c r="X26" s="134"/>
      <c r="Y26" s="134"/>
      <c r="AC26" s="134"/>
      <c r="AD26" s="134"/>
      <c r="AE26" s="134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4"/>
      <c r="X27" s="134"/>
      <c r="Y27" s="134"/>
      <c r="Z27" s="19"/>
      <c r="AC27" s="134"/>
      <c r="AD27" s="134"/>
      <c r="AE27" s="13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4"/>
      <c r="X28" s="134"/>
      <c r="Y28" s="134"/>
      <c r="AC28" s="134"/>
      <c r="AD28" s="134"/>
      <c r="AE28" s="134"/>
    </row>
    <row r="29" spans="1:31" x14ac:dyDescent="0.3">
      <c r="A29" s="220" t="s">
        <v>39</v>
      </c>
      <c r="B29" s="220"/>
      <c r="C29" s="220"/>
      <c r="D29" s="220"/>
      <c r="E29" s="220"/>
      <c r="K29" s="214" t="s">
        <v>39</v>
      </c>
      <c r="L29" s="214"/>
      <c r="M29" s="214"/>
      <c r="N29" s="214"/>
      <c r="O29" s="214"/>
      <c r="W29" s="134"/>
      <c r="X29" s="134"/>
      <c r="Y29" s="134"/>
      <c r="AC29" s="134"/>
      <c r="AD29" s="134"/>
      <c r="AE29" s="13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4"/>
      <c r="X30" s="134"/>
      <c r="Y30" s="134"/>
      <c r="AC30" s="134"/>
      <c r="AD30" s="134"/>
      <c r="AE30" s="13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0" t="s">
        <v>38</v>
      </c>
      <c r="B36" s="220"/>
      <c r="C36" s="220"/>
      <c r="D36" s="220"/>
      <c r="E36" s="220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0" t="s">
        <v>37</v>
      </c>
      <c r="B43" s="220"/>
      <c r="C43" s="220"/>
      <c r="D43" s="220"/>
      <c r="E43" s="220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0" t="s">
        <v>36</v>
      </c>
      <c r="B50" s="220"/>
      <c r="C50" s="220"/>
      <c r="D50" s="220"/>
      <c r="E50" s="220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0" t="str">
        <f>_xlfn.CONCAT(W2,A57)</f>
        <v>Ivani - Oitavas de Final</v>
      </c>
      <c r="B58" s="210"/>
      <c r="C58" s="210"/>
      <c r="D58" s="210"/>
      <c r="E58" s="210"/>
      <c r="K58" s="211" t="s">
        <v>126</v>
      </c>
      <c r="L58" s="211"/>
      <c r="M58" s="211"/>
      <c r="N58" s="211"/>
      <c r="O58" s="211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0" t="str">
        <f>_xlfn.CONCAT(W2,A67)</f>
        <v>Ivani - Quartas de Final</v>
      </c>
      <c r="B68" s="210"/>
      <c r="C68" s="210"/>
      <c r="D68" s="210"/>
      <c r="E68" s="210"/>
      <c r="J68" s="71" t="str">
        <f>'1.Ivan'!J68</f>
        <v/>
      </c>
      <c r="K68" s="211" t="s">
        <v>95</v>
      </c>
      <c r="L68" s="211"/>
      <c r="M68" s="211"/>
      <c r="N68" s="211"/>
      <c r="O68" s="211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0" t="str">
        <f>_xlfn.CONCAT(W$2,A73)</f>
        <v>Ivani - Semi Final</v>
      </c>
      <c r="B74" s="210"/>
      <c r="C74" s="210"/>
      <c r="D74" s="210"/>
      <c r="E74" s="210"/>
      <c r="J74" s="71" t="str">
        <f>'1.Ivan'!J74</f>
        <v/>
      </c>
      <c r="K74" s="211" t="s">
        <v>96</v>
      </c>
      <c r="L74" s="211"/>
      <c r="M74" s="211"/>
      <c r="N74" s="211"/>
      <c r="O74" s="211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0" t="str">
        <f>_xlfn.CONCAT(W$2,A77)</f>
        <v>Ivani - Final</v>
      </c>
      <c r="B78" s="210"/>
      <c r="C78" s="210"/>
      <c r="D78" s="210"/>
      <c r="E78" s="210"/>
      <c r="J78" s="71" t="str">
        <f>'1.Ivan'!J78</f>
        <v/>
      </c>
      <c r="K78" s="211" t="s">
        <v>98</v>
      </c>
      <c r="L78" s="211"/>
      <c r="M78" s="211"/>
      <c r="N78" s="211"/>
      <c r="O78" s="211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228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4" t="s">
        <v>80</v>
      </c>
      <c r="X9" s="134"/>
      <c r="Y9" s="134"/>
      <c r="Z9" s="134"/>
      <c r="AA9" s="134"/>
      <c r="AB9" s="134"/>
      <c r="AC9" s="134"/>
      <c r="AD9" s="134"/>
      <c r="AE9" s="13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4" t="s">
        <v>190</v>
      </c>
      <c r="X10" s="134"/>
      <c r="Y10" s="134"/>
      <c r="Z10" s="2">
        <v>1</v>
      </c>
      <c r="AB10" s="2">
        <v>3</v>
      </c>
      <c r="AC10" s="134" t="s">
        <v>188</v>
      </c>
      <c r="AD10" s="134"/>
      <c r="AE10" s="134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280</v>
      </c>
      <c r="R11" s="215"/>
      <c r="S11" s="215"/>
      <c r="T11" s="215"/>
      <c r="U11" s="215"/>
      <c r="W11" s="134" t="s">
        <v>197</v>
      </c>
      <c r="X11" s="134"/>
      <c r="Y11" s="134"/>
      <c r="Z11" s="2">
        <v>2</v>
      </c>
      <c r="AB11" s="2">
        <v>0</v>
      </c>
      <c r="AC11" s="134" t="s">
        <v>198</v>
      </c>
      <c r="AD11" s="134"/>
      <c r="AE11" s="134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4" t="s">
        <v>205</v>
      </c>
      <c r="X12" s="134"/>
      <c r="Y12" s="134"/>
      <c r="Z12" s="2">
        <v>0</v>
      </c>
      <c r="AB12" s="2">
        <v>1</v>
      </c>
      <c r="AC12" s="134" t="s">
        <v>206</v>
      </c>
      <c r="AD12" s="134"/>
      <c r="AE12" s="13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5"/>
      <c r="R13" s="215"/>
      <c r="S13" s="215"/>
      <c r="T13" s="215"/>
      <c r="U13" s="215"/>
      <c r="W13" s="134"/>
      <c r="X13" s="134"/>
      <c r="Y13" s="134"/>
      <c r="AC13" s="134"/>
      <c r="AD13" s="134"/>
      <c r="AE13" s="13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4"/>
      <c r="X14" s="134"/>
      <c r="Y14" s="134"/>
      <c r="AC14" s="134"/>
      <c r="AD14" s="134"/>
      <c r="AE14" s="134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4"/>
      <c r="X15" s="134"/>
      <c r="Y15" s="134"/>
      <c r="AC15" s="134"/>
      <c r="AD15" s="134"/>
      <c r="AE15" s="134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4"/>
      <c r="X16" s="134"/>
      <c r="Y16" s="134"/>
      <c r="AC16" s="134"/>
      <c r="AD16" s="134"/>
      <c r="AE16" s="134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4"/>
      <c r="X17" s="134"/>
      <c r="Y17" s="134"/>
      <c r="AC17" s="134"/>
      <c r="AD17" s="134"/>
      <c r="AE17" s="134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4"/>
      <c r="X18" s="134"/>
      <c r="Y18" s="134"/>
      <c r="AC18" s="134"/>
      <c r="AD18" s="134"/>
      <c r="AE18" s="134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6</v>
      </c>
      <c r="S19" s="18">
        <v>10</v>
      </c>
      <c r="T19" s="18">
        <v>3</v>
      </c>
      <c r="U19" s="18">
        <v>10</v>
      </c>
      <c r="W19" s="134"/>
      <c r="X19" s="134"/>
      <c r="Y19" s="134"/>
      <c r="AC19" s="134"/>
      <c r="AD19" s="134"/>
      <c r="AE19" s="13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4"/>
      <c r="X20" s="134"/>
      <c r="Y20" s="134"/>
      <c r="AC20" s="134"/>
      <c r="AD20" s="134"/>
      <c r="AE20" s="134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7" t="s">
        <v>26</v>
      </c>
      <c r="R21" s="217"/>
      <c r="S21" s="218" t="s">
        <v>207</v>
      </c>
      <c r="T21" s="218"/>
      <c r="U21" s="218" t="s">
        <v>211</v>
      </c>
      <c r="V21" s="218"/>
      <c r="W21" s="134"/>
      <c r="X21" s="134"/>
      <c r="Y21" s="134"/>
      <c r="AC21" s="134"/>
      <c r="AD21" s="134"/>
      <c r="AE21" s="134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17" t="s">
        <v>25</v>
      </c>
      <c r="R22" s="217"/>
      <c r="S22" s="219" t="s">
        <v>238</v>
      </c>
      <c r="T22" s="219"/>
      <c r="U22" s="219" t="s">
        <v>84</v>
      </c>
      <c r="V22" s="219"/>
      <c r="W22" s="134"/>
      <c r="X22" s="134"/>
      <c r="Y22" s="134"/>
      <c r="AC22" s="134"/>
      <c r="AD22" s="134"/>
      <c r="AE22" s="134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4"/>
      <c r="X23" s="134"/>
      <c r="Y23" s="134"/>
      <c r="AC23" s="134"/>
      <c r="AD23" s="134"/>
      <c r="AE23" s="13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4"/>
      <c r="X24" s="134"/>
      <c r="Y24" s="134"/>
      <c r="AC24" s="134"/>
      <c r="AD24" s="134"/>
      <c r="AE24" s="13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4"/>
      <c r="X25" s="134"/>
      <c r="Y25" s="134"/>
      <c r="AC25" s="134"/>
      <c r="AD25" s="134"/>
      <c r="AE25" s="13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4"/>
      <c r="X26" s="134"/>
      <c r="Y26" s="134"/>
      <c r="AC26" s="134"/>
      <c r="AD26" s="134"/>
      <c r="AE26" s="13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4"/>
      <c r="X27" s="134"/>
      <c r="Y27" s="134"/>
      <c r="Z27" s="19"/>
      <c r="AC27" s="134"/>
      <c r="AD27" s="134"/>
      <c r="AE27" s="13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4"/>
      <c r="X28" s="134"/>
      <c r="Y28" s="134"/>
      <c r="AC28" s="134"/>
      <c r="AD28" s="134"/>
      <c r="AE28" s="134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4"/>
      <c r="X29" s="134"/>
      <c r="Y29" s="134"/>
      <c r="AC29" s="134"/>
      <c r="AD29" s="134"/>
      <c r="AE29" s="134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4"/>
      <c r="X30" s="134"/>
      <c r="Y30" s="134"/>
      <c r="AC30" s="134"/>
      <c r="AD30" s="134"/>
      <c r="AE30" s="13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0" t="str">
        <f>_xlfn.CONCAT(W2,A57)</f>
        <v>Manoel - Oitavas de Final</v>
      </c>
      <c r="B58" s="210"/>
      <c r="C58" s="210"/>
      <c r="D58" s="210"/>
      <c r="E58" s="210"/>
      <c r="K58" s="211" t="s">
        <v>126</v>
      </c>
      <c r="L58" s="211"/>
      <c r="M58" s="211"/>
      <c r="N58" s="211"/>
      <c r="O58" s="211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0" t="str">
        <f>_xlfn.CONCAT(W2,A67)</f>
        <v>Manoel - Quartas de Final</v>
      </c>
      <c r="B68" s="210"/>
      <c r="C68" s="210"/>
      <c r="D68" s="210"/>
      <c r="E68" s="210"/>
      <c r="J68" s="71" t="str">
        <f>'1.Ivan'!J68</f>
        <v/>
      </c>
      <c r="K68" s="211" t="s">
        <v>95</v>
      </c>
      <c r="L68" s="211"/>
      <c r="M68" s="211"/>
      <c r="N68" s="211"/>
      <c r="O68" s="211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0" t="str">
        <f>_xlfn.CONCAT(W$2,A73)</f>
        <v>Manoel - Semi Final</v>
      </c>
      <c r="B74" s="210"/>
      <c r="C74" s="210"/>
      <c r="D74" s="210"/>
      <c r="E74" s="210"/>
      <c r="J74" s="71" t="str">
        <f>'1.Ivan'!J74</f>
        <v/>
      </c>
      <c r="K74" s="211" t="s">
        <v>96</v>
      </c>
      <c r="L74" s="211"/>
      <c r="M74" s="211"/>
      <c r="N74" s="211"/>
      <c r="O74" s="211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0" t="str">
        <f>_xlfn.CONCAT(W$2,A77)</f>
        <v>Manoel - Final</v>
      </c>
      <c r="B78" s="210"/>
      <c r="C78" s="210"/>
      <c r="D78" s="210"/>
      <c r="E78" s="210"/>
      <c r="J78" s="71" t="str">
        <f>'1.Ivan'!J78</f>
        <v/>
      </c>
      <c r="K78" s="211" t="s">
        <v>98</v>
      </c>
      <c r="L78" s="211"/>
      <c r="M78" s="211"/>
      <c r="N78" s="211"/>
      <c r="O78" s="211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0" t="s">
        <v>35</v>
      </c>
      <c r="B1" s="220"/>
      <c r="C1" s="220"/>
      <c r="D1" s="220"/>
      <c r="E1" s="220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234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20" t="s">
        <v>42</v>
      </c>
      <c r="B8" s="220"/>
      <c r="C8" s="220"/>
      <c r="D8" s="220"/>
      <c r="E8" s="220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4" t="s">
        <v>80</v>
      </c>
      <c r="X9" s="134"/>
      <c r="Y9" s="134"/>
      <c r="Z9" s="134"/>
      <c r="AA9" s="134"/>
      <c r="AB9" s="134"/>
      <c r="AC9" s="134"/>
      <c r="AD9" s="134"/>
      <c r="AE9" s="13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4" t="s">
        <v>191</v>
      </c>
      <c r="X10" s="134"/>
      <c r="Y10" s="134"/>
      <c r="Z10" s="2">
        <v>2</v>
      </c>
      <c r="AB10" s="2">
        <v>1</v>
      </c>
      <c r="AC10" s="134" t="s">
        <v>193</v>
      </c>
      <c r="AD10" s="134"/>
      <c r="AE10" s="13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330</v>
      </c>
      <c r="R11" s="215"/>
      <c r="S11" s="215"/>
      <c r="T11" s="215"/>
      <c r="U11" s="215"/>
      <c r="W11" s="134" t="s">
        <v>202</v>
      </c>
      <c r="X11" s="134"/>
      <c r="Y11" s="134"/>
      <c r="Z11" s="2">
        <v>2</v>
      </c>
      <c r="AB11" s="2">
        <v>1</v>
      </c>
      <c r="AC11" s="134" t="s">
        <v>200</v>
      </c>
      <c r="AD11" s="134"/>
      <c r="AE11" s="134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4" t="s">
        <v>213</v>
      </c>
      <c r="X12" s="134"/>
      <c r="Y12" s="134"/>
      <c r="Z12" s="2">
        <v>1</v>
      </c>
      <c r="AB12" s="2">
        <v>2</v>
      </c>
      <c r="AC12" s="134" t="s">
        <v>214</v>
      </c>
      <c r="AD12" s="134"/>
      <c r="AE12" s="134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5"/>
      <c r="R13" s="215"/>
      <c r="S13" s="215"/>
      <c r="T13" s="215"/>
      <c r="U13" s="215"/>
      <c r="W13" s="134" t="s">
        <v>211</v>
      </c>
      <c r="X13" s="134"/>
      <c r="Y13" s="134"/>
      <c r="Z13" s="2">
        <v>3</v>
      </c>
      <c r="AB13" s="2">
        <v>1</v>
      </c>
      <c r="AC13" s="134" t="s">
        <v>213</v>
      </c>
      <c r="AD13" s="134"/>
      <c r="AE13" s="13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4"/>
      <c r="X14" s="134"/>
      <c r="Y14" s="134"/>
      <c r="AC14" s="134"/>
      <c r="AD14" s="134"/>
      <c r="AE14" s="134"/>
      <c r="BD14" s="1">
        <v>5</v>
      </c>
    </row>
    <row r="15" spans="1:56" x14ac:dyDescent="0.3">
      <c r="A15" s="220" t="s">
        <v>41</v>
      </c>
      <c r="B15" s="220"/>
      <c r="C15" s="220"/>
      <c r="D15" s="220"/>
      <c r="E15" s="220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4"/>
      <c r="X15" s="134"/>
      <c r="Y15" s="134"/>
      <c r="AC15" s="134"/>
      <c r="AD15" s="134"/>
      <c r="AE15" s="134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4"/>
      <c r="X16" s="134"/>
      <c r="Y16" s="134"/>
      <c r="AC16" s="134"/>
      <c r="AD16" s="134"/>
      <c r="AE16" s="13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4"/>
      <c r="X17" s="134"/>
      <c r="Y17" s="134"/>
      <c r="AC17" s="134"/>
      <c r="AD17" s="134"/>
      <c r="AE17" s="134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4"/>
      <c r="X18" s="134"/>
      <c r="Y18" s="134"/>
      <c r="AC18" s="134"/>
      <c r="AD18" s="134"/>
      <c r="AE18" s="13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7</v>
      </c>
      <c r="S19" s="18">
        <v>8</v>
      </c>
      <c r="T19" s="18">
        <v>9</v>
      </c>
      <c r="U19" s="18">
        <v>4</v>
      </c>
      <c r="W19" s="134"/>
      <c r="X19" s="134"/>
      <c r="Y19" s="134"/>
      <c r="AC19" s="134"/>
      <c r="AD19" s="134"/>
      <c r="AE19" s="134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4"/>
      <c r="X20" s="134"/>
      <c r="Y20" s="134"/>
      <c r="AC20" s="134"/>
      <c r="AD20" s="134"/>
      <c r="AE20" s="134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7" t="s">
        <v>26</v>
      </c>
      <c r="R21" s="217"/>
      <c r="S21" s="218" t="s">
        <v>211</v>
      </c>
      <c r="T21" s="218"/>
      <c r="U21" s="218" t="s">
        <v>187</v>
      </c>
      <c r="V21" s="218"/>
      <c r="W21" s="134"/>
      <c r="X21" s="134"/>
      <c r="Y21" s="134"/>
      <c r="AC21" s="134"/>
      <c r="AD21" s="134"/>
      <c r="AE21" s="134"/>
    </row>
    <row r="22" spans="1:31" x14ac:dyDescent="0.3">
      <c r="A22" s="220" t="s">
        <v>40</v>
      </c>
      <c r="B22" s="220"/>
      <c r="C22" s="220"/>
      <c r="D22" s="220"/>
      <c r="E22" s="220"/>
      <c r="J22" s="71" t="str">
        <f>'1.Ivan'!J22</f>
        <v/>
      </c>
      <c r="K22" s="214" t="s">
        <v>40</v>
      </c>
      <c r="L22" s="214"/>
      <c r="M22" s="214"/>
      <c r="N22" s="214"/>
      <c r="O22" s="214"/>
      <c r="Q22" s="217" t="s">
        <v>25</v>
      </c>
      <c r="R22" s="217"/>
      <c r="S22" s="219" t="s">
        <v>84</v>
      </c>
      <c r="T22" s="219"/>
      <c r="U22" s="219" t="s">
        <v>238</v>
      </c>
      <c r="V22" s="219"/>
      <c r="W22" s="134"/>
      <c r="X22" s="134"/>
      <c r="Y22" s="134"/>
      <c r="AC22" s="134"/>
      <c r="AD22" s="134"/>
      <c r="AE22" s="134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4"/>
      <c r="X23" s="134"/>
      <c r="Y23" s="134"/>
      <c r="AC23" s="134"/>
      <c r="AD23" s="134"/>
      <c r="AE23" s="134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4"/>
      <c r="X24" s="134"/>
      <c r="Y24" s="134"/>
      <c r="AC24" s="134"/>
      <c r="AD24" s="134"/>
      <c r="AE24" s="13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4"/>
      <c r="X25" s="134"/>
      <c r="Y25" s="134"/>
      <c r="AC25" s="134"/>
      <c r="AD25" s="134"/>
      <c r="AE25" s="134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4"/>
      <c r="X26" s="134"/>
      <c r="Y26" s="134"/>
      <c r="AC26" s="134"/>
      <c r="AD26" s="134"/>
      <c r="AE26" s="13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4"/>
      <c r="X27" s="134"/>
      <c r="Y27" s="134"/>
      <c r="Z27" s="19"/>
      <c r="AC27" s="134"/>
      <c r="AD27" s="134"/>
      <c r="AE27" s="134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4"/>
      <c r="X28" s="134"/>
      <c r="Y28" s="134"/>
      <c r="AC28" s="134"/>
      <c r="AD28" s="134"/>
      <c r="AE28" s="134"/>
    </row>
    <row r="29" spans="1:31" x14ac:dyDescent="0.3">
      <c r="A29" s="220" t="s">
        <v>39</v>
      </c>
      <c r="B29" s="220"/>
      <c r="C29" s="220"/>
      <c r="D29" s="220"/>
      <c r="E29" s="220"/>
      <c r="K29" s="214" t="s">
        <v>39</v>
      </c>
      <c r="L29" s="214"/>
      <c r="M29" s="214"/>
      <c r="N29" s="214"/>
      <c r="O29" s="214"/>
      <c r="W29" s="134"/>
      <c r="X29" s="134"/>
      <c r="Y29" s="134"/>
      <c r="AC29" s="134"/>
      <c r="AD29" s="134"/>
      <c r="AE29" s="134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4"/>
      <c r="X30" s="134"/>
      <c r="Y30" s="134"/>
      <c r="AC30" s="134"/>
      <c r="AD30" s="134"/>
      <c r="AE30" s="134"/>
    </row>
    <row r="31" spans="1:31" x14ac:dyDescent="0.3">
      <c r="A31" s="131" t="str">
        <f t="shared" ref="A31:A35" si="8">K31</f>
        <v>Monterrey</v>
      </c>
      <c r="B31" s="132">
        <v>1</v>
      </c>
      <c r="C31" s="132" t="s">
        <v>33</v>
      </c>
      <c r="D31" s="132">
        <v>2</v>
      </c>
      <c r="E31" s="13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0" t="s">
        <v>38</v>
      </c>
      <c r="B36" s="220"/>
      <c r="C36" s="220"/>
      <c r="D36" s="220"/>
      <c r="E36" s="220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0" t="s">
        <v>37</v>
      </c>
      <c r="B43" s="220"/>
      <c r="C43" s="220"/>
      <c r="D43" s="220"/>
      <c r="E43" s="220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0" t="s">
        <v>36</v>
      </c>
      <c r="B50" s="220"/>
      <c r="C50" s="220"/>
      <c r="D50" s="220"/>
      <c r="E50" s="220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H53" s="2">
        <v>25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0" t="str">
        <f>_xlfn.CONCAT(W2,A57)</f>
        <v>Mateus Henrique - Oitavas de Final</v>
      </c>
      <c r="B58" s="210"/>
      <c r="C58" s="210"/>
      <c r="D58" s="210"/>
      <c r="E58" s="210"/>
      <c r="K58" s="211" t="s">
        <v>126</v>
      </c>
      <c r="L58" s="211"/>
      <c r="M58" s="211"/>
      <c r="N58" s="211"/>
      <c r="O58" s="211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0" t="str">
        <f>_xlfn.CONCAT(W2,A67)</f>
        <v>Mateus Henrique - Quartas de Final</v>
      </c>
      <c r="B68" s="210"/>
      <c r="C68" s="210"/>
      <c r="D68" s="210"/>
      <c r="E68" s="210"/>
      <c r="J68" s="71" t="str">
        <f>'1.Ivan'!J68</f>
        <v/>
      </c>
      <c r="K68" s="211" t="s">
        <v>95</v>
      </c>
      <c r="L68" s="211"/>
      <c r="M68" s="211"/>
      <c r="N68" s="211"/>
      <c r="O68" s="211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0" t="str">
        <f>_xlfn.CONCAT(W$2,A73)</f>
        <v>Mateus Henrique - Semi Final</v>
      </c>
      <c r="B74" s="210"/>
      <c r="C74" s="210"/>
      <c r="D74" s="210"/>
      <c r="E74" s="210"/>
      <c r="J74" s="71" t="str">
        <f>'1.Ivan'!J74</f>
        <v/>
      </c>
      <c r="K74" s="211" t="s">
        <v>96</v>
      </c>
      <c r="L74" s="211"/>
      <c r="M74" s="211"/>
      <c r="N74" s="211"/>
      <c r="O74" s="211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0" t="str">
        <f>_xlfn.CONCAT(W$2,A77)</f>
        <v>Mateus Henrique - Final</v>
      </c>
      <c r="B78" s="210"/>
      <c r="C78" s="210"/>
      <c r="D78" s="210"/>
      <c r="E78" s="210"/>
      <c r="J78" s="71" t="str">
        <f>'1.Ivan'!J78</f>
        <v/>
      </c>
      <c r="K78" s="211" t="s">
        <v>98</v>
      </c>
      <c r="L78" s="211"/>
      <c r="M78" s="211"/>
      <c r="N78" s="211"/>
      <c r="O78" s="211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47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4" t="s">
        <v>80</v>
      </c>
      <c r="X9" s="134"/>
      <c r="Y9" s="134"/>
      <c r="Z9" s="134"/>
      <c r="AA9" s="134"/>
      <c r="AB9" s="134"/>
      <c r="AC9" s="134"/>
      <c r="AD9" s="134"/>
      <c r="AE9" s="13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4" t="s">
        <v>213</v>
      </c>
      <c r="X10" s="134"/>
      <c r="Y10" s="134"/>
      <c r="Z10" s="2">
        <v>1</v>
      </c>
      <c r="AB10" s="2">
        <v>2</v>
      </c>
      <c r="AC10" s="134" t="s">
        <v>214</v>
      </c>
      <c r="AD10" s="134"/>
      <c r="AE10" s="13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295</v>
      </c>
      <c r="R11" s="215"/>
      <c r="S11" s="215"/>
      <c r="T11" s="215"/>
      <c r="U11" s="215"/>
      <c r="W11" s="134"/>
      <c r="X11" s="134"/>
      <c r="Y11" s="134"/>
      <c r="AC11" s="134"/>
      <c r="AD11" s="134"/>
      <c r="AE11" s="134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4"/>
      <c r="X12" s="134"/>
      <c r="Y12" s="134"/>
      <c r="AC12" s="134"/>
      <c r="AD12" s="134"/>
      <c r="AE12" s="13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5"/>
      <c r="R13" s="215"/>
      <c r="S13" s="215"/>
      <c r="T13" s="215"/>
      <c r="U13" s="215"/>
      <c r="W13" s="134"/>
      <c r="X13" s="134"/>
      <c r="Y13" s="134"/>
      <c r="AC13" s="134"/>
      <c r="AD13" s="134"/>
      <c r="AE13" s="134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4"/>
      <c r="X14" s="134"/>
      <c r="Y14" s="134"/>
      <c r="AC14" s="134"/>
      <c r="AD14" s="134"/>
      <c r="AE14" s="134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4"/>
      <c r="X15" s="134"/>
      <c r="Y15" s="134"/>
      <c r="AC15" s="134"/>
      <c r="AD15" s="134"/>
      <c r="AE15" s="134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4"/>
      <c r="X16" s="134"/>
      <c r="Y16" s="134"/>
      <c r="AC16" s="134"/>
      <c r="AD16" s="134"/>
      <c r="AE16" s="13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4"/>
      <c r="X17" s="134"/>
      <c r="Y17" s="134"/>
      <c r="AC17" s="134"/>
      <c r="AD17" s="134"/>
      <c r="AE17" s="134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4"/>
      <c r="X18" s="134"/>
      <c r="Y18" s="134"/>
      <c r="AC18" s="134"/>
      <c r="AD18" s="134"/>
      <c r="AE18" s="134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12</v>
      </c>
      <c r="S19" s="18">
        <v>8</v>
      </c>
      <c r="T19" s="18">
        <v>2</v>
      </c>
      <c r="U19" s="18">
        <v>9</v>
      </c>
      <c r="W19" s="134"/>
      <c r="X19" s="134"/>
      <c r="Y19" s="134"/>
      <c r="AC19" s="134"/>
      <c r="AD19" s="134"/>
      <c r="AE19" s="134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4"/>
      <c r="X20" s="134"/>
      <c r="Y20" s="134"/>
      <c r="AC20" s="134"/>
      <c r="AD20" s="134"/>
      <c r="AE20" s="13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7" t="s">
        <v>26</v>
      </c>
      <c r="R21" s="217"/>
      <c r="S21" s="218" t="s">
        <v>211</v>
      </c>
      <c r="T21" s="218"/>
      <c r="U21" s="218" t="s">
        <v>187</v>
      </c>
      <c r="V21" s="218"/>
      <c r="W21" s="134"/>
      <c r="X21" s="134"/>
      <c r="Y21" s="134"/>
      <c r="AC21" s="134"/>
      <c r="AD21" s="134"/>
      <c r="AE21" s="134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17" t="s">
        <v>25</v>
      </c>
      <c r="R22" s="217"/>
      <c r="S22" s="219" t="s">
        <v>84</v>
      </c>
      <c r="T22" s="219"/>
      <c r="U22" s="219" t="s">
        <v>238</v>
      </c>
      <c r="V22" s="219"/>
      <c r="W22" s="134"/>
      <c r="X22" s="134"/>
      <c r="Y22" s="134"/>
      <c r="AC22" s="134"/>
      <c r="AD22" s="134"/>
      <c r="AE22" s="134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4"/>
      <c r="X23" s="134"/>
      <c r="Y23" s="134"/>
      <c r="AC23" s="134"/>
      <c r="AD23" s="134"/>
      <c r="AE23" s="13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4"/>
      <c r="X24" s="134"/>
      <c r="Y24" s="134"/>
      <c r="AC24" s="134"/>
      <c r="AD24" s="134"/>
      <c r="AE24" s="13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4"/>
      <c r="X25" s="134"/>
      <c r="Y25" s="134"/>
      <c r="AC25" s="134"/>
      <c r="AD25" s="134"/>
      <c r="AE25" s="134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4"/>
      <c r="X26" s="134"/>
      <c r="Y26" s="134"/>
      <c r="AC26" s="134"/>
      <c r="AD26" s="134"/>
      <c r="AE26" s="13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4"/>
      <c r="X27" s="134"/>
      <c r="Y27" s="134"/>
      <c r="Z27" s="19"/>
      <c r="AC27" s="134"/>
      <c r="AD27" s="134"/>
      <c r="AE27" s="13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4"/>
      <c r="X28" s="134"/>
      <c r="Y28" s="134"/>
      <c r="AC28" s="134"/>
      <c r="AD28" s="134"/>
      <c r="AE28" s="134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4"/>
      <c r="X29" s="134"/>
      <c r="Y29" s="134"/>
      <c r="AC29" s="134"/>
      <c r="AD29" s="134"/>
      <c r="AE29" s="13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4"/>
      <c r="X30" s="134"/>
      <c r="Y30" s="134"/>
      <c r="AC30" s="134"/>
      <c r="AD30" s="134"/>
      <c r="AE30" s="13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31" t="str">
        <f t="shared" si="14"/>
        <v>RB Salzburg</v>
      </c>
      <c r="B54" s="132">
        <v>2</v>
      </c>
      <c r="C54" s="132" t="s">
        <v>33</v>
      </c>
      <c r="D54" s="132">
        <v>2</v>
      </c>
      <c r="E54" s="13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0" t="str">
        <f>_xlfn.CONCAT(W2,A57)</f>
        <v>Gabriel - Oitavas de Final</v>
      </c>
      <c r="B58" s="210"/>
      <c r="C58" s="210"/>
      <c r="D58" s="210"/>
      <c r="E58" s="210"/>
      <c r="K58" s="211" t="s">
        <v>126</v>
      </c>
      <c r="L58" s="211"/>
      <c r="M58" s="211"/>
      <c r="N58" s="211"/>
      <c r="O58" s="211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0" t="str">
        <f>_xlfn.CONCAT(W2,A67)</f>
        <v>Gabriel - Quartas de Final</v>
      </c>
      <c r="B68" s="210"/>
      <c r="C68" s="210"/>
      <c r="D68" s="210"/>
      <c r="E68" s="210"/>
      <c r="J68" s="71" t="str">
        <f>'1.Ivan'!J68</f>
        <v/>
      </c>
      <c r="K68" s="211" t="s">
        <v>95</v>
      </c>
      <c r="L68" s="211"/>
      <c r="M68" s="211"/>
      <c r="N68" s="211"/>
      <c r="O68" s="211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0" t="str">
        <f>_xlfn.CONCAT(W$2,A73)</f>
        <v>Gabriel - Semi Final</v>
      </c>
      <c r="B74" s="210"/>
      <c r="C74" s="210"/>
      <c r="D74" s="210"/>
      <c r="E74" s="210"/>
      <c r="J74" s="71" t="str">
        <f>'1.Ivan'!J74</f>
        <v/>
      </c>
      <c r="K74" s="211" t="s">
        <v>96</v>
      </c>
      <c r="L74" s="211"/>
      <c r="M74" s="211"/>
      <c r="N74" s="211"/>
      <c r="O74" s="211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0" t="str">
        <f>_xlfn.CONCAT(W$2,A77)</f>
        <v>Gabriel - Final</v>
      </c>
      <c r="B78" s="210"/>
      <c r="C78" s="210"/>
      <c r="D78" s="210"/>
      <c r="E78" s="210"/>
      <c r="J78" s="71" t="str">
        <f>'1.Ivan'!J78</f>
        <v/>
      </c>
      <c r="K78" s="211" t="s">
        <v>98</v>
      </c>
      <c r="L78" s="211"/>
      <c r="M78" s="211"/>
      <c r="N78" s="211"/>
      <c r="O78" s="211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0" t="s">
        <v>35</v>
      </c>
      <c r="B1" s="220"/>
      <c r="C1" s="220"/>
      <c r="D1" s="220"/>
      <c r="E1" s="220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229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20" t="s">
        <v>42</v>
      </c>
      <c r="B8" s="220"/>
      <c r="C8" s="220"/>
      <c r="D8" s="220"/>
      <c r="E8" s="220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4" t="s">
        <v>80</v>
      </c>
      <c r="X9" s="134"/>
      <c r="Y9" s="134"/>
      <c r="Z9" s="134"/>
      <c r="AA9" s="134"/>
      <c r="AB9" s="134"/>
      <c r="AC9" s="134"/>
      <c r="AD9" s="134"/>
      <c r="AE9" s="134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4" t="s">
        <v>185</v>
      </c>
      <c r="X10" s="134"/>
      <c r="Y10" s="134"/>
      <c r="Z10" s="2">
        <v>2</v>
      </c>
      <c r="AB10" s="2">
        <v>0</v>
      </c>
      <c r="AC10" s="134" t="s">
        <v>183</v>
      </c>
      <c r="AD10" s="134"/>
      <c r="AE10" s="134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290</v>
      </c>
      <c r="R11" s="215"/>
      <c r="S11" s="215"/>
      <c r="T11" s="215"/>
      <c r="U11" s="215"/>
      <c r="W11" s="134" t="s">
        <v>213</v>
      </c>
      <c r="X11" s="134"/>
      <c r="Y11" s="134"/>
      <c r="Z11" s="2">
        <v>1</v>
      </c>
      <c r="AB11" s="2">
        <v>2</v>
      </c>
      <c r="AC11" s="134" t="s">
        <v>214</v>
      </c>
      <c r="AD11" s="134"/>
      <c r="AE11" s="134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4"/>
      <c r="X12" s="134"/>
      <c r="Y12" s="134"/>
      <c r="AC12" s="134"/>
      <c r="AD12" s="134"/>
      <c r="AE12" s="13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5"/>
      <c r="R13" s="215"/>
      <c r="S13" s="215"/>
      <c r="T13" s="215"/>
      <c r="U13" s="215"/>
      <c r="W13" s="134"/>
      <c r="X13" s="134"/>
      <c r="Y13" s="134"/>
      <c r="AC13" s="134"/>
      <c r="AD13" s="134"/>
      <c r="AE13" s="134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4"/>
      <c r="X14" s="134"/>
      <c r="Y14" s="134"/>
      <c r="AC14" s="134"/>
      <c r="AD14" s="134"/>
      <c r="AE14" s="134"/>
      <c r="BD14" s="1">
        <v>5</v>
      </c>
    </row>
    <row r="15" spans="1:56" x14ac:dyDescent="0.3">
      <c r="A15" s="220" t="s">
        <v>41</v>
      </c>
      <c r="B15" s="220"/>
      <c r="C15" s="220"/>
      <c r="D15" s="220"/>
      <c r="E15" s="220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4"/>
      <c r="X15" s="134"/>
      <c r="Y15" s="134"/>
      <c r="AC15" s="134"/>
      <c r="AD15" s="134"/>
      <c r="AE15" s="134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4"/>
      <c r="X16" s="134"/>
      <c r="Y16" s="134"/>
      <c r="AC16" s="134"/>
      <c r="AD16" s="134"/>
      <c r="AE16" s="13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4"/>
      <c r="X17" s="134"/>
      <c r="Y17" s="134"/>
      <c r="AC17" s="134"/>
      <c r="AD17" s="134"/>
      <c r="AE17" s="13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4"/>
      <c r="X18" s="134"/>
      <c r="Y18" s="134"/>
      <c r="AC18" s="134"/>
      <c r="AD18" s="134"/>
      <c r="AE18" s="134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8</v>
      </c>
      <c r="S19" s="18">
        <v>9</v>
      </c>
      <c r="T19" s="18">
        <v>6</v>
      </c>
      <c r="U19" s="18">
        <v>7</v>
      </c>
      <c r="W19" s="134"/>
      <c r="X19" s="134"/>
      <c r="Y19" s="134"/>
      <c r="AC19" s="134"/>
      <c r="AD19" s="134"/>
      <c r="AE19" s="13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4"/>
      <c r="X20" s="134"/>
      <c r="Y20" s="134"/>
      <c r="AC20" s="134"/>
      <c r="AD20" s="134"/>
      <c r="AE20" s="13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7" t="s">
        <v>26</v>
      </c>
      <c r="R21" s="217"/>
      <c r="S21" s="218" t="s">
        <v>207</v>
      </c>
      <c r="T21" s="218"/>
      <c r="U21" s="218" t="s">
        <v>211</v>
      </c>
      <c r="V21" s="218"/>
      <c r="W21" s="134"/>
      <c r="X21" s="134"/>
      <c r="Y21" s="134"/>
      <c r="AC21" s="134"/>
      <c r="AD21" s="134"/>
      <c r="AE21" s="134"/>
    </row>
    <row r="22" spans="1:31" x14ac:dyDescent="0.3">
      <c r="A22" s="220" t="s">
        <v>40</v>
      </c>
      <c r="B22" s="220"/>
      <c r="C22" s="220"/>
      <c r="D22" s="220"/>
      <c r="E22" s="220"/>
      <c r="J22" s="71" t="str">
        <f>'1.Ivan'!J22</f>
        <v/>
      </c>
      <c r="K22" s="214" t="s">
        <v>40</v>
      </c>
      <c r="L22" s="214"/>
      <c r="M22" s="214"/>
      <c r="N22" s="214"/>
      <c r="O22" s="214"/>
      <c r="Q22" s="217" t="s">
        <v>25</v>
      </c>
      <c r="R22" s="217"/>
      <c r="S22" s="219" t="s">
        <v>238</v>
      </c>
      <c r="T22" s="219"/>
      <c r="U22" s="219" t="s">
        <v>237</v>
      </c>
      <c r="V22" s="219"/>
      <c r="W22" s="134"/>
      <c r="X22" s="134"/>
      <c r="Y22" s="134"/>
      <c r="AC22" s="134"/>
      <c r="AD22" s="134"/>
      <c r="AE22" s="134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4"/>
      <c r="X23" s="134"/>
      <c r="Y23" s="134"/>
      <c r="AC23" s="134"/>
      <c r="AD23" s="134"/>
      <c r="AE23" s="13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4"/>
      <c r="X24" s="134"/>
      <c r="Y24" s="134"/>
      <c r="AC24" s="134"/>
      <c r="AD24" s="134"/>
      <c r="AE24" s="134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4"/>
      <c r="X25" s="134"/>
      <c r="Y25" s="134"/>
      <c r="AC25" s="134"/>
      <c r="AD25" s="134"/>
      <c r="AE25" s="13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4"/>
      <c r="X26" s="134"/>
      <c r="Y26" s="134"/>
      <c r="AC26" s="134"/>
      <c r="AD26" s="134"/>
      <c r="AE26" s="134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4"/>
      <c r="X27" s="134"/>
      <c r="Y27" s="134"/>
      <c r="Z27" s="19"/>
      <c r="AC27" s="134"/>
      <c r="AD27" s="134"/>
      <c r="AE27" s="134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4"/>
      <c r="X28" s="134"/>
      <c r="Y28" s="134"/>
      <c r="AC28" s="134"/>
      <c r="AD28" s="134"/>
      <c r="AE28" s="134"/>
    </row>
    <row r="29" spans="1:31" x14ac:dyDescent="0.3">
      <c r="A29" s="220" t="s">
        <v>39</v>
      </c>
      <c r="B29" s="220"/>
      <c r="C29" s="220"/>
      <c r="D29" s="220"/>
      <c r="E29" s="220"/>
      <c r="K29" s="214" t="s">
        <v>39</v>
      </c>
      <c r="L29" s="214"/>
      <c r="M29" s="214"/>
      <c r="N29" s="214"/>
      <c r="O29" s="214"/>
      <c r="W29" s="134"/>
      <c r="X29" s="134"/>
      <c r="Y29" s="134"/>
      <c r="AC29" s="134"/>
      <c r="AD29" s="134"/>
      <c r="AE29" s="134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4"/>
      <c r="X30" s="134"/>
      <c r="Y30" s="134"/>
      <c r="AC30" s="134"/>
      <c r="AD30" s="134"/>
      <c r="AE30" s="13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0" t="s">
        <v>38</v>
      </c>
      <c r="B36" s="220"/>
      <c r="C36" s="220"/>
      <c r="D36" s="220"/>
      <c r="E36" s="220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0" t="s">
        <v>37</v>
      </c>
      <c r="B43" s="220"/>
      <c r="C43" s="220"/>
      <c r="D43" s="220"/>
      <c r="E43" s="220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0" t="s">
        <v>36</v>
      </c>
      <c r="B50" s="220"/>
      <c r="C50" s="220"/>
      <c r="D50" s="220"/>
      <c r="E50" s="220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0" t="str">
        <f>_xlfn.CONCAT(W2,A57)</f>
        <v>Marcel - Oitavas de Final</v>
      </c>
      <c r="B58" s="210"/>
      <c r="C58" s="210"/>
      <c r="D58" s="210"/>
      <c r="E58" s="210"/>
      <c r="K58" s="211" t="s">
        <v>126</v>
      </c>
      <c r="L58" s="211"/>
      <c r="M58" s="211"/>
      <c r="N58" s="211"/>
      <c r="O58" s="211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0" t="str">
        <f>_xlfn.CONCAT(W2,A67)</f>
        <v>Marcel - Quartas de Final</v>
      </c>
      <c r="B68" s="210"/>
      <c r="C68" s="210"/>
      <c r="D68" s="210"/>
      <c r="E68" s="210"/>
      <c r="J68" s="71" t="str">
        <f>'1.Ivan'!J68</f>
        <v/>
      </c>
      <c r="K68" s="211" t="s">
        <v>95</v>
      </c>
      <c r="L68" s="211"/>
      <c r="M68" s="211"/>
      <c r="N68" s="211"/>
      <c r="O68" s="211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0" t="str">
        <f>_xlfn.CONCAT(W$2,A73)</f>
        <v>Marcel - Semi Final</v>
      </c>
      <c r="B74" s="210"/>
      <c r="C74" s="210"/>
      <c r="D74" s="210"/>
      <c r="E74" s="210"/>
      <c r="J74" s="71" t="str">
        <f>'1.Ivan'!J74</f>
        <v/>
      </c>
      <c r="K74" s="211" t="s">
        <v>96</v>
      </c>
      <c r="L74" s="211"/>
      <c r="M74" s="211"/>
      <c r="N74" s="211"/>
      <c r="O74" s="211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0" t="str">
        <f>_xlfn.CONCAT(W$2,A77)</f>
        <v>Marcel - Final</v>
      </c>
      <c r="B78" s="210"/>
      <c r="C78" s="210"/>
      <c r="D78" s="210"/>
      <c r="E78" s="210"/>
      <c r="J78" s="71" t="str">
        <f>'1.Ivan'!J78</f>
        <v/>
      </c>
      <c r="K78" s="211" t="s">
        <v>98</v>
      </c>
      <c r="L78" s="211"/>
      <c r="M78" s="211"/>
      <c r="N78" s="211"/>
      <c r="O78" s="211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50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4" t="s">
        <v>80</v>
      </c>
      <c r="X9" s="134"/>
      <c r="Y9" s="134"/>
      <c r="Z9" s="134"/>
      <c r="AA9" s="134"/>
      <c r="AB9" s="134"/>
      <c r="AC9" s="134"/>
      <c r="AD9" s="134"/>
      <c r="AE9" s="134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4" t="s">
        <v>184</v>
      </c>
      <c r="X10" s="134"/>
      <c r="Y10" s="134"/>
      <c r="Z10" s="2">
        <v>2</v>
      </c>
      <c r="AB10" s="2">
        <v>1</v>
      </c>
      <c r="AC10" s="134" t="s">
        <v>186</v>
      </c>
      <c r="AD10" s="134"/>
      <c r="AE10" s="13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290</v>
      </c>
      <c r="R11" s="215"/>
      <c r="S11" s="215"/>
      <c r="T11" s="215"/>
      <c r="U11" s="215"/>
      <c r="W11" s="134" t="s">
        <v>197</v>
      </c>
      <c r="X11" s="134"/>
      <c r="Y11" s="134"/>
      <c r="Z11" s="2">
        <v>2</v>
      </c>
      <c r="AB11" s="2">
        <v>0</v>
      </c>
      <c r="AC11" s="134" t="s">
        <v>198</v>
      </c>
      <c r="AD11" s="134"/>
      <c r="AE11" s="134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4"/>
      <c r="X12" s="134"/>
      <c r="Y12" s="134"/>
      <c r="AC12" s="134"/>
      <c r="AD12" s="134"/>
      <c r="AE12" s="13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5"/>
      <c r="R13" s="215"/>
      <c r="S13" s="215"/>
      <c r="T13" s="215"/>
      <c r="U13" s="215"/>
      <c r="W13" s="134"/>
      <c r="X13" s="134"/>
      <c r="Y13" s="134"/>
      <c r="AC13" s="134"/>
      <c r="AD13" s="134"/>
      <c r="AE13" s="13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4"/>
      <c r="X14" s="134"/>
      <c r="Y14" s="134"/>
      <c r="AC14" s="134"/>
      <c r="AD14" s="134"/>
      <c r="AE14" s="134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4"/>
      <c r="X15" s="134"/>
      <c r="Y15" s="134"/>
      <c r="AC15" s="134"/>
      <c r="AD15" s="134"/>
      <c r="AE15" s="134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4"/>
      <c r="X16" s="134"/>
      <c r="Y16" s="134"/>
      <c r="AC16" s="134"/>
      <c r="AD16" s="134"/>
      <c r="AE16" s="13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4"/>
      <c r="X17" s="134"/>
      <c r="Y17" s="134"/>
      <c r="AC17" s="134"/>
      <c r="AD17" s="134"/>
      <c r="AE17" s="134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4"/>
      <c r="X18" s="134"/>
      <c r="Y18" s="134"/>
      <c r="AC18" s="134"/>
      <c r="AD18" s="134"/>
      <c r="AE18" s="134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9</v>
      </c>
      <c r="S19" s="18">
        <v>8</v>
      </c>
      <c r="T19" s="18">
        <v>5</v>
      </c>
      <c r="U19" s="18">
        <v>8</v>
      </c>
      <c r="W19" s="134"/>
      <c r="X19" s="134"/>
      <c r="Y19" s="134"/>
      <c r="AC19" s="134"/>
      <c r="AD19" s="134"/>
      <c r="AE19" s="134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4"/>
      <c r="X20" s="134"/>
      <c r="Y20" s="134"/>
      <c r="AC20" s="134"/>
      <c r="AD20" s="134"/>
      <c r="AE20" s="134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7" t="s">
        <v>26</v>
      </c>
      <c r="R21" s="217"/>
      <c r="S21" s="218" t="s">
        <v>207</v>
      </c>
      <c r="T21" s="218"/>
      <c r="U21" s="218" t="s">
        <v>191</v>
      </c>
      <c r="V21" s="218"/>
      <c r="W21" s="134"/>
      <c r="X21" s="134"/>
      <c r="Y21" s="134"/>
      <c r="AC21" s="134"/>
      <c r="AD21" s="134"/>
      <c r="AE21" s="134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17" t="s">
        <v>25</v>
      </c>
      <c r="R22" s="217"/>
      <c r="S22" s="219" t="s">
        <v>84</v>
      </c>
      <c r="T22" s="219"/>
      <c r="U22" s="219" t="s">
        <v>243</v>
      </c>
      <c r="V22" s="219"/>
      <c r="W22" s="134"/>
      <c r="X22" s="134"/>
      <c r="Y22" s="134"/>
      <c r="AC22" s="134"/>
      <c r="AD22" s="134"/>
      <c r="AE22" s="134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4"/>
      <c r="X23" s="134"/>
      <c r="Y23" s="134"/>
      <c r="AC23" s="134"/>
      <c r="AD23" s="134"/>
      <c r="AE23" s="13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4"/>
      <c r="X24" s="134"/>
      <c r="Y24" s="134"/>
      <c r="AC24" s="134"/>
      <c r="AD24" s="134"/>
      <c r="AE24" s="13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4"/>
      <c r="X25" s="134"/>
      <c r="Y25" s="134"/>
      <c r="AC25" s="134"/>
      <c r="AD25" s="134"/>
      <c r="AE25" s="13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4"/>
      <c r="X26" s="134"/>
      <c r="Y26" s="134"/>
      <c r="AC26" s="134"/>
      <c r="AD26" s="134"/>
      <c r="AE26" s="13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4"/>
      <c r="X27" s="134"/>
      <c r="Y27" s="134"/>
      <c r="Z27" s="19"/>
      <c r="AC27" s="134"/>
      <c r="AD27" s="134"/>
      <c r="AE27" s="13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4"/>
      <c r="X28" s="134"/>
      <c r="Y28" s="134"/>
      <c r="AC28" s="134"/>
      <c r="AD28" s="134"/>
      <c r="AE28" s="134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4"/>
      <c r="X29" s="134"/>
      <c r="Y29" s="134"/>
      <c r="AC29" s="134"/>
      <c r="AD29" s="134"/>
      <c r="AE29" s="134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4"/>
      <c r="X30" s="134"/>
      <c r="Y30" s="134"/>
      <c r="AC30" s="134"/>
      <c r="AD30" s="134"/>
      <c r="AE30" s="13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31" t="str">
        <f t="shared" si="12"/>
        <v>Manchester City</v>
      </c>
      <c r="B47" s="132">
        <v>2</v>
      </c>
      <c r="C47" s="132" t="s">
        <v>33</v>
      </c>
      <c r="D47" s="132">
        <v>0</v>
      </c>
      <c r="E47" s="13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0" t="str">
        <f>_xlfn.CONCAT(W2,A57)</f>
        <v>Luana - Oitavas de Final</v>
      </c>
      <c r="B58" s="210"/>
      <c r="C58" s="210"/>
      <c r="D58" s="210"/>
      <c r="E58" s="210"/>
      <c r="K58" s="211" t="s">
        <v>126</v>
      </c>
      <c r="L58" s="211"/>
      <c r="M58" s="211"/>
      <c r="N58" s="211"/>
      <c r="O58" s="211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0" t="str">
        <f>_xlfn.CONCAT(W2,A67)</f>
        <v>Luana - Quartas de Final</v>
      </c>
      <c r="B68" s="210"/>
      <c r="C68" s="210"/>
      <c r="D68" s="210"/>
      <c r="E68" s="210"/>
      <c r="J68" s="71" t="str">
        <f>'1.Ivan'!J68</f>
        <v/>
      </c>
      <c r="K68" s="211" t="s">
        <v>95</v>
      </c>
      <c r="L68" s="211"/>
      <c r="M68" s="211"/>
      <c r="N68" s="211"/>
      <c r="O68" s="211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0" t="str">
        <f>_xlfn.CONCAT(W$2,A73)</f>
        <v>Luana - Semi Final</v>
      </c>
      <c r="B74" s="210"/>
      <c r="C74" s="210"/>
      <c r="D74" s="210"/>
      <c r="E74" s="210"/>
      <c r="J74" s="71" t="str">
        <f>'1.Ivan'!J74</f>
        <v/>
      </c>
      <c r="K74" s="211" t="s">
        <v>96</v>
      </c>
      <c r="L74" s="211"/>
      <c r="M74" s="211"/>
      <c r="N74" s="211"/>
      <c r="O74" s="211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0" t="str">
        <f>_xlfn.CONCAT(W$2,A77)</f>
        <v>Luana - Final</v>
      </c>
      <c r="B78" s="210"/>
      <c r="C78" s="210"/>
      <c r="D78" s="210"/>
      <c r="E78" s="210"/>
      <c r="J78" s="71" t="str">
        <f>'1.Ivan'!J78</f>
        <v/>
      </c>
      <c r="K78" s="211" t="s">
        <v>98</v>
      </c>
      <c r="L78" s="211"/>
      <c r="M78" s="211"/>
      <c r="N78" s="211"/>
      <c r="O78" s="211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0" t="s">
        <v>35</v>
      </c>
      <c r="B1" s="220"/>
      <c r="C1" s="220"/>
      <c r="D1" s="220"/>
      <c r="E1" s="220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230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20" t="s">
        <v>42</v>
      </c>
      <c r="B8" s="220"/>
      <c r="C8" s="220"/>
      <c r="D8" s="220"/>
      <c r="E8" s="220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4" t="s">
        <v>80</v>
      </c>
      <c r="X9" s="134"/>
      <c r="Y9" s="134"/>
      <c r="Z9" s="134"/>
      <c r="AA9" s="134"/>
      <c r="AB9" s="134"/>
      <c r="AC9" s="134"/>
      <c r="AD9" s="134"/>
      <c r="AE9" s="13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4" t="s">
        <v>189</v>
      </c>
      <c r="X10" s="134"/>
      <c r="Y10" s="134"/>
      <c r="Z10" s="2">
        <v>2</v>
      </c>
      <c r="AB10" s="2">
        <v>1</v>
      </c>
      <c r="AC10" s="134" t="s">
        <v>190</v>
      </c>
      <c r="AD10" s="134"/>
      <c r="AE10" s="134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335</v>
      </c>
      <c r="R11" s="215"/>
      <c r="S11" s="215"/>
      <c r="T11" s="215"/>
      <c r="U11" s="215"/>
      <c r="W11" s="134" t="s">
        <v>190</v>
      </c>
      <c r="X11" s="134"/>
      <c r="Y11" s="134"/>
      <c r="Z11" s="2">
        <v>1</v>
      </c>
      <c r="AB11" s="2">
        <v>3</v>
      </c>
      <c r="AC11" s="134" t="s">
        <v>188</v>
      </c>
      <c r="AD11" s="134"/>
      <c r="AE11" s="134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4" t="s">
        <v>195</v>
      </c>
      <c r="X12" s="134"/>
      <c r="Y12" s="134"/>
      <c r="Z12" s="2">
        <v>2</v>
      </c>
      <c r="AB12" s="2">
        <v>0</v>
      </c>
      <c r="AC12" s="134" t="s">
        <v>196</v>
      </c>
      <c r="AD12" s="134"/>
      <c r="AE12" s="13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5"/>
      <c r="R13" s="215"/>
      <c r="S13" s="215"/>
      <c r="T13" s="215"/>
      <c r="U13" s="215"/>
      <c r="W13" s="134" t="s">
        <v>213</v>
      </c>
      <c r="X13" s="134"/>
      <c r="Y13" s="134"/>
      <c r="Z13" s="2">
        <v>1</v>
      </c>
      <c r="AB13" s="2">
        <v>2</v>
      </c>
      <c r="AC13" s="134" t="s">
        <v>214</v>
      </c>
      <c r="AD13" s="134"/>
      <c r="AE13" s="134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4"/>
      <c r="X14" s="134"/>
      <c r="Y14" s="134"/>
      <c r="AC14" s="134"/>
      <c r="AD14" s="134"/>
      <c r="AE14" s="134"/>
      <c r="BD14" s="1">
        <v>5</v>
      </c>
    </row>
    <row r="15" spans="1:56" x14ac:dyDescent="0.3">
      <c r="A15" s="220" t="s">
        <v>41</v>
      </c>
      <c r="B15" s="220"/>
      <c r="C15" s="220"/>
      <c r="D15" s="220"/>
      <c r="E15" s="220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4"/>
      <c r="X15" s="134"/>
      <c r="Y15" s="134"/>
      <c r="AC15" s="134"/>
      <c r="AD15" s="134"/>
      <c r="AE15" s="134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4"/>
      <c r="X16" s="134"/>
      <c r="Y16" s="134"/>
      <c r="AC16" s="134"/>
      <c r="AD16" s="134"/>
      <c r="AE16" s="134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4"/>
      <c r="X17" s="134"/>
      <c r="Y17" s="134"/>
      <c r="AC17" s="134"/>
      <c r="AD17" s="134"/>
      <c r="AE17" s="134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4"/>
      <c r="X18" s="134"/>
      <c r="Y18" s="134"/>
      <c r="AC18" s="134"/>
      <c r="AD18" s="134"/>
      <c r="AE18" s="134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10</v>
      </c>
      <c r="S19" s="18">
        <v>5</v>
      </c>
      <c r="T19" s="18">
        <v>7</v>
      </c>
      <c r="U19" s="18">
        <v>6</v>
      </c>
      <c r="W19" s="134"/>
      <c r="X19" s="134"/>
      <c r="Y19" s="134"/>
      <c r="AC19" s="134"/>
      <c r="AD19" s="134"/>
      <c r="AE19" s="13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4"/>
      <c r="X20" s="134"/>
      <c r="Y20" s="134"/>
      <c r="AC20" s="134"/>
      <c r="AD20" s="134"/>
      <c r="AE20" s="134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7" t="s">
        <v>26</v>
      </c>
      <c r="R21" s="217"/>
      <c r="S21" s="218" t="s">
        <v>187</v>
      </c>
      <c r="T21" s="218"/>
      <c r="U21" s="218" t="s">
        <v>211</v>
      </c>
      <c r="V21" s="218"/>
      <c r="W21" s="134"/>
      <c r="X21" s="134"/>
      <c r="Y21" s="134"/>
      <c r="AC21" s="134"/>
      <c r="AD21" s="134"/>
      <c r="AE21" s="134"/>
    </row>
    <row r="22" spans="1:31" x14ac:dyDescent="0.3">
      <c r="A22" s="220" t="s">
        <v>40</v>
      </c>
      <c r="B22" s="220"/>
      <c r="C22" s="220"/>
      <c r="D22" s="220"/>
      <c r="E22" s="220"/>
      <c r="J22" s="71" t="str">
        <f>'1.Ivan'!J22</f>
        <v/>
      </c>
      <c r="K22" s="214" t="s">
        <v>40</v>
      </c>
      <c r="L22" s="214"/>
      <c r="M22" s="214"/>
      <c r="N22" s="214"/>
      <c r="O22" s="214"/>
      <c r="Q22" s="217" t="s">
        <v>25</v>
      </c>
      <c r="R22" s="217"/>
      <c r="S22" s="219" t="s">
        <v>244</v>
      </c>
      <c r="T22" s="219"/>
      <c r="U22" s="219" t="s">
        <v>84</v>
      </c>
      <c r="V22" s="219"/>
      <c r="W22" s="134"/>
      <c r="X22" s="134"/>
      <c r="Y22" s="134"/>
      <c r="AC22" s="134"/>
      <c r="AD22" s="134"/>
      <c r="AE22" s="13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4"/>
      <c r="X23" s="134"/>
      <c r="Y23" s="134"/>
      <c r="AC23" s="134"/>
      <c r="AD23" s="134"/>
      <c r="AE23" s="13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4"/>
      <c r="X24" s="134"/>
      <c r="Y24" s="134"/>
      <c r="AC24" s="134"/>
      <c r="AD24" s="134"/>
      <c r="AE24" s="13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4"/>
      <c r="X25" s="134"/>
      <c r="Y25" s="134"/>
      <c r="AC25" s="134"/>
      <c r="AD25" s="134"/>
      <c r="AE25" s="134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4"/>
      <c r="X26" s="134"/>
      <c r="Y26" s="134"/>
      <c r="AC26" s="134"/>
      <c r="AD26" s="134"/>
      <c r="AE26" s="13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4"/>
      <c r="X27" s="134"/>
      <c r="Y27" s="134"/>
      <c r="Z27" s="19"/>
      <c r="AC27" s="134"/>
      <c r="AD27" s="134"/>
      <c r="AE27" s="13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4"/>
      <c r="X28" s="134"/>
      <c r="Y28" s="134"/>
      <c r="AC28" s="134"/>
      <c r="AD28" s="134"/>
      <c r="AE28" s="134"/>
    </row>
    <row r="29" spans="1:31" x14ac:dyDescent="0.3">
      <c r="A29" s="220" t="s">
        <v>39</v>
      </c>
      <c r="B29" s="220"/>
      <c r="C29" s="220"/>
      <c r="D29" s="220"/>
      <c r="E29" s="220"/>
      <c r="K29" s="214" t="s">
        <v>39</v>
      </c>
      <c r="L29" s="214"/>
      <c r="M29" s="214"/>
      <c r="N29" s="214"/>
      <c r="O29" s="214"/>
      <c r="W29" s="134"/>
      <c r="X29" s="134"/>
      <c r="Y29" s="134"/>
      <c r="AC29" s="134"/>
      <c r="AD29" s="134"/>
      <c r="AE29" s="13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4"/>
      <c r="X30" s="134"/>
      <c r="Y30" s="134"/>
      <c r="AC30" s="134"/>
      <c r="AD30" s="134"/>
      <c r="AE30" s="13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0" t="s">
        <v>38</v>
      </c>
      <c r="B36" s="220"/>
      <c r="C36" s="220"/>
      <c r="D36" s="220"/>
      <c r="E36" s="220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0" t="s">
        <v>37</v>
      </c>
      <c r="B43" s="220"/>
      <c r="C43" s="220"/>
      <c r="D43" s="220"/>
      <c r="E43" s="220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0" t="s">
        <v>36</v>
      </c>
      <c r="B50" s="220"/>
      <c r="C50" s="220"/>
      <c r="D50" s="220"/>
      <c r="E50" s="220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0" t="str">
        <f>_xlfn.CONCAT(W2,A57)</f>
        <v>Julio Oliveira - Oitavas de Final</v>
      </c>
      <c r="B58" s="210"/>
      <c r="C58" s="210"/>
      <c r="D58" s="210"/>
      <c r="E58" s="210"/>
      <c r="K58" s="211" t="s">
        <v>126</v>
      </c>
      <c r="L58" s="211"/>
      <c r="M58" s="211"/>
      <c r="N58" s="211"/>
      <c r="O58" s="211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0" t="str">
        <f>_xlfn.CONCAT(W2,A67)</f>
        <v>Julio Oliveira - Quartas de Final</v>
      </c>
      <c r="B68" s="210"/>
      <c r="C68" s="210"/>
      <c r="D68" s="210"/>
      <c r="E68" s="210"/>
      <c r="J68" s="71" t="str">
        <f>'1.Ivan'!J68</f>
        <v/>
      </c>
      <c r="K68" s="211" t="s">
        <v>95</v>
      </c>
      <c r="L68" s="211"/>
      <c r="M68" s="211"/>
      <c r="N68" s="211"/>
      <c r="O68" s="211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0" t="str">
        <f>_xlfn.CONCAT(W$2,A73)</f>
        <v>Julio Oliveira - Semi Final</v>
      </c>
      <c r="B74" s="210"/>
      <c r="C74" s="210"/>
      <c r="D74" s="210"/>
      <c r="E74" s="210"/>
      <c r="J74" s="71" t="str">
        <f>'1.Ivan'!J74</f>
        <v/>
      </c>
      <c r="K74" s="211" t="s">
        <v>96</v>
      </c>
      <c r="L74" s="211"/>
      <c r="M74" s="211"/>
      <c r="N74" s="211"/>
      <c r="O74" s="211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0" t="str">
        <f>_xlfn.CONCAT(W$2,A77)</f>
        <v>Julio Oliveira - Final</v>
      </c>
      <c r="B78" s="210"/>
      <c r="C78" s="210"/>
      <c r="D78" s="210"/>
      <c r="E78" s="210"/>
      <c r="J78" s="71" t="str">
        <f>'1.Ivan'!J78</f>
        <v/>
      </c>
      <c r="K78" s="211" t="s">
        <v>98</v>
      </c>
      <c r="L78" s="211"/>
      <c r="M78" s="211"/>
      <c r="N78" s="211"/>
      <c r="O78" s="211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233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4" t="s">
        <v>80</v>
      </c>
      <c r="X9" s="134"/>
      <c r="Y9" s="134"/>
      <c r="Z9" s="134"/>
      <c r="AA9" s="134"/>
      <c r="AB9" s="134"/>
      <c r="AC9" s="134"/>
      <c r="AD9" s="134"/>
      <c r="AE9" s="13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4" t="s">
        <v>185</v>
      </c>
      <c r="X10" s="134"/>
      <c r="Y10" s="134"/>
      <c r="Z10" s="2">
        <v>2</v>
      </c>
      <c r="AB10" s="2">
        <v>0</v>
      </c>
      <c r="AC10" s="134" t="s">
        <v>183</v>
      </c>
      <c r="AD10" s="134"/>
      <c r="AE10" s="13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355</v>
      </c>
      <c r="R11" s="215"/>
      <c r="S11" s="215"/>
      <c r="T11" s="215"/>
      <c r="U11" s="215"/>
      <c r="W11" s="134" t="s">
        <v>195</v>
      </c>
      <c r="X11" s="134"/>
      <c r="Y11" s="134"/>
      <c r="Z11" s="2">
        <v>2</v>
      </c>
      <c r="AB11" s="2">
        <v>0</v>
      </c>
      <c r="AC11" s="134" t="s">
        <v>196</v>
      </c>
      <c r="AD11" s="134"/>
      <c r="AE11" s="134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4" t="s">
        <v>199</v>
      </c>
      <c r="X12" s="134"/>
      <c r="Y12" s="134"/>
      <c r="Z12" s="2">
        <v>0</v>
      </c>
      <c r="AB12" s="2">
        <v>0</v>
      </c>
      <c r="AC12" s="134" t="s">
        <v>201</v>
      </c>
      <c r="AD12" s="134"/>
      <c r="AE12" s="13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5"/>
      <c r="R13" s="215"/>
      <c r="S13" s="215"/>
      <c r="T13" s="215"/>
      <c r="U13" s="215"/>
      <c r="W13" s="134" t="s">
        <v>207</v>
      </c>
      <c r="X13" s="134"/>
      <c r="Y13" s="134"/>
      <c r="Z13" s="2">
        <v>2</v>
      </c>
      <c r="AB13" s="2">
        <v>0</v>
      </c>
      <c r="AC13" s="134" t="s">
        <v>208</v>
      </c>
      <c r="AD13" s="134"/>
      <c r="AE13" s="134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4" t="s">
        <v>214</v>
      </c>
      <c r="X14" s="134"/>
      <c r="Y14" s="134"/>
      <c r="Z14" s="2">
        <v>0</v>
      </c>
      <c r="AB14" s="2">
        <v>0</v>
      </c>
      <c r="AC14" s="134" t="s">
        <v>212</v>
      </c>
      <c r="AD14" s="134"/>
      <c r="AE14" s="134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4"/>
      <c r="X15" s="134"/>
      <c r="Y15" s="134"/>
      <c r="AC15" s="134"/>
      <c r="AD15" s="134"/>
      <c r="AE15" s="134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4"/>
      <c r="X16" s="134"/>
      <c r="Y16" s="134"/>
      <c r="AC16" s="134"/>
      <c r="AD16" s="134"/>
      <c r="AE16" s="13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4"/>
      <c r="X17" s="134"/>
      <c r="Y17" s="134"/>
      <c r="AC17" s="134"/>
      <c r="AD17" s="134"/>
      <c r="AE17" s="13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4"/>
      <c r="X18" s="134"/>
      <c r="Y18" s="134"/>
      <c r="AC18" s="134"/>
      <c r="AD18" s="134"/>
      <c r="AE18" s="134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6</v>
      </c>
      <c r="S19" s="18">
        <v>13</v>
      </c>
      <c r="T19" s="18">
        <v>7</v>
      </c>
      <c r="U19" s="18">
        <v>2</v>
      </c>
      <c r="W19" s="134"/>
      <c r="X19" s="134"/>
      <c r="Y19" s="134"/>
      <c r="AC19" s="134"/>
      <c r="AD19" s="134"/>
      <c r="AE19" s="134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4"/>
      <c r="X20" s="134"/>
      <c r="Y20" s="134"/>
      <c r="AC20" s="134"/>
      <c r="AD20" s="134"/>
      <c r="AE20" s="134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7" t="s">
        <v>26</v>
      </c>
      <c r="R21" s="217"/>
      <c r="S21" s="218" t="s">
        <v>185</v>
      </c>
      <c r="T21" s="218"/>
      <c r="U21" s="218" t="s">
        <v>211</v>
      </c>
      <c r="V21" s="218"/>
      <c r="W21" s="134"/>
      <c r="X21" s="134"/>
      <c r="Y21" s="134"/>
      <c r="AC21" s="134"/>
      <c r="AD21" s="134"/>
      <c r="AE21" s="134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17" t="s">
        <v>25</v>
      </c>
      <c r="R22" s="217"/>
      <c r="S22" s="219" t="s">
        <v>245</v>
      </c>
      <c r="T22" s="219"/>
      <c r="U22" s="219" t="s">
        <v>237</v>
      </c>
      <c r="V22" s="219"/>
      <c r="W22" s="134"/>
      <c r="X22" s="134"/>
      <c r="Y22" s="134"/>
      <c r="AC22" s="134"/>
      <c r="AD22" s="134"/>
      <c r="AE22" s="13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4"/>
      <c r="X23" s="134"/>
      <c r="Y23" s="134"/>
      <c r="AC23" s="134"/>
      <c r="AD23" s="134"/>
      <c r="AE23" s="134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4"/>
      <c r="X24" s="134"/>
      <c r="Y24" s="134"/>
      <c r="AC24" s="134"/>
      <c r="AD24" s="134"/>
      <c r="AE24" s="134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4"/>
      <c r="X25" s="134"/>
      <c r="Y25" s="134"/>
      <c r="AC25" s="134"/>
      <c r="AD25" s="134"/>
      <c r="AE25" s="134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4"/>
      <c r="X26" s="134"/>
      <c r="Y26" s="134"/>
      <c r="AC26" s="134"/>
      <c r="AD26" s="134"/>
      <c r="AE26" s="13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4"/>
      <c r="X27" s="134"/>
      <c r="Y27" s="134"/>
      <c r="Z27" s="19"/>
      <c r="AC27" s="134"/>
      <c r="AD27" s="134"/>
      <c r="AE27" s="134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4"/>
      <c r="X28" s="134"/>
      <c r="Y28" s="134"/>
      <c r="AC28" s="134"/>
      <c r="AD28" s="134"/>
      <c r="AE28" s="134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4"/>
      <c r="X29" s="134"/>
      <c r="Y29" s="134"/>
      <c r="AC29" s="134"/>
      <c r="AD29" s="134"/>
      <c r="AE29" s="134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4"/>
      <c r="X30" s="134"/>
      <c r="Y30" s="134"/>
      <c r="AC30" s="134"/>
      <c r="AD30" s="134"/>
      <c r="AE30" s="13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0" t="str">
        <f>_xlfn.CONCAT(W2,A57)</f>
        <v>Miguel - Oitavas de Final</v>
      </c>
      <c r="B58" s="210"/>
      <c r="C58" s="210"/>
      <c r="D58" s="210"/>
      <c r="E58" s="210"/>
      <c r="K58" s="211" t="s">
        <v>126</v>
      </c>
      <c r="L58" s="211"/>
      <c r="M58" s="211"/>
      <c r="N58" s="211"/>
      <c r="O58" s="211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0" t="str">
        <f>_xlfn.CONCAT(W2,A67)</f>
        <v>Miguel - Quartas de Final</v>
      </c>
      <c r="B68" s="210"/>
      <c r="C68" s="210"/>
      <c r="D68" s="210"/>
      <c r="E68" s="210"/>
      <c r="J68" s="71" t="str">
        <f>'1.Ivan'!J68</f>
        <v/>
      </c>
      <c r="K68" s="211" t="s">
        <v>95</v>
      </c>
      <c r="L68" s="211"/>
      <c r="M68" s="211"/>
      <c r="N68" s="211"/>
      <c r="O68" s="211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0" t="str">
        <f>_xlfn.CONCAT(W$2,A73)</f>
        <v>Miguel - Semi Final</v>
      </c>
      <c r="B74" s="210"/>
      <c r="C74" s="210"/>
      <c r="D74" s="210"/>
      <c r="E74" s="210"/>
      <c r="J74" s="71" t="str">
        <f>'1.Ivan'!J74</f>
        <v/>
      </c>
      <c r="K74" s="211" t="s">
        <v>96</v>
      </c>
      <c r="L74" s="211"/>
      <c r="M74" s="211"/>
      <c r="N74" s="211"/>
      <c r="O74" s="211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0" t="str">
        <f>_xlfn.CONCAT(W$2,A77)</f>
        <v>Miguel - Final</v>
      </c>
      <c r="B78" s="210"/>
      <c r="C78" s="210"/>
      <c r="D78" s="210"/>
      <c r="E78" s="210"/>
      <c r="J78" s="71" t="str">
        <f>'1.Ivan'!J78</f>
        <v/>
      </c>
      <c r="K78" s="211" t="s">
        <v>98</v>
      </c>
      <c r="L78" s="211"/>
      <c r="M78" s="211"/>
      <c r="N78" s="211"/>
      <c r="O78" s="211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0" t="s">
        <v>35</v>
      </c>
      <c r="B1" s="220"/>
      <c r="C1" s="220"/>
      <c r="D1" s="220"/>
      <c r="E1" s="220"/>
      <c r="K1" s="214" t="s">
        <v>35</v>
      </c>
      <c r="L1" s="214"/>
      <c r="M1" s="214"/>
      <c r="N1" s="214"/>
      <c r="O1" s="214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246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20" t="s">
        <v>42</v>
      </c>
      <c r="B8" s="220"/>
      <c r="C8" s="220"/>
      <c r="D8" s="220"/>
      <c r="E8" s="220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4" t="s">
        <v>80</v>
      </c>
      <c r="X9" s="134"/>
      <c r="Y9" s="134"/>
      <c r="Z9" s="134"/>
      <c r="AA9" s="134"/>
      <c r="AB9" s="134"/>
      <c r="AC9" s="134"/>
      <c r="AD9" s="134"/>
      <c r="AE9" s="13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4" t="s">
        <v>195</v>
      </c>
      <c r="X10" s="134"/>
      <c r="Y10" s="134"/>
      <c r="Z10" s="2">
        <v>2</v>
      </c>
      <c r="AB10" s="2">
        <v>0</v>
      </c>
      <c r="AC10" s="134" t="s">
        <v>196</v>
      </c>
      <c r="AD10" s="134"/>
      <c r="AE10" s="13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335</v>
      </c>
      <c r="R11" s="215"/>
      <c r="S11" s="215"/>
      <c r="T11" s="215"/>
      <c r="U11" s="215"/>
      <c r="W11" s="134" t="s">
        <v>197</v>
      </c>
      <c r="X11" s="134"/>
      <c r="Y11" s="134"/>
      <c r="Z11" s="2">
        <v>2</v>
      </c>
      <c r="AB11" s="2">
        <v>0</v>
      </c>
      <c r="AC11" s="134" t="s">
        <v>198</v>
      </c>
      <c r="AD11" s="134"/>
      <c r="AE11" s="134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4" t="s">
        <v>214</v>
      </c>
      <c r="X12" s="134"/>
      <c r="Y12" s="134"/>
      <c r="Z12" s="2">
        <v>0</v>
      </c>
      <c r="AB12" s="2">
        <v>0</v>
      </c>
      <c r="AC12" s="134" t="s">
        <v>212</v>
      </c>
      <c r="AD12" s="134"/>
      <c r="AE12" s="13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5"/>
      <c r="R13" s="215"/>
      <c r="S13" s="215"/>
      <c r="T13" s="215"/>
      <c r="U13" s="215"/>
      <c r="W13" s="134"/>
      <c r="X13" s="134"/>
      <c r="Y13" s="134"/>
      <c r="AC13" s="134"/>
      <c r="AD13" s="134"/>
      <c r="AE13" s="134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4"/>
      <c r="X14" s="134"/>
      <c r="Y14" s="134"/>
      <c r="AC14" s="134"/>
      <c r="AD14" s="134"/>
      <c r="AE14" s="134"/>
      <c r="BD14" s="1">
        <v>5</v>
      </c>
    </row>
    <row r="15" spans="1:56" x14ac:dyDescent="0.3">
      <c r="A15" s="220" t="s">
        <v>41</v>
      </c>
      <c r="B15" s="220"/>
      <c r="C15" s="220"/>
      <c r="D15" s="220"/>
      <c r="E15" s="220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4"/>
      <c r="X15" s="134"/>
      <c r="Y15" s="134"/>
      <c r="AC15" s="134"/>
      <c r="AD15" s="134"/>
      <c r="AE15" s="134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4"/>
      <c r="X16" s="134"/>
      <c r="Y16" s="134"/>
      <c r="AC16" s="134"/>
      <c r="AD16" s="134"/>
      <c r="AE16" s="134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4"/>
      <c r="X17" s="134"/>
      <c r="Y17" s="134"/>
      <c r="AC17" s="134"/>
      <c r="AD17" s="134"/>
      <c r="AE17" s="134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4"/>
      <c r="X18" s="134"/>
      <c r="Y18" s="134"/>
      <c r="AC18" s="134"/>
      <c r="AD18" s="134"/>
      <c r="AE18" s="134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14</v>
      </c>
      <c r="S19" s="18">
        <v>4</v>
      </c>
      <c r="T19" s="18">
        <v>7</v>
      </c>
      <c r="U19" s="18">
        <v>4</v>
      </c>
      <c r="W19" s="134"/>
      <c r="X19" s="134"/>
      <c r="Y19" s="134"/>
      <c r="AC19" s="134"/>
      <c r="AD19" s="134"/>
      <c r="AE19" s="134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4"/>
      <c r="X20" s="134"/>
      <c r="Y20" s="134"/>
      <c r="AC20" s="134"/>
      <c r="AD20" s="134"/>
      <c r="AE20" s="134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7" t="s">
        <v>26</v>
      </c>
      <c r="R21" s="217"/>
      <c r="S21" s="218" t="s">
        <v>185</v>
      </c>
      <c r="T21" s="218"/>
      <c r="U21" s="218" t="s">
        <v>211</v>
      </c>
      <c r="V21" s="218"/>
      <c r="W21" s="134"/>
      <c r="X21" s="134"/>
      <c r="Y21" s="134"/>
      <c r="AC21" s="134"/>
      <c r="AD21" s="134"/>
      <c r="AE21" s="134"/>
    </row>
    <row r="22" spans="1:31" x14ac:dyDescent="0.3">
      <c r="A22" s="220" t="s">
        <v>40</v>
      </c>
      <c r="B22" s="220"/>
      <c r="C22" s="220"/>
      <c r="D22" s="220"/>
      <c r="E22" s="220"/>
      <c r="J22" s="71" t="str">
        <f>'1.Ivan'!J22</f>
        <v/>
      </c>
      <c r="K22" s="214" t="s">
        <v>40</v>
      </c>
      <c r="L22" s="214"/>
      <c r="M22" s="214"/>
      <c r="N22" s="214"/>
      <c r="O22" s="214"/>
      <c r="Q22" s="217" t="s">
        <v>25</v>
      </c>
      <c r="R22" s="217"/>
      <c r="S22" s="219" t="s">
        <v>238</v>
      </c>
      <c r="T22" s="219"/>
      <c r="U22" s="219" t="s">
        <v>237</v>
      </c>
      <c r="V22" s="219"/>
      <c r="W22" s="134"/>
      <c r="X22" s="134"/>
      <c r="Y22" s="134"/>
      <c r="AC22" s="134"/>
      <c r="AD22" s="134"/>
      <c r="AE22" s="134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4"/>
      <c r="X23" s="134"/>
      <c r="Y23" s="134"/>
      <c r="AC23" s="134"/>
      <c r="AD23" s="134"/>
      <c r="AE23" s="13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4"/>
      <c r="X24" s="134"/>
      <c r="Y24" s="134"/>
      <c r="AC24" s="134"/>
      <c r="AD24" s="134"/>
      <c r="AE24" s="134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4"/>
      <c r="X25" s="134"/>
      <c r="Y25" s="134"/>
      <c r="AC25" s="134"/>
      <c r="AD25" s="134"/>
      <c r="AE25" s="134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4"/>
      <c r="X26" s="134"/>
      <c r="Y26" s="134"/>
      <c r="AC26" s="134"/>
      <c r="AD26" s="134"/>
      <c r="AE26" s="13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4"/>
      <c r="X27" s="134"/>
      <c r="Y27" s="134"/>
      <c r="Z27" s="19"/>
      <c r="AC27" s="134"/>
      <c r="AD27" s="134"/>
      <c r="AE27" s="13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4"/>
      <c r="X28" s="134"/>
      <c r="Y28" s="134"/>
      <c r="AC28" s="134"/>
      <c r="AD28" s="134"/>
      <c r="AE28" s="134"/>
    </row>
    <row r="29" spans="1:31" x14ac:dyDescent="0.3">
      <c r="A29" s="220" t="s">
        <v>39</v>
      </c>
      <c r="B29" s="220"/>
      <c r="C29" s="220"/>
      <c r="D29" s="220"/>
      <c r="E29" s="220"/>
      <c r="K29" s="214" t="s">
        <v>39</v>
      </c>
      <c r="L29" s="214"/>
      <c r="M29" s="214"/>
      <c r="N29" s="214"/>
      <c r="O29" s="214"/>
      <c r="W29" s="134"/>
      <c r="X29" s="134"/>
      <c r="Y29" s="134"/>
      <c r="AC29" s="134"/>
      <c r="AD29" s="134"/>
      <c r="AE29" s="134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4"/>
      <c r="X30" s="134"/>
      <c r="Y30" s="134"/>
      <c r="AC30" s="134"/>
      <c r="AD30" s="134"/>
      <c r="AE30" s="13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0" t="s">
        <v>38</v>
      </c>
      <c r="B36" s="220"/>
      <c r="C36" s="220"/>
      <c r="D36" s="220"/>
      <c r="E36" s="220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0" t="s">
        <v>37</v>
      </c>
      <c r="B43" s="220"/>
      <c r="C43" s="220"/>
      <c r="D43" s="220"/>
      <c r="E43" s="220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24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24" x14ac:dyDescent="0.3">
      <c r="A50" s="220" t="s">
        <v>36</v>
      </c>
      <c r="B50" s="220"/>
      <c r="C50" s="220"/>
      <c r="D50" s="220"/>
      <c r="E50" s="220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24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24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24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24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  <c r="T54" s="221" t="s">
        <v>214</v>
      </c>
      <c r="U54" s="221">
        <v>2</v>
      </c>
      <c r="V54" s="221" t="s">
        <v>33</v>
      </c>
      <c r="W54" s="222">
        <v>1</v>
      </c>
      <c r="X54" s="222" t="s">
        <v>212</v>
      </c>
    </row>
    <row r="55" spans="1:24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24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24" x14ac:dyDescent="0.3">
      <c r="A57" s="21" t="s">
        <v>127</v>
      </c>
    </row>
    <row r="58" spans="1:24" x14ac:dyDescent="0.3">
      <c r="A58" s="210" t="str">
        <f>_xlfn.CONCAT(W2,A57)</f>
        <v>Francesco - Oitavas de Final</v>
      </c>
      <c r="B58" s="210"/>
      <c r="C58" s="210"/>
      <c r="D58" s="210"/>
      <c r="E58" s="210"/>
      <c r="K58" s="211" t="s">
        <v>126</v>
      </c>
      <c r="L58" s="211"/>
      <c r="M58" s="211"/>
      <c r="N58" s="211"/>
      <c r="O58" s="211"/>
    </row>
    <row r="59" spans="1:24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24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24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24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24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24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0" t="str">
        <f>_xlfn.CONCAT(W2,A67)</f>
        <v>Francesco - Quartas de Final</v>
      </c>
      <c r="B68" s="210"/>
      <c r="C68" s="210"/>
      <c r="D68" s="210"/>
      <c r="E68" s="210"/>
      <c r="J68" s="71" t="str">
        <f>'1.Ivan'!J68</f>
        <v/>
      </c>
      <c r="K68" s="211" t="s">
        <v>95</v>
      </c>
      <c r="L68" s="211"/>
      <c r="M68" s="211"/>
      <c r="N68" s="211"/>
      <c r="O68" s="211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0" t="str">
        <f>_xlfn.CONCAT(W$2,A73)</f>
        <v>Francesco - Semi Final</v>
      </c>
      <c r="B74" s="210"/>
      <c r="C74" s="210"/>
      <c r="D74" s="210"/>
      <c r="E74" s="210"/>
      <c r="J74" s="71" t="str">
        <f>'1.Ivan'!J74</f>
        <v/>
      </c>
      <c r="K74" s="211" t="s">
        <v>96</v>
      </c>
      <c r="L74" s="211"/>
      <c r="M74" s="211"/>
      <c r="N74" s="211"/>
      <c r="O74" s="211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0" t="str">
        <f>_xlfn.CONCAT(W$2,A77)</f>
        <v>Francesco - Final</v>
      </c>
      <c r="B78" s="210"/>
      <c r="C78" s="210"/>
      <c r="D78" s="210"/>
      <c r="E78" s="210"/>
      <c r="J78" s="71" t="str">
        <f>'1.Ivan'!J78</f>
        <v/>
      </c>
      <c r="K78" s="211" t="s">
        <v>98</v>
      </c>
      <c r="L78" s="211"/>
      <c r="M78" s="211"/>
      <c r="N78" s="211"/>
      <c r="O78" s="211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247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4" t="s">
        <v>80</v>
      </c>
      <c r="X9" s="134"/>
      <c r="Y9" s="134"/>
      <c r="Z9" s="134"/>
      <c r="AA9" s="134"/>
      <c r="AB9" s="134"/>
      <c r="AC9" s="134"/>
      <c r="AD9" s="134"/>
      <c r="AE9" s="134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4" t="s">
        <v>201</v>
      </c>
      <c r="X10" s="134"/>
      <c r="Y10" s="134"/>
      <c r="Z10" s="2">
        <v>1</v>
      </c>
      <c r="AB10" s="2">
        <v>1</v>
      </c>
      <c r="AC10" s="134" t="s">
        <v>202</v>
      </c>
      <c r="AD10" s="134"/>
      <c r="AE10" s="134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275</v>
      </c>
      <c r="R11" s="215"/>
      <c r="S11" s="215"/>
      <c r="T11" s="215"/>
      <c r="U11" s="215"/>
      <c r="W11" s="134"/>
      <c r="X11" s="134"/>
      <c r="Y11" s="134"/>
      <c r="AC11" s="134"/>
      <c r="AD11" s="134"/>
      <c r="AE11" s="134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4"/>
      <c r="X12" s="134"/>
      <c r="Y12" s="134"/>
      <c r="AC12" s="134"/>
      <c r="AD12" s="134"/>
      <c r="AE12" s="134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5"/>
      <c r="R13" s="215"/>
      <c r="S13" s="215"/>
      <c r="T13" s="215"/>
      <c r="U13" s="215"/>
      <c r="W13" s="134"/>
      <c r="X13" s="134"/>
      <c r="Y13" s="134"/>
      <c r="AC13" s="134"/>
      <c r="AD13" s="134"/>
      <c r="AE13" s="134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4"/>
      <c r="X14" s="134"/>
      <c r="Y14" s="134"/>
      <c r="AC14" s="134"/>
      <c r="AD14" s="134"/>
      <c r="AE14" s="134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4"/>
      <c r="X15" s="134"/>
      <c r="Y15" s="134"/>
      <c r="AC15" s="134"/>
      <c r="AD15" s="134"/>
      <c r="AE15" s="134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4"/>
      <c r="X16" s="134"/>
      <c r="Y16" s="134"/>
      <c r="AC16" s="134"/>
      <c r="AD16" s="134"/>
      <c r="AE16" s="13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4"/>
      <c r="X17" s="134"/>
      <c r="Y17" s="134"/>
      <c r="AC17" s="134"/>
      <c r="AD17" s="134"/>
      <c r="AE17" s="134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4"/>
      <c r="X18" s="134"/>
      <c r="Y18" s="134"/>
      <c r="AC18" s="134"/>
      <c r="AD18" s="134"/>
      <c r="AE18" s="134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7</v>
      </c>
      <c r="S19" s="18">
        <v>12</v>
      </c>
      <c r="T19" s="18">
        <v>5</v>
      </c>
      <c r="U19" s="18">
        <v>6</v>
      </c>
      <c r="W19" s="134"/>
      <c r="X19" s="134"/>
      <c r="Y19" s="134"/>
      <c r="AC19" s="134"/>
      <c r="AD19" s="134"/>
      <c r="AE19" s="134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4"/>
      <c r="X20" s="134"/>
      <c r="Y20" s="134"/>
      <c r="AC20" s="134"/>
      <c r="AD20" s="134"/>
      <c r="AE20" s="134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7" t="s">
        <v>26</v>
      </c>
      <c r="R21" s="217"/>
      <c r="S21" s="218" t="s">
        <v>211</v>
      </c>
      <c r="T21" s="218"/>
      <c r="U21" s="218" t="s">
        <v>187</v>
      </c>
      <c r="V21" s="218"/>
      <c r="W21" s="134"/>
      <c r="X21" s="134"/>
      <c r="Y21" s="134"/>
      <c r="AC21" s="134"/>
      <c r="AD21" s="134"/>
      <c r="AE21" s="134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17" t="s">
        <v>25</v>
      </c>
      <c r="R22" s="217"/>
      <c r="S22" s="219" t="s">
        <v>238</v>
      </c>
      <c r="T22" s="219"/>
      <c r="U22" s="219" t="s">
        <v>237</v>
      </c>
      <c r="V22" s="219"/>
      <c r="W22" s="134"/>
      <c r="X22" s="134"/>
      <c r="Y22" s="134"/>
      <c r="AC22" s="134"/>
      <c r="AD22" s="134"/>
      <c r="AE22" s="134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4"/>
      <c r="X23" s="134"/>
      <c r="Y23" s="134"/>
      <c r="AC23" s="134"/>
      <c r="AD23" s="134"/>
      <c r="AE23" s="134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4"/>
      <c r="X24" s="134"/>
      <c r="Y24" s="134"/>
      <c r="AC24" s="134"/>
      <c r="AD24" s="134"/>
      <c r="AE24" s="134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4"/>
      <c r="X25" s="134"/>
      <c r="Y25" s="134"/>
      <c r="AC25" s="134"/>
      <c r="AD25" s="134"/>
      <c r="AE25" s="134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4"/>
      <c r="X26" s="134"/>
      <c r="Y26" s="134"/>
      <c r="AC26" s="134"/>
      <c r="AD26" s="134"/>
      <c r="AE26" s="134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4"/>
      <c r="X27" s="134"/>
      <c r="Y27" s="134"/>
      <c r="Z27" s="19"/>
      <c r="AC27" s="134"/>
      <c r="AD27" s="134"/>
      <c r="AE27" s="134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4"/>
      <c r="X28" s="134"/>
      <c r="Y28" s="134"/>
      <c r="AC28" s="134"/>
      <c r="AD28" s="134"/>
      <c r="AE28" s="134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4"/>
      <c r="X29" s="134"/>
      <c r="Y29" s="134"/>
      <c r="AC29" s="134"/>
      <c r="AD29" s="134"/>
      <c r="AE29" s="134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4"/>
      <c r="X30" s="134"/>
      <c r="Y30" s="134"/>
      <c r="AC30" s="134"/>
      <c r="AD30" s="134"/>
      <c r="AE30" s="13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0" t="str">
        <f>_xlfn.CONCAT(W2,A57)</f>
        <v>Chicão - Oitavas de Final</v>
      </c>
      <c r="B58" s="210"/>
      <c r="C58" s="210"/>
      <c r="D58" s="210"/>
      <c r="E58" s="210"/>
      <c r="K58" s="211" t="s">
        <v>126</v>
      </c>
      <c r="L58" s="211"/>
      <c r="M58" s="211"/>
      <c r="N58" s="211"/>
      <c r="O58" s="211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0" t="str">
        <f>_xlfn.CONCAT(W2,A67)</f>
        <v>Chicão - Quartas de Final</v>
      </c>
      <c r="B68" s="210"/>
      <c r="C68" s="210"/>
      <c r="D68" s="210"/>
      <c r="E68" s="210"/>
      <c r="J68" s="71" t="str">
        <f>'1.Ivan'!J68</f>
        <v/>
      </c>
      <c r="K68" s="211" t="s">
        <v>95</v>
      </c>
      <c r="L68" s="211"/>
      <c r="M68" s="211"/>
      <c r="N68" s="211"/>
      <c r="O68" s="211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0" t="str">
        <f>_xlfn.CONCAT(W$2,A73)</f>
        <v>Chicão - Semi Final</v>
      </c>
      <c r="B74" s="210"/>
      <c r="C74" s="210"/>
      <c r="D74" s="210"/>
      <c r="E74" s="210"/>
      <c r="J74" s="71" t="str">
        <f>'1.Ivan'!J74</f>
        <v/>
      </c>
      <c r="K74" s="211" t="s">
        <v>96</v>
      </c>
      <c r="L74" s="211"/>
      <c r="M74" s="211"/>
      <c r="N74" s="211"/>
      <c r="O74" s="211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0" t="str">
        <f>_xlfn.CONCAT(W$2,A77)</f>
        <v>Chicão - Final</v>
      </c>
      <c r="B78" s="210"/>
      <c r="C78" s="210"/>
      <c r="D78" s="210"/>
      <c r="E78" s="210"/>
      <c r="J78" s="71" t="str">
        <f>'1.Ivan'!J78</f>
        <v/>
      </c>
      <c r="K78" s="211" t="s">
        <v>98</v>
      </c>
      <c r="L78" s="211"/>
      <c r="M78" s="211"/>
      <c r="N78" s="211"/>
      <c r="O78" s="211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</cp:lastModifiedBy>
  <dcterms:created xsi:type="dcterms:W3CDTF">2022-11-20T13:50:46Z</dcterms:created>
  <dcterms:modified xsi:type="dcterms:W3CDTF">2025-06-23T17:29:20Z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