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095AC71E-5CB8-4CE3-81D8-83EE5A9FBA06}" xr6:coauthVersionLast="47" xr6:coauthVersionMax="47" xr10:uidLastSave="{00000000-0000-0000-0000-000000000000}"/>
  <bookViews>
    <workbookView xWindow="-20610" yWindow="-120" windowWidth="20730" windowHeight="11160" tabRatio="791" firstSheet="5" activeTab="17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Oitavas" sheetId="42" state="hidden" r:id="rId7"/>
    <sheet name="Tabela" sheetId="1" r:id="rId8"/>
    <sheet name="Macélio" sheetId="11" r:id="rId9"/>
    <sheet name="Ivan Alex_1" sheetId="3" r:id="rId10"/>
    <sheet name="Bruno Flores" sheetId="6" r:id="rId11"/>
    <sheet name="Ivan Alex_2" sheetId="10" r:id="rId12"/>
    <sheet name="Gabriel" sheetId="28" r:id="rId13"/>
    <sheet name="Luis" sheetId="29" r:id="rId14"/>
    <sheet name="Juninho_1" sheetId="17" r:id="rId15"/>
    <sheet name="Juninho_2" sheetId="18" r:id="rId16"/>
    <sheet name="Luana (2)" sheetId="37" state="hidden" r:id="rId17"/>
    <sheet name="Luana" sheetId="12" r:id="rId18"/>
    <sheet name="Mácio (2)" sheetId="38" state="hidden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1" sheetId="23" r:id="rId26"/>
    <sheet name="Joseir_2" sheetId="24" r:id="rId27"/>
    <sheet name="Ivani" sheetId="25" r:id="rId28"/>
    <sheet name="Josimar" sheetId="26" r:id="rId29"/>
    <sheet name="Julio" sheetId="27" r:id="rId30"/>
    <sheet name="Talita" sheetId="30" r:id="rId31"/>
    <sheet name="Anderson" sheetId="32" r:id="rId32"/>
    <sheet name="Cléofaz" sheetId="34" r:id="rId33"/>
    <sheet name="NEW" sheetId="35" state="hidden" r:id="rId3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0" l="1"/>
  <c r="J17" i="10"/>
  <c r="J18" i="10"/>
  <c r="J19" i="10"/>
  <c r="J10" i="3"/>
  <c r="I25" i="40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7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5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2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22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4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7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8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9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6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5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6" i="31"/>
  <c r="P20" i="31"/>
  <c r="L10" i="31"/>
  <c r="P18" i="31"/>
  <c r="L25" i="31"/>
  <c r="P16" i="31"/>
  <c r="L11" i="31"/>
  <c r="P14" i="31"/>
  <c r="P13" i="31"/>
  <c r="P12" i="31"/>
  <c r="P11" i="31"/>
  <c r="P10" i="31"/>
  <c r="L13" i="31"/>
  <c r="L21" i="31"/>
  <c r="L19" i="31"/>
  <c r="L3" i="31"/>
  <c r="L20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AE29" i="36"/>
  <c r="AX28" i="36"/>
  <c r="AW28" i="36"/>
  <c r="AU28" i="36"/>
  <c r="AQ28" i="36"/>
  <c r="AL28" i="36"/>
  <c r="AK28" i="36"/>
  <c r="AI28" i="36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8" i="36" l="1"/>
  <c r="BC22" i="36"/>
  <c r="BC29" i="36"/>
  <c r="BC14" i="36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<sst xmlns="http://schemas.openxmlformats.org/spreadsheetml/2006/main" count="6597" uniqueCount="333">
  <si>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</si>
  <si>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</si>
  <si>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</si>
  <si>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</si>
  <si>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</si>
  <si>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</si>
  <si>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</si>
  <si>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</si>
  <si>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</si>
  <si>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</si>
  <si>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</si>
  <si>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</si>
  <si>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</si>
  <si>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</si>
  <si>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</si>
  <si>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</si>
  <si>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</si>
  <si>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</si>
  <si>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</si>
  <si>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</si>
  <si>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</si>
  <si>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</si>
  <si>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</si>
  <si>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</si>
  <si>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</si>
  <si>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</si>
  <si>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</si>
  <si>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</si>
  <si>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</si>
  <si>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</si>
  <si>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</si>
  <si>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</si>
  <si>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</si>
  <si>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</si>
  <si>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</si>
  <si>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</si>
  <si>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</si>
  <si>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</si>
  <si>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</si>
  <si>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</si>
  <si>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</si>
  <si>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</si>
  <si>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</si>
  <si>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</si>
  <si>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</si>
  <si>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</si>
  <si>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</si>
  <si>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</si>
  <si>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</si>
  <si>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</si>
  <si>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</si>
  <si>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</si>
  <si>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</si>
  <si>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</si>
  <si>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</si>
  <si>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</si>
  <si>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</si>
  <si>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</si>
  <si>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</si>
  <si>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</si>
  <si>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</si>
  <si>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</si>
  <si>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</si>
  <si>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</si>
  <si>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</si>
  <si>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</si>
  <si>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</si>
  <si>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</si>
  <si>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</si>
  <si>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</si>
  <si>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</si>
  <si>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</si>
  <si>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</si>
  <si>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</si>
  <si>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</si>
  <si>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</si>
  <si>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</si>
  <si>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</si>
  <si>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</si>
  <si>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</si>
  <si>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</si>
  <si>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</si>
  <si>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</si>
  <si>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</si>
  <si>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</si>
  <si>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</si>
  <si>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</si>
  <si>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</si>
  <si>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</si>
  <si>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</si>
  <si>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</si>
  <si>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</si>
  <si>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</si>
  <si>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</si>
  <si>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</si>
  <si>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</si>
  <si>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</si>
  <si>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</si>
  <si>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</si>
  <si>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</si>
  <si>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</si>
  <si>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</si>
  <si>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</si>
  <si>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</si>
  <si>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</si>
  <si>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</si>
  <si>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</si>
  <si>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</si>
  <si>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</si>
  <si>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</si>
  <si>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</si>
  <si>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</si>
  <si>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</si>
  <si>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</si>
  <si>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</si>
  <si>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</si>
  <si>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</si>
  <si>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</si>
  <si>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</si>
  <si>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</si>
  <si>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</si>
  <si>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</si>
  <si>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</si>
  <si>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</si>
  <si>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</si>
  <si>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</si>
  <si>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</si>
  <si>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</si>
  <si>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</si>
  <si>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</si>
  <si>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</si>
  <si>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</si>
  <si>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</si>
  <si>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</si>
  <si>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</si>
  <si>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</si>
  <si>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</si>
  <si>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</si>
  <si>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</si>
  <si>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</si>
  <si>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</si>
  <si>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</si>
  <si>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</si>
  <si>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</si>
  <si>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</si>
  <si>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</si>
  <si>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2º: Argentina </t>
  </si>
  <si>
    <t>1º: Messi - Argentina</t>
  </si>
  <si>
    <t>2º: Pedro - Brasil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</si>
  <si>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</si>
  <si>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</si>
  <si>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</si>
  <si>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</si>
  <si>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</si>
  <si>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</si>
  <si>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</si>
  <si>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</si>
  <si>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</si>
  <si>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</si>
  <si>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</si>
  <si>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</si>
  <si>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</si>
  <si>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</si>
  <si>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</si>
  <si>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</si>
  <si>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</si>
  <si>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</si>
  <si>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</si>
  <si>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</si>
  <si>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</si>
  <si>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</si>
  <si>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</si>
  <si>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</si>
  <si>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</si>
  <si>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</si>
  <si>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</si>
  <si>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</si>
  <si>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</si>
  <si>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</si>
  <si>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</si>
  <si>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</si>
  <si>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</si>
  <si>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APOSTA</t>
  </si>
  <si>
    <t>RESULTADO</t>
  </si>
  <si>
    <t>TOTAL DE PONTOS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</si>
  <si>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</si>
  <si>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</si>
  <si>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</si>
  <si>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</si>
  <si>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</si>
  <si>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</si>
  <si>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</si>
  <si>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</si>
  <si>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</si>
  <si>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</si>
  <si>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</si>
  <si>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</si>
  <si>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</si>
  <si>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</si>
  <si>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</si>
  <si>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</si>
  <si>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</si>
  <si>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</si>
  <si>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</si>
  <si>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</si>
  <si>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</si>
  <si>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</si>
  <si>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</si>
  <si>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</si>
  <si>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</si>
  <si>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</si>
  <si>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</si>
  <si>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</si>
  <si>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</si>
  <si>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</si>
  <si>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</si>
  <si>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</si>
  <si>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</si>
  <si>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</si>
  <si>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</si>
  <si>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</si>
  <si>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</si>
  <si>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</si>
  <si>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</si>
  <si>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</si>
  <si>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</si>
  <si>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</si>
  <si>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</si>
  <si>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</si>
  <si>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</si>
  <si>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</si>
  <si>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</si>
  <si>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</si>
  <si>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</si>
  <si>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</si>
  <si>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</si>
  <si>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</si>
  <si>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</si>
  <si>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</si>
  <si>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</si>
  <si>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</si>
  <si>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</si>
  <si>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</si>
  <si>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</si>
  <si>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</si>
  <si>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</si>
  <si>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</si>
  <si>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</si>
  <si>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</si>
  <si>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</si>
  <si>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</si>
  <si>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</si>
  <si>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</si>
  <si>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</si>
  <si>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</si>
  <si>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</si>
  <si>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</si>
  <si>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</si>
  <si>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</si>
  <si>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</si>
  <si>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</si>
  <si>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</si>
  <si>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</si>
  <si>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</si>
  <si>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</si>
  <si>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</si>
  <si>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</si>
  <si>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</si>
  <si>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</si>
  <si>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</si>
  <si>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</si>
  <si>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</si>
  <si>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</si>
  <si>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</si>
  <si>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</si>
  <si>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</si>
  <si>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</si>
  <si>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</si>
  <si>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</si>
  <si>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</si>
  <si>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</si>
  <si>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</si>
  <si>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</si>
  <si>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</si>
  <si>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</si>
  <si>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</si>
  <si>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</si>
  <si>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</si>
  <si>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</si>
  <si>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</si>
  <si>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</si>
  <si>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</si>
  <si>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</si>
  <si>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</si>
  <si>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</si>
  <si>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</si>
  <si>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</si>
  <si>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</si>
  <si>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</si>
  <si>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</si>
  <si>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</si>
  <si>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</si>
  <si>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</si>
  <si>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</si>
  <si>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Belgica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</si>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</sst>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76200</xdr:rowOff>
    </xdr:from>
    <xdr:to>
      <xdr:col>18</xdr:col>
      <xdr:colOff>11207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66700"/>
          <a:ext cx="1044388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78444</xdr:rowOff>
    </xdr:from>
    <xdr:to>
      <xdr:col>21</xdr:col>
      <xdr:colOff>1</xdr:colOff>
      <xdr:row>4</xdr:row>
      <xdr:rowOff>134472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68944"/>
          <a:ext cx="1053353" cy="627528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92" t="s">
        <v>182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E1" s="92" t="s">
        <v>183</v>
      </c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93" t="s">
        <v>104</v>
      </c>
      <c r="C2" s="93"/>
      <c r="D2" s="93"/>
      <c r="E2" s="94"/>
      <c r="G2" s="95" t="s">
        <v>1</v>
      </c>
      <c r="H2" s="95"/>
      <c r="I2" s="95"/>
      <c r="J2" s="95"/>
      <c r="K2" s="95"/>
      <c r="L2" s="95"/>
      <c r="M2" s="95"/>
      <c r="N2" s="95"/>
      <c r="O2" s="95"/>
      <c r="P2" s="95"/>
      <c r="Q2" s="95"/>
      <c r="S2" s="95" t="s">
        <v>73</v>
      </c>
      <c r="T2" s="95"/>
      <c r="U2" s="95"/>
      <c r="V2" s="95"/>
      <c r="W2" s="95"/>
      <c r="X2" s="95"/>
      <c r="Y2" s="95"/>
      <c r="Z2" s="95"/>
      <c r="AA2" s="95"/>
      <c r="AB2" s="95"/>
      <c r="AC2" s="95"/>
      <c r="AE2" s="96" t="str">
        <f>Tabela!A2</f>
        <v>Grupo A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Q2" s="96" t="str">
        <f>Tabela!G2</f>
        <v>Grupo E</v>
      </c>
      <c r="AR2" s="96"/>
      <c r="AS2" s="96"/>
      <c r="AT2" s="96"/>
      <c r="AU2" s="96"/>
      <c r="AV2" s="96"/>
      <c r="AW2" s="96"/>
      <c r="AX2" s="96"/>
      <c r="AY2" s="96"/>
      <c r="AZ2" s="96"/>
      <c r="BA2" s="96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7" t="s">
        <v>46</v>
      </c>
      <c r="H3" s="97"/>
      <c r="I3" s="97"/>
      <c r="J3" s="97"/>
      <c r="K3" s="2">
        <v>1</v>
      </c>
      <c r="L3" s="2" t="s">
        <v>70</v>
      </c>
      <c r="M3" s="2">
        <v>2</v>
      </c>
      <c r="N3" s="98" t="s">
        <v>51</v>
      </c>
      <c r="O3" s="98"/>
      <c r="P3" s="98"/>
      <c r="Q3" s="98"/>
      <c r="S3" s="97" t="s">
        <v>38</v>
      </c>
      <c r="T3" s="97"/>
      <c r="U3" s="97"/>
      <c r="V3" s="97"/>
      <c r="W3" s="2">
        <v>2</v>
      </c>
      <c r="X3" s="2" t="s">
        <v>70</v>
      </c>
      <c r="Y3" s="2">
        <v>0</v>
      </c>
      <c r="Z3" s="98" t="s">
        <v>59</v>
      </c>
      <c r="AA3" s="98"/>
      <c r="AB3" s="98"/>
      <c r="AC3" s="98"/>
      <c r="AE3" s="97" t="str">
        <f>Tabela!A3</f>
        <v>Catar</v>
      </c>
      <c r="AF3" s="97"/>
      <c r="AG3" s="97"/>
      <c r="AH3" s="97"/>
      <c r="AI3" s="2">
        <v>0</v>
      </c>
      <c r="AJ3" s="2" t="s">
        <v>70</v>
      </c>
      <c r="AK3" s="2">
        <v>2</v>
      </c>
      <c r="AL3" s="98" t="str">
        <f>Tabela!E3</f>
        <v>Equador</v>
      </c>
      <c r="AM3" s="98"/>
      <c r="AN3" s="98"/>
      <c r="AO3" s="98"/>
      <c r="AQ3" s="97" t="str">
        <f>Tabela!G3</f>
        <v>Alemanha</v>
      </c>
      <c r="AR3" s="97"/>
      <c r="AS3" s="97"/>
      <c r="AT3" s="97"/>
      <c r="AU3" s="2">
        <f>Tabela!H3</f>
        <v>1</v>
      </c>
      <c r="AV3" s="2" t="s">
        <v>70</v>
      </c>
      <c r="AW3" s="2">
        <f>Tabela!J3</f>
        <v>2</v>
      </c>
      <c r="AX3" s="98" t="str">
        <f>Tabela!K3</f>
        <v>Japão</v>
      </c>
      <c r="AY3" s="98"/>
      <c r="AZ3" s="98"/>
      <c r="BA3" s="98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7" t="s">
        <v>65</v>
      </c>
      <c r="H4" s="97"/>
      <c r="I4" s="97"/>
      <c r="J4" s="97"/>
      <c r="K4" s="2">
        <v>1</v>
      </c>
      <c r="L4" s="2" t="s">
        <v>70</v>
      </c>
      <c r="M4" s="2">
        <v>2</v>
      </c>
      <c r="N4" s="98" t="s">
        <v>56</v>
      </c>
      <c r="O4" s="98"/>
      <c r="P4" s="98"/>
      <c r="Q4" s="98"/>
      <c r="S4" s="97" t="s">
        <v>52</v>
      </c>
      <c r="T4" s="97"/>
      <c r="U4" s="97"/>
      <c r="V4" s="97"/>
      <c r="W4" s="2">
        <v>2</v>
      </c>
      <c r="X4" s="2" t="s">
        <v>70</v>
      </c>
      <c r="Y4" s="2">
        <v>1</v>
      </c>
      <c r="Z4" s="98" t="s">
        <v>48</v>
      </c>
      <c r="AA4" s="98"/>
      <c r="AB4" s="98"/>
      <c r="AC4" s="98"/>
      <c r="AE4" s="97" t="str">
        <f>Tabela!A4</f>
        <v>Senegal</v>
      </c>
      <c r="AF4" s="97"/>
      <c r="AG4" s="97"/>
      <c r="AH4" s="97"/>
      <c r="AI4" s="2">
        <f>Tabela!B4</f>
        <v>0</v>
      </c>
      <c r="AJ4" s="2" t="s">
        <v>70</v>
      </c>
      <c r="AK4" s="2">
        <f>Tabela!D4</f>
        <v>2</v>
      </c>
      <c r="AL4" s="98" t="str">
        <f>Tabela!E4</f>
        <v>Holanda</v>
      </c>
      <c r="AM4" s="98"/>
      <c r="AN4" s="98"/>
      <c r="AO4" s="98"/>
      <c r="AQ4" s="97" t="str">
        <f>Tabela!G4</f>
        <v>Espanha</v>
      </c>
      <c r="AR4" s="97"/>
      <c r="AS4" s="97"/>
      <c r="AT4" s="97"/>
      <c r="AU4" s="2">
        <f>Tabela!H4</f>
        <v>7</v>
      </c>
      <c r="AV4" s="2" t="s">
        <v>70</v>
      </c>
      <c r="AW4" s="2">
        <f>Tabela!J4</f>
        <v>0</v>
      </c>
      <c r="AX4" s="98" t="str">
        <f>Tabela!K4</f>
        <v>CostaRica</v>
      </c>
      <c r="AY4" s="98"/>
      <c r="AZ4" s="98"/>
      <c r="BA4" s="98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7" t="s">
        <v>46</v>
      </c>
      <c r="H5" s="97"/>
      <c r="I5" s="97"/>
      <c r="J5" s="97"/>
      <c r="K5" s="2">
        <v>1</v>
      </c>
      <c r="L5" s="2" t="s">
        <v>70</v>
      </c>
      <c r="M5" s="2">
        <v>2</v>
      </c>
      <c r="N5" s="98" t="s">
        <v>65</v>
      </c>
      <c r="O5" s="98"/>
      <c r="P5" s="98"/>
      <c r="Q5" s="98"/>
      <c r="S5" s="97" t="s">
        <v>59</v>
      </c>
      <c r="T5" s="97"/>
      <c r="U5" s="97"/>
      <c r="V5" s="97"/>
      <c r="W5" s="2">
        <v>1</v>
      </c>
      <c r="X5" s="2" t="s">
        <v>70</v>
      </c>
      <c r="Y5" s="2">
        <v>0</v>
      </c>
      <c r="Z5" s="98" t="s">
        <v>48</v>
      </c>
      <c r="AA5" s="98"/>
      <c r="AB5" s="98"/>
      <c r="AC5" s="98"/>
      <c r="AE5" s="97" t="str">
        <f>Tabela!A5</f>
        <v>Catar</v>
      </c>
      <c r="AF5" s="97"/>
      <c r="AG5" s="97"/>
      <c r="AH5" s="97"/>
      <c r="AI5" s="2">
        <f>Tabela!B5</f>
        <v>1</v>
      </c>
      <c r="AJ5" s="2" t="s">
        <v>70</v>
      </c>
      <c r="AK5" s="2">
        <f>Tabela!D5</f>
        <v>3</v>
      </c>
      <c r="AL5" s="98" t="str">
        <f>Tabela!E5</f>
        <v>Senegal</v>
      </c>
      <c r="AM5" s="98"/>
      <c r="AN5" s="98"/>
      <c r="AO5" s="98"/>
      <c r="AQ5" s="97" t="str">
        <f>Tabela!G5</f>
        <v>Japão</v>
      </c>
      <c r="AR5" s="97"/>
      <c r="AS5" s="97"/>
      <c r="AT5" s="97"/>
      <c r="AU5" s="2">
        <f>Tabela!H5</f>
        <v>0</v>
      </c>
      <c r="AV5" s="2" t="s">
        <v>70</v>
      </c>
      <c r="AW5" s="2">
        <f>Tabela!J5</f>
        <v>1</v>
      </c>
      <c r="AX5" s="98" t="str">
        <f>Tabela!K5</f>
        <v>CostaRica</v>
      </c>
      <c r="AY5" s="98"/>
      <c r="AZ5" s="98"/>
      <c r="BA5" s="98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9" t="s">
        <v>185</v>
      </c>
      <c r="BS5" s="99"/>
      <c r="BT5" s="99"/>
      <c r="BU5" s="99"/>
      <c r="BV5" s="99"/>
      <c r="BW5" s="99"/>
      <c r="BX5" s="99"/>
      <c r="BY5" s="99"/>
      <c r="BZ5" s="99"/>
      <c r="CA5" s="99"/>
      <c r="CB5" s="99"/>
      <c r="CC5" s="99"/>
      <c r="CD5" s="99"/>
      <c r="CE5" s="99"/>
      <c r="CF5" s="99"/>
      <c r="CG5" s="99"/>
      <c r="CH5" s="99"/>
      <c r="CI5" s="99"/>
      <c r="CJ5" s="99"/>
      <c r="CK5" s="99"/>
      <c r="CL5" s="99"/>
      <c r="CM5" s="99"/>
      <c r="CN5" s="99"/>
      <c r="CO5" s="99"/>
      <c r="CP5" s="99"/>
      <c r="CQ5" s="99"/>
      <c r="CR5" s="99"/>
      <c r="CS5" s="99"/>
      <c r="CT5" s="99"/>
      <c r="CU5" s="99"/>
      <c r="CV5" s="99"/>
      <c r="CW5" s="99"/>
      <c r="CX5" s="99"/>
      <c r="CY5" s="99"/>
      <c r="CZ5" s="99"/>
      <c r="DA5" s="99"/>
      <c r="DB5" s="99"/>
      <c r="DC5" s="99"/>
      <c r="DD5" s="99"/>
      <c r="DE5" s="99"/>
      <c r="DF5" s="99"/>
      <c r="DG5" s="99"/>
      <c r="DH5" s="99"/>
      <c r="DI5" s="99"/>
      <c r="DJ5" s="99"/>
      <c r="DK5" s="99"/>
      <c r="DL5" s="99"/>
      <c r="DM5" s="99"/>
      <c r="DN5" s="99"/>
      <c r="DO5" s="99"/>
      <c r="DP5" s="99"/>
      <c r="DQ5" s="99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7" t="s">
        <v>56</v>
      </c>
      <c r="H6" s="97"/>
      <c r="I6" s="97"/>
      <c r="J6" s="97"/>
      <c r="K6" s="2">
        <v>1</v>
      </c>
      <c r="L6" s="2" t="s">
        <v>70</v>
      </c>
      <c r="M6" s="2">
        <v>1</v>
      </c>
      <c r="N6" s="98" t="s">
        <v>51</v>
      </c>
      <c r="O6" s="98"/>
      <c r="P6" s="98"/>
      <c r="Q6" s="98"/>
      <c r="S6" s="97" t="s">
        <v>52</v>
      </c>
      <c r="T6" s="97"/>
      <c r="U6" s="97"/>
      <c r="V6" s="97"/>
      <c r="W6" s="2">
        <v>2</v>
      </c>
      <c r="X6" s="2" t="s">
        <v>70</v>
      </c>
      <c r="Y6" s="2">
        <v>3</v>
      </c>
      <c r="Z6" s="98" t="s">
        <v>38</v>
      </c>
      <c r="AA6" s="98"/>
      <c r="AB6" s="98"/>
      <c r="AC6" s="98"/>
      <c r="AE6" s="97" t="str">
        <f>Tabela!A6</f>
        <v>Holanda</v>
      </c>
      <c r="AF6" s="97"/>
      <c r="AG6" s="97"/>
      <c r="AH6" s="97"/>
      <c r="AI6" s="2">
        <f>Tabela!B6</f>
        <v>1</v>
      </c>
      <c r="AJ6" s="2" t="s">
        <v>70</v>
      </c>
      <c r="AK6" s="2">
        <f>Tabela!D6</f>
        <v>1</v>
      </c>
      <c r="AL6" s="98" t="str">
        <f>Tabela!E6</f>
        <v>Equador</v>
      </c>
      <c r="AM6" s="98"/>
      <c r="AN6" s="98"/>
      <c r="AO6" s="98"/>
      <c r="AQ6" s="97" t="str">
        <f>Tabela!G6</f>
        <v>Espanha</v>
      </c>
      <c r="AR6" s="97"/>
      <c r="AS6" s="97"/>
      <c r="AT6" s="97"/>
      <c r="AU6" s="2">
        <f>Tabela!H6</f>
        <v>1</v>
      </c>
      <c r="AV6" s="2" t="s">
        <v>70</v>
      </c>
      <c r="AW6" s="2">
        <f>Tabela!J6</f>
        <v>1</v>
      </c>
      <c r="AX6" s="98" t="str">
        <f>Tabela!K6</f>
        <v>Alemanha</v>
      </c>
      <c r="AY6" s="98"/>
      <c r="AZ6" s="98"/>
      <c r="BA6" s="98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9"/>
      <c r="BS6" s="99"/>
      <c r="BT6" s="99"/>
      <c r="BU6" s="99"/>
      <c r="BV6" s="99"/>
      <c r="BW6" s="99"/>
      <c r="BX6" s="99"/>
      <c r="BY6" s="99"/>
      <c r="BZ6" s="99"/>
      <c r="CA6" s="99"/>
      <c r="CB6" s="99"/>
      <c r="CC6" s="99"/>
      <c r="CD6" s="99"/>
      <c r="CE6" s="99"/>
      <c r="CF6" s="99"/>
      <c r="CG6" s="99"/>
      <c r="CH6" s="99"/>
      <c r="CI6" s="99"/>
      <c r="CJ6" s="99"/>
      <c r="CK6" s="99"/>
      <c r="CL6" s="99"/>
      <c r="CM6" s="99"/>
      <c r="CN6" s="99"/>
      <c r="CO6" s="99"/>
      <c r="CP6" s="99"/>
      <c r="CQ6" s="99"/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99"/>
      <c r="DK6" s="99"/>
      <c r="DL6" s="99"/>
      <c r="DM6" s="99"/>
      <c r="DN6" s="99"/>
      <c r="DO6" s="99"/>
      <c r="DP6" s="99"/>
      <c r="DQ6" s="99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7" t="s">
        <v>56</v>
      </c>
      <c r="H7" s="97"/>
      <c r="I7" s="97"/>
      <c r="J7" s="97"/>
      <c r="K7" s="2">
        <v>2</v>
      </c>
      <c r="L7" s="2" t="s">
        <v>70</v>
      </c>
      <c r="M7" s="2">
        <v>0</v>
      </c>
      <c r="N7" s="98" t="s">
        <v>46</v>
      </c>
      <c r="O7" s="98"/>
      <c r="P7" s="98"/>
      <c r="Q7" s="98"/>
      <c r="S7" s="97" t="s">
        <v>59</v>
      </c>
      <c r="T7" s="97"/>
      <c r="U7" s="97"/>
      <c r="V7" s="97"/>
      <c r="W7" s="2">
        <v>2</v>
      </c>
      <c r="X7" s="2" t="s">
        <v>70</v>
      </c>
      <c r="Y7" s="2">
        <v>2</v>
      </c>
      <c r="Z7" s="98" t="s">
        <v>52</v>
      </c>
      <c r="AA7" s="98"/>
      <c r="AB7" s="98"/>
      <c r="AC7" s="98"/>
      <c r="AE7" s="97" t="str">
        <f>Tabela!A7</f>
        <v>Holanda</v>
      </c>
      <c r="AF7" s="97"/>
      <c r="AG7" s="97"/>
      <c r="AH7" s="97"/>
      <c r="AI7" s="2">
        <f>Tabela!B7</f>
        <v>2</v>
      </c>
      <c r="AJ7" s="2" t="s">
        <v>70</v>
      </c>
      <c r="AK7" s="2">
        <f>Tabela!D7</f>
        <v>0</v>
      </c>
      <c r="AL7" s="98" t="str">
        <f>Tabela!E7</f>
        <v>Catar</v>
      </c>
      <c r="AM7" s="98"/>
      <c r="AN7" s="98"/>
      <c r="AO7" s="98"/>
      <c r="AQ7" s="97" t="str">
        <f>Tabela!G7</f>
        <v>Japão</v>
      </c>
      <c r="AR7" s="97"/>
      <c r="AS7" s="97"/>
      <c r="AT7" s="97"/>
      <c r="AU7" s="2">
        <f>Tabela!H7</f>
        <v>2</v>
      </c>
      <c r="AV7" s="2" t="s">
        <v>70</v>
      </c>
      <c r="AW7" s="2">
        <f>Tabela!J7</f>
        <v>1</v>
      </c>
      <c r="AX7" s="98" t="str">
        <f>Tabela!K7</f>
        <v>Espanha</v>
      </c>
      <c r="AY7" s="98"/>
      <c r="AZ7" s="98"/>
      <c r="BA7" s="98"/>
      <c r="BC7" s="2">
        <f t="shared" si="0"/>
        <v>25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9"/>
      <c r="BS7" s="99"/>
      <c r="BT7" s="99"/>
      <c r="BU7" s="99"/>
      <c r="BV7" s="99"/>
      <c r="BW7" s="99"/>
      <c r="BX7" s="99"/>
      <c r="BY7" s="99"/>
      <c r="BZ7" s="99"/>
      <c r="CA7" s="99"/>
      <c r="CB7" s="99"/>
      <c r="CC7" s="99"/>
      <c r="CD7" s="99"/>
      <c r="CE7" s="99"/>
      <c r="CF7" s="99"/>
      <c r="CG7" s="99"/>
      <c r="CH7" s="99"/>
      <c r="CI7" s="99"/>
      <c r="CJ7" s="99"/>
      <c r="CK7" s="99"/>
      <c r="CL7" s="99"/>
      <c r="CM7" s="99"/>
      <c r="CN7" s="99"/>
      <c r="CO7" s="99"/>
      <c r="CP7" s="99"/>
      <c r="CQ7" s="99"/>
      <c r="CR7" s="99"/>
      <c r="CS7" s="99"/>
      <c r="CT7" s="99"/>
      <c r="CU7" s="99"/>
      <c r="CV7" s="99"/>
      <c r="CW7" s="99"/>
      <c r="CX7" s="99"/>
      <c r="CY7" s="99"/>
      <c r="CZ7" s="99"/>
      <c r="DA7" s="99"/>
      <c r="DB7" s="99"/>
      <c r="DC7" s="99"/>
      <c r="DD7" s="99"/>
      <c r="DE7" s="99"/>
      <c r="DF7" s="99"/>
      <c r="DG7" s="99"/>
      <c r="DH7" s="99"/>
      <c r="DI7" s="99"/>
      <c r="DJ7" s="99"/>
      <c r="DK7" s="99"/>
      <c r="DL7" s="99"/>
      <c r="DM7" s="99"/>
      <c r="DN7" s="99"/>
      <c r="DO7" s="99"/>
      <c r="DP7" s="99"/>
      <c r="DQ7" s="99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7" t="s">
        <v>51</v>
      </c>
      <c r="H8" s="97"/>
      <c r="I8" s="97"/>
      <c r="J8" s="97"/>
      <c r="K8" s="2">
        <v>1</v>
      </c>
      <c r="L8" s="2" t="s">
        <v>70</v>
      </c>
      <c r="M8" s="2">
        <v>0</v>
      </c>
      <c r="N8" s="98" t="s">
        <v>65</v>
      </c>
      <c r="O8" s="98"/>
      <c r="P8" s="98"/>
      <c r="Q8" s="98"/>
      <c r="S8" s="97" t="s">
        <v>48</v>
      </c>
      <c r="T8" s="97"/>
      <c r="U8" s="97"/>
      <c r="V8" s="97"/>
      <c r="W8" s="2">
        <v>0</v>
      </c>
      <c r="X8" s="2" t="s">
        <v>70</v>
      </c>
      <c r="Y8" s="2">
        <v>4</v>
      </c>
      <c r="Z8" s="98" t="s">
        <v>38</v>
      </c>
      <c r="AA8" s="98"/>
      <c r="AB8" s="98"/>
      <c r="AC8" s="98"/>
      <c r="AE8" s="97" t="str">
        <f>Tabela!A8</f>
        <v>Equador</v>
      </c>
      <c r="AF8" s="97"/>
      <c r="AG8" s="97"/>
      <c r="AH8" s="97"/>
      <c r="AI8" s="2">
        <f>Tabela!B8</f>
        <v>1</v>
      </c>
      <c r="AJ8" s="2" t="s">
        <v>70</v>
      </c>
      <c r="AK8" s="2">
        <f>Tabela!D8</f>
        <v>2</v>
      </c>
      <c r="AL8" s="98" t="str">
        <f>Tabela!E8</f>
        <v>Senegal</v>
      </c>
      <c r="AM8" s="98"/>
      <c r="AN8" s="98"/>
      <c r="AO8" s="98"/>
      <c r="AQ8" s="97" t="str">
        <f>Tabela!G8</f>
        <v>CostaRica</v>
      </c>
      <c r="AR8" s="97"/>
      <c r="AS8" s="97"/>
      <c r="AT8" s="97"/>
      <c r="AU8" s="2">
        <f>Tabela!H8</f>
        <v>2</v>
      </c>
      <c r="AV8" s="2" t="s">
        <v>70</v>
      </c>
      <c r="AW8" s="2">
        <f>Tabela!J8</f>
        <v>4</v>
      </c>
      <c r="AX8" s="98" t="str">
        <f>Tabela!K8</f>
        <v>Alemanha</v>
      </c>
      <c r="AY8" s="98"/>
      <c r="AZ8" s="98"/>
      <c r="BA8" s="98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9"/>
      <c r="BS8" s="99"/>
      <c r="BT8" s="99"/>
      <c r="BU8" s="99"/>
      <c r="BV8" s="99"/>
      <c r="BW8" s="99"/>
      <c r="BX8" s="99"/>
      <c r="BY8" s="99"/>
      <c r="BZ8" s="99"/>
      <c r="CA8" s="99"/>
      <c r="CB8" s="99"/>
      <c r="CC8" s="99"/>
      <c r="CD8" s="99"/>
      <c r="CE8" s="99"/>
      <c r="CF8" s="99"/>
      <c r="CG8" s="100"/>
      <c r="CH8" s="100"/>
      <c r="CI8" s="100"/>
      <c r="CJ8" s="100"/>
      <c r="CK8" s="100"/>
      <c r="CL8" s="100"/>
      <c r="CM8" s="100"/>
      <c r="CN8" s="100"/>
      <c r="CO8" s="99"/>
      <c r="CP8" s="99"/>
      <c r="CQ8" s="99"/>
      <c r="CR8" s="99"/>
      <c r="CS8" s="99"/>
      <c r="CT8" s="99"/>
      <c r="CU8" s="100"/>
      <c r="CV8" s="100"/>
      <c r="CW8" s="100"/>
      <c r="CX8" s="100"/>
      <c r="CY8" s="100"/>
      <c r="CZ8" s="100"/>
      <c r="DA8" s="100"/>
      <c r="DB8" s="100"/>
      <c r="DC8" s="99"/>
      <c r="DD8" s="99"/>
      <c r="DE8" s="99"/>
      <c r="DF8" s="99"/>
      <c r="DG8" s="99"/>
      <c r="DH8" s="99"/>
      <c r="DI8" s="99"/>
      <c r="DJ8" s="99"/>
      <c r="DK8" s="99"/>
      <c r="DL8" s="99"/>
      <c r="DM8" s="99"/>
      <c r="DN8" s="99"/>
      <c r="DO8" s="99"/>
      <c r="DP8" s="99"/>
      <c r="DQ8" s="99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95" t="s">
        <v>5</v>
      </c>
      <c r="H9" s="95"/>
      <c r="I9" s="95"/>
      <c r="J9" s="95"/>
      <c r="K9" s="95"/>
      <c r="L9" s="95"/>
      <c r="M9" s="95"/>
      <c r="N9" s="95"/>
      <c r="O9" s="95"/>
      <c r="P9" s="95"/>
      <c r="Q9" s="95"/>
      <c r="S9" s="95" t="s">
        <v>74</v>
      </c>
      <c r="T9" s="95"/>
      <c r="U9" s="95"/>
      <c r="V9" s="95"/>
      <c r="W9" s="95"/>
      <c r="X9" s="95"/>
      <c r="Y9" s="95"/>
      <c r="Z9" s="95"/>
      <c r="AA9" s="95"/>
      <c r="AB9" s="95"/>
      <c r="AC9" s="95"/>
      <c r="AE9" s="96" t="str">
        <f>Tabela!A9</f>
        <v>Grupo B</v>
      </c>
      <c r="AF9" s="96"/>
      <c r="AG9" s="96"/>
      <c r="AH9" s="96"/>
      <c r="AI9" s="96"/>
      <c r="AJ9" s="96"/>
      <c r="AK9" s="96"/>
      <c r="AL9" s="96"/>
      <c r="AM9" s="96"/>
      <c r="AN9" s="96"/>
      <c r="AO9" s="96"/>
      <c r="AQ9" s="96" t="str">
        <f>Tabela!G9</f>
        <v>Grupo F</v>
      </c>
      <c r="AR9" s="96"/>
      <c r="AS9" s="96"/>
      <c r="AT9" s="96"/>
      <c r="AU9" s="96"/>
      <c r="AV9" s="96"/>
      <c r="AW9" s="96"/>
      <c r="AX9" s="96"/>
      <c r="AY9" s="96"/>
      <c r="AZ9" s="96"/>
      <c r="BA9" s="96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101" t="s">
        <v>187</v>
      </c>
      <c r="BS9" s="101"/>
      <c r="BT9" s="101"/>
      <c r="BU9" s="101"/>
      <c r="BV9" s="101"/>
      <c r="BW9" s="101"/>
      <c r="BX9" s="101"/>
      <c r="BY9" s="101"/>
      <c r="BZ9" s="101"/>
      <c r="CA9" s="101"/>
      <c r="CB9" s="101"/>
      <c r="CC9" s="101"/>
      <c r="CD9" s="101"/>
      <c r="CE9" s="101"/>
      <c r="CF9" s="102"/>
      <c r="CG9" s="103">
        <v>0</v>
      </c>
      <c r="CH9" s="104"/>
      <c r="CI9" s="104"/>
      <c r="CJ9" s="104"/>
      <c r="CK9" s="104"/>
      <c r="CL9" s="104"/>
      <c r="CM9" s="104"/>
      <c r="CN9" s="105"/>
      <c r="CO9" s="112" t="s">
        <v>189</v>
      </c>
      <c r="CP9" s="113"/>
      <c r="CQ9" s="113"/>
      <c r="CR9" s="113"/>
      <c r="CS9" s="113"/>
      <c r="CT9" s="114"/>
      <c r="CU9" s="103">
        <v>0</v>
      </c>
      <c r="CV9" s="104"/>
      <c r="CW9" s="104"/>
      <c r="CX9" s="104"/>
      <c r="CY9" s="104"/>
      <c r="CZ9" s="104"/>
      <c r="DA9" s="104"/>
      <c r="DB9" s="105"/>
      <c r="DC9" s="115" t="s">
        <v>188</v>
      </c>
      <c r="DD9" s="116"/>
      <c r="DE9" s="116"/>
      <c r="DF9" s="116"/>
      <c r="DG9" s="116"/>
      <c r="DH9" s="116"/>
      <c r="DI9" s="116"/>
      <c r="DJ9" s="116"/>
      <c r="DK9" s="116"/>
      <c r="DL9" s="116"/>
      <c r="DM9" s="116"/>
      <c r="DN9" s="116"/>
      <c r="DO9" s="116"/>
      <c r="DP9" s="116"/>
      <c r="DQ9" s="116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7" t="s">
        <v>57</v>
      </c>
      <c r="H10" s="97"/>
      <c r="I10" s="97"/>
      <c r="J10" s="97"/>
      <c r="K10" s="2">
        <v>2</v>
      </c>
      <c r="L10" s="2" t="s">
        <v>70</v>
      </c>
      <c r="M10" s="2">
        <v>0</v>
      </c>
      <c r="N10" s="98" t="s">
        <v>58</v>
      </c>
      <c r="O10" s="98"/>
      <c r="P10" s="98"/>
      <c r="Q10" s="98"/>
      <c r="S10" s="97" t="s">
        <v>60</v>
      </c>
      <c r="T10" s="97"/>
      <c r="U10" s="97"/>
      <c r="V10" s="97"/>
      <c r="W10" s="2">
        <v>1</v>
      </c>
      <c r="X10" s="2" t="s">
        <v>70</v>
      </c>
      <c r="Y10" s="2">
        <v>3</v>
      </c>
      <c r="Z10" s="98" t="s">
        <v>49</v>
      </c>
      <c r="AA10" s="98"/>
      <c r="AB10" s="98"/>
      <c r="AC10" s="98"/>
      <c r="AE10" s="97" t="str">
        <f>Tabela!A10</f>
        <v>Inglaterra</v>
      </c>
      <c r="AF10" s="97"/>
      <c r="AG10" s="97"/>
      <c r="AH10" s="97"/>
      <c r="AI10" s="2">
        <f>Tabela!B10</f>
        <v>6</v>
      </c>
      <c r="AJ10" s="2" t="s">
        <v>70</v>
      </c>
      <c r="AK10" s="2">
        <f>Tabela!D10</f>
        <v>2</v>
      </c>
      <c r="AL10" s="98" t="str">
        <f>Tabela!E10</f>
        <v>Irã</v>
      </c>
      <c r="AM10" s="98"/>
      <c r="AN10" s="98"/>
      <c r="AO10" s="98"/>
      <c r="AQ10" s="97" t="str">
        <f>Tabela!G10</f>
        <v>Marrocos</v>
      </c>
      <c r="AR10" s="97"/>
      <c r="AS10" s="97"/>
      <c r="AT10" s="97"/>
      <c r="AU10" s="2">
        <f>Tabela!H10</f>
        <v>0</v>
      </c>
      <c r="AV10" s="2" t="s">
        <v>70</v>
      </c>
      <c r="AW10" s="2">
        <f>Tabela!J10</f>
        <v>0</v>
      </c>
      <c r="AX10" s="98" t="str">
        <f>Tabela!K10</f>
        <v>Croácia</v>
      </c>
      <c r="AY10" s="98"/>
      <c r="AZ10" s="98"/>
      <c r="BA10" s="98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101"/>
      <c r="BS10" s="101"/>
      <c r="BT10" s="101"/>
      <c r="BU10" s="101"/>
      <c r="BV10" s="101"/>
      <c r="BW10" s="101"/>
      <c r="BX10" s="101"/>
      <c r="BY10" s="101"/>
      <c r="BZ10" s="101"/>
      <c r="CA10" s="101"/>
      <c r="CB10" s="101"/>
      <c r="CC10" s="101"/>
      <c r="CD10" s="101"/>
      <c r="CE10" s="101"/>
      <c r="CF10" s="102"/>
      <c r="CG10" s="106"/>
      <c r="CH10" s="107"/>
      <c r="CI10" s="107"/>
      <c r="CJ10" s="107"/>
      <c r="CK10" s="107"/>
      <c r="CL10" s="107"/>
      <c r="CM10" s="107"/>
      <c r="CN10" s="108"/>
      <c r="CO10" s="112"/>
      <c r="CP10" s="113"/>
      <c r="CQ10" s="113"/>
      <c r="CR10" s="113"/>
      <c r="CS10" s="113"/>
      <c r="CT10" s="114"/>
      <c r="CU10" s="106"/>
      <c r="CV10" s="107"/>
      <c r="CW10" s="107"/>
      <c r="CX10" s="107"/>
      <c r="CY10" s="107"/>
      <c r="CZ10" s="107"/>
      <c r="DA10" s="107"/>
      <c r="DB10" s="108"/>
      <c r="DC10" s="115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7" t="s">
        <v>53</v>
      </c>
      <c r="H11" s="97"/>
      <c r="I11" s="97"/>
      <c r="J11" s="97"/>
      <c r="K11" s="2">
        <v>1</v>
      </c>
      <c r="L11" s="2" t="s">
        <v>70</v>
      </c>
      <c r="M11" s="2">
        <v>0</v>
      </c>
      <c r="N11" s="98" t="s">
        <v>71</v>
      </c>
      <c r="O11" s="98"/>
      <c r="P11" s="98"/>
      <c r="Q11" s="98"/>
      <c r="S11" s="97" t="s">
        <v>42</v>
      </c>
      <c r="T11" s="97"/>
      <c r="U11" s="97"/>
      <c r="V11" s="97"/>
      <c r="W11" s="2">
        <v>2</v>
      </c>
      <c r="X11" s="2" t="s">
        <v>70</v>
      </c>
      <c r="Y11" s="2">
        <v>1</v>
      </c>
      <c r="Z11" s="98" t="s">
        <v>45</v>
      </c>
      <c r="AA11" s="98"/>
      <c r="AB11" s="98"/>
      <c r="AC11" s="98"/>
      <c r="AE11" s="97" t="str">
        <f>Tabela!A11</f>
        <v>Estados Unidos</v>
      </c>
      <c r="AF11" s="97"/>
      <c r="AG11" s="97"/>
      <c r="AH11" s="97"/>
      <c r="AI11" s="2">
        <f>Tabela!B11</f>
        <v>1</v>
      </c>
      <c r="AJ11" s="2" t="s">
        <v>70</v>
      </c>
      <c r="AK11" s="2">
        <f>Tabela!D11</f>
        <v>1</v>
      </c>
      <c r="AL11" s="98" t="str">
        <f>Tabela!E11</f>
        <v>Gales</v>
      </c>
      <c r="AM11" s="98"/>
      <c r="AN11" s="98"/>
      <c r="AO11" s="98"/>
      <c r="AQ11" s="97" t="str">
        <f>Tabela!G11</f>
        <v>Bélgica</v>
      </c>
      <c r="AR11" s="97"/>
      <c r="AS11" s="97"/>
      <c r="AT11" s="97"/>
      <c r="AU11" s="2">
        <f>Tabela!H11</f>
        <v>1</v>
      </c>
      <c r="AV11" s="2" t="s">
        <v>70</v>
      </c>
      <c r="AW11" s="2">
        <f>Tabela!J11</f>
        <v>0</v>
      </c>
      <c r="AX11" s="98" t="str">
        <f>Tabela!K11</f>
        <v>Canadá</v>
      </c>
      <c r="AY11" s="98"/>
      <c r="AZ11" s="98"/>
      <c r="BA11" s="98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101"/>
      <c r="BS11" s="101"/>
      <c r="BT11" s="101"/>
      <c r="BU11" s="101"/>
      <c r="BV11" s="101"/>
      <c r="BW11" s="101"/>
      <c r="BX11" s="101"/>
      <c r="BY11" s="101"/>
      <c r="BZ11" s="101"/>
      <c r="CA11" s="101"/>
      <c r="CB11" s="101"/>
      <c r="CC11" s="101"/>
      <c r="CD11" s="101"/>
      <c r="CE11" s="101"/>
      <c r="CF11" s="102"/>
      <c r="CG11" s="106"/>
      <c r="CH11" s="107"/>
      <c r="CI11" s="107"/>
      <c r="CJ11" s="107"/>
      <c r="CK11" s="107"/>
      <c r="CL11" s="107"/>
      <c r="CM11" s="107"/>
      <c r="CN11" s="108"/>
      <c r="CO11" s="112"/>
      <c r="CP11" s="113"/>
      <c r="CQ11" s="113"/>
      <c r="CR11" s="113"/>
      <c r="CS11" s="113"/>
      <c r="CT11" s="114"/>
      <c r="CU11" s="106"/>
      <c r="CV11" s="107"/>
      <c r="CW11" s="107"/>
      <c r="CX11" s="107"/>
      <c r="CY11" s="107"/>
      <c r="CZ11" s="107"/>
      <c r="DA11" s="107"/>
      <c r="DB11" s="108"/>
      <c r="DC11" s="115"/>
      <c r="DD11" s="116"/>
      <c r="DE11" s="116"/>
      <c r="DF11" s="116"/>
      <c r="DG11" s="116"/>
      <c r="DH11" s="116"/>
      <c r="DI11" s="116"/>
      <c r="DJ11" s="116"/>
      <c r="DK11" s="116"/>
      <c r="DL11" s="116"/>
      <c r="DM11" s="116"/>
      <c r="DN11" s="116"/>
      <c r="DO11" s="116"/>
      <c r="DP11" s="116"/>
      <c r="DQ11" s="116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7" t="s">
        <v>71</v>
      </c>
      <c r="H12" s="97"/>
      <c r="I12" s="97"/>
      <c r="J12" s="97"/>
      <c r="K12" s="2">
        <v>1</v>
      </c>
      <c r="L12" s="2" t="s">
        <v>70</v>
      </c>
      <c r="M12" s="2">
        <v>1</v>
      </c>
      <c r="N12" s="98" t="s">
        <v>58</v>
      </c>
      <c r="O12" s="98"/>
      <c r="P12" s="98"/>
      <c r="Q12" s="98"/>
      <c r="S12" s="97" t="s">
        <v>42</v>
      </c>
      <c r="T12" s="97"/>
      <c r="U12" s="97"/>
      <c r="V12" s="97"/>
      <c r="W12" s="2">
        <v>2</v>
      </c>
      <c r="X12" s="2" t="s">
        <v>70</v>
      </c>
      <c r="Y12" s="2">
        <v>0</v>
      </c>
      <c r="Z12" s="98" t="s">
        <v>60</v>
      </c>
      <c r="AA12" s="98"/>
      <c r="AB12" s="98"/>
      <c r="AC12" s="98"/>
      <c r="AE12" s="97" t="str">
        <f>Tabela!A12</f>
        <v>Gales</v>
      </c>
      <c r="AF12" s="97"/>
      <c r="AG12" s="97"/>
      <c r="AH12" s="97"/>
      <c r="AI12" s="2">
        <f>Tabela!B12</f>
        <v>0</v>
      </c>
      <c r="AJ12" s="2" t="s">
        <v>70</v>
      </c>
      <c r="AK12" s="2">
        <f>Tabela!D12</f>
        <v>2</v>
      </c>
      <c r="AL12" s="98" t="str">
        <f>Tabela!E12</f>
        <v>Irã</v>
      </c>
      <c r="AM12" s="98"/>
      <c r="AN12" s="98"/>
      <c r="AO12" s="98"/>
      <c r="AQ12" s="97" t="str">
        <f>Tabela!G12</f>
        <v>Bélgica</v>
      </c>
      <c r="AR12" s="97"/>
      <c r="AS12" s="97"/>
      <c r="AT12" s="97"/>
      <c r="AU12" s="2">
        <f>Tabela!H12</f>
        <v>0</v>
      </c>
      <c r="AV12" s="2" t="s">
        <v>70</v>
      </c>
      <c r="AW12" s="2">
        <f>Tabela!J12</f>
        <v>2</v>
      </c>
      <c r="AX12" s="98" t="str">
        <f>Tabela!K12</f>
        <v>Marrocos</v>
      </c>
      <c r="AY12" s="98"/>
      <c r="AZ12" s="98"/>
      <c r="BA12" s="98"/>
      <c r="BC12" s="2">
        <f t="shared" si="1"/>
        <v>0</v>
      </c>
      <c r="BD12" s="33"/>
      <c r="BE12" s="117" t="s">
        <v>184</v>
      </c>
      <c r="BF12" s="118"/>
      <c r="BG12" s="118"/>
      <c r="BH12" s="118"/>
      <c r="BI12" s="118"/>
      <c r="BJ12" s="118"/>
      <c r="BK12" s="118"/>
      <c r="BL12" s="118"/>
      <c r="BM12" s="118"/>
      <c r="BN12" s="118"/>
      <c r="BO12" s="119"/>
      <c r="BP12" s="34"/>
      <c r="BQ12" s="34"/>
      <c r="BR12" s="101"/>
      <c r="BS12" s="101"/>
      <c r="BT12" s="101"/>
      <c r="BU12" s="101"/>
      <c r="BV12" s="101"/>
      <c r="BW12" s="101"/>
      <c r="BX12" s="101"/>
      <c r="BY12" s="101"/>
      <c r="BZ12" s="101"/>
      <c r="CA12" s="101"/>
      <c r="CB12" s="101"/>
      <c r="CC12" s="101"/>
      <c r="CD12" s="101"/>
      <c r="CE12" s="101"/>
      <c r="CF12" s="102"/>
      <c r="CG12" s="106"/>
      <c r="CH12" s="107"/>
      <c r="CI12" s="107"/>
      <c r="CJ12" s="107"/>
      <c r="CK12" s="107"/>
      <c r="CL12" s="107"/>
      <c r="CM12" s="107"/>
      <c r="CN12" s="108"/>
      <c r="CO12" s="112"/>
      <c r="CP12" s="113"/>
      <c r="CQ12" s="113"/>
      <c r="CR12" s="113"/>
      <c r="CS12" s="113"/>
      <c r="CT12" s="114"/>
      <c r="CU12" s="106"/>
      <c r="CV12" s="107"/>
      <c r="CW12" s="107"/>
      <c r="CX12" s="107"/>
      <c r="CY12" s="107"/>
      <c r="CZ12" s="107"/>
      <c r="DA12" s="107"/>
      <c r="DB12" s="108"/>
      <c r="DC12" s="115"/>
      <c r="DD12" s="116"/>
      <c r="DE12" s="116"/>
      <c r="DF12" s="116"/>
      <c r="DG12" s="116"/>
      <c r="DH12" s="116"/>
      <c r="DI12" s="116"/>
      <c r="DJ12" s="116"/>
      <c r="DK12" s="116"/>
      <c r="DL12" s="116"/>
      <c r="DM12" s="116"/>
      <c r="DN12" s="116"/>
      <c r="DO12" s="116"/>
      <c r="DP12" s="116"/>
      <c r="DQ12" s="116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7" t="s">
        <v>57</v>
      </c>
      <c r="H13" s="97"/>
      <c r="I13" s="97"/>
      <c r="J13" s="97"/>
      <c r="K13" s="2">
        <v>2</v>
      </c>
      <c r="L13" s="2" t="s">
        <v>70</v>
      </c>
      <c r="M13" s="2">
        <v>1</v>
      </c>
      <c r="N13" s="98" t="s">
        <v>53</v>
      </c>
      <c r="O13" s="98"/>
      <c r="P13" s="98"/>
      <c r="Q13" s="98"/>
      <c r="S13" s="97" t="s">
        <v>49</v>
      </c>
      <c r="T13" s="97"/>
      <c r="U13" s="97"/>
      <c r="V13" s="97"/>
      <c r="W13" s="2">
        <v>2</v>
      </c>
      <c r="X13" s="2" t="s">
        <v>70</v>
      </c>
      <c r="Y13" s="2">
        <v>1</v>
      </c>
      <c r="Z13" s="98" t="s">
        <v>45</v>
      </c>
      <c r="AA13" s="98"/>
      <c r="AB13" s="98"/>
      <c r="AC13" s="98"/>
      <c r="AE13" s="97" t="str">
        <f>Tabela!A13</f>
        <v>Inglaterra</v>
      </c>
      <c r="AF13" s="97"/>
      <c r="AG13" s="97"/>
      <c r="AH13" s="97"/>
      <c r="AI13" s="2">
        <f>Tabela!B13</f>
        <v>0</v>
      </c>
      <c r="AJ13" s="2" t="s">
        <v>70</v>
      </c>
      <c r="AK13" s="2">
        <f>Tabela!D13</f>
        <v>0</v>
      </c>
      <c r="AL13" s="98" t="str">
        <f>Tabela!E13</f>
        <v>Estados Unidos</v>
      </c>
      <c r="AM13" s="98"/>
      <c r="AN13" s="98"/>
      <c r="AO13" s="98"/>
      <c r="AQ13" s="97" t="str">
        <f>Tabela!G13</f>
        <v>Croácia</v>
      </c>
      <c r="AR13" s="97"/>
      <c r="AS13" s="97"/>
      <c r="AT13" s="97"/>
      <c r="AU13" s="2">
        <f>Tabela!H13</f>
        <v>4</v>
      </c>
      <c r="AV13" s="2" t="s">
        <v>70</v>
      </c>
      <c r="AW13" s="2">
        <f>Tabela!J13</f>
        <v>1</v>
      </c>
      <c r="AX13" s="98" t="str">
        <f>Tabela!K13</f>
        <v>Canadá</v>
      </c>
      <c r="AY13" s="98"/>
      <c r="AZ13" s="98"/>
      <c r="BA13" s="98"/>
      <c r="BC13" s="2">
        <f t="shared" si="1"/>
        <v>0</v>
      </c>
      <c r="BD13" s="33"/>
      <c r="BE13" s="117"/>
      <c r="BF13" s="118"/>
      <c r="BG13" s="118"/>
      <c r="BH13" s="118"/>
      <c r="BI13" s="118"/>
      <c r="BJ13" s="118"/>
      <c r="BK13" s="118"/>
      <c r="BL13" s="118"/>
      <c r="BM13" s="118"/>
      <c r="BN13" s="118"/>
      <c r="BO13" s="119"/>
      <c r="BP13" s="34"/>
      <c r="BQ13" s="34"/>
      <c r="BR13" s="101"/>
      <c r="BS13" s="101"/>
      <c r="BT13" s="101"/>
      <c r="BU13" s="101"/>
      <c r="BV13" s="101"/>
      <c r="BW13" s="101"/>
      <c r="BX13" s="101"/>
      <c r="BY13" s="101"/>
      <c r="BZ13" s="101"/>
      <c r="CA13" s="101"/>
      <c r="CB13" s="101"/>
      <c r="CC13" s="101"/>
      <c r="CD13" s="101"/>
      <c r="CE13" s="101"/>
      <c r="CF13" s="102"/>
      <c r="CG13" s="106"/>
      <c r="CH13" s="107"/>
      <c r="CI13" s="107"/>
      <c r="CJ13" s="107"/>
      <c r="CK13" s="107"/>
      <c r="CL13" s="107"/>
      <c r="CM13" s="107"/>
      <c r="CN13" s="108"/>
      <c r="CO13" s="112"/>
      <c r="CP13" s="113"/>
      <c r="CQ13" s="113"/>
      <c r="CR13" s="113"/>
      <c r="CS13" s="113"/>
      <c r="CT13" s="114"/>
      <c r="CU13" s="106"/>
      <c r="CV13" s="107"/>
      <c r="CW13" s="107"/>
      <c r="CX13" s="107"/>
      <c r="CY13" s="107"/>
      <c r="CZ13" s="107"/>
      <c r="DA13" s="107"/>
      <c r="DB13" s="108"/>
      <c r="DC13" s="115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6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7" t="s">
        <v>58</v>
      </c>
      <c r="H14" s="97"/>
      <c r="I14" s="97"/>
      <c r="J14" s="97"/>
      <c r="K14" s="2">
        <v>1</v>
      </c>
      <c r="L14" s="2" t="s">
        <v>70</v>
      </c>
      <c r="M14" s="2">
        <v>1</v>
      </c>
      <c r="N14" s="98" t="s">
        <v>53</v>
      </c>
      <c r="O14" s="98"/>
      <c r="P14" s="98"/>
      <c r="Q14" s="98"/>
      <c r="S14" s="97" t="s">
        <v>49</v>
      </c>
      <c r="T14" s="97"/>
      <c r="U14" s="97"/>
      <c r="V14" s="97"/>
      <c r="W14" s="2">
        <v>1</v>
      </c>
      <c r="X14" s="2" t="s">
        <v>70</v>
      </c>
      <c r="Y14" s="2">
        <v>1</v>
      </c>
      <c r="Z14" s="98" t="s">
        <v>42</v>
      </c>
      <c r="AA14" s="98"/>
      <c r="AB14" s="98"/>
      <c r="AC14" s="98"/>
      <c r="AE14" s="97" t="str">
        <f>Tabela!A14</f>
        <v>Irã</v>
      </c>
      <c r="AF14" s="97"/>
      <c r="AG14" s="97"/>
      <c r="AH14" s="97"/>
      <c r="AI14" s="2">
        <f>Tabela!B14</f>
        <v>0</v>
      </c>
      <c r="AJ14" s="2" t="s">
        <v>70</v>
      </c>
      <c r="AK14" s="2">
        <f>Tabela!D14</f>
        <v>1</v>
      </c>
      <c r="AL14" s="98" t="str">
        <f>Tabela!E14</f>
        <v>Estados Unidos</v>
      </c>
      <c r="AM14" s="98"/>
      <c r="AN14" s="98"/>
      <c r="AO14" s="98"/>
      <c r="AQ14" s="97" t="str">
        <f>Tabela!G14</f>
        <v>Croácia</v>
      </c>
      <c r="AR14" s="97"/>
      <c r="AS14" s="97"/>
      <c r="AT14" s="97"/>
      <c r="AU14" s="2">
        <f>Tabela!H14</f>
        <v>0</v>
      </c>
      <c r="AV14" s="2" t="s">
        <v>70</v>
      </c>
      <c r="AW14" s="2">
        <f>Tabela!J14</f>
        <v>0</v>
      </c>
      <c r="AX14" s="98" t="str">
        <f>Tabela!K14</f>
        <v>Bélgica</v>
      </c>
      <c r="AY14" s="98"/>
      <c r="AZ14" s="98"/>
      <c r="BA14" s="98"/>
      <c r="BC14" s="2">
        <f t="shared" si="1"/>
        <v>0</v>
      </c>
      <c r="BD14" s="33"/>
      <c r="BE14" s="120">
        <v>10</v>
      </c>
      <c r="BF14" s="121"/>
      <c r="BG14" s="121"/>
      <c r="BH14" s="121"/>
      <c r="BI14" s="121"/>
      <c r="BJ14" s="121"/>
      <c r="BK14" s="121"/>
      <c r="BL14" s="121"/>
      <c r="BM14" s="121"/>
      <c r="BN14" s="121"/>
      <c r="BO14" s="122"/>
      <c r="BP14" s="34"/>
      <c r="BQ14" s="34"/>
      <c r="BR14" s="101"/>
      <c r="BS14" s="101"/>
      <c r="BT14" s="101"/>
      <c r="BU14" s="101"/>
      <c r="BV14" s="101"/>
      <c r="BW14" s="101"/>
      <c r="BX14" s="101"/>
      <c r="BY14" s="101"/>
      <c r="BZ14" s="101"/>
      <c r="CA14" s="101"/>
      <c r="CB14" s="101"/>
      <c r="CC14" s="101"/>
      <c r="CD14" s="101"/>
      <c r="CE14" s="101"/>
      <c r="CF14" s="102"/>
      <c r="CG14" s="109"/>
      <c r="CH14" s="110"/>
      <c r="CI14" s="110"/>
      <c r="CJ14" s="110"/>
      <c r="CK14" s="110"/>
      <c r="CL14" s="110"/>
      <c r="CM14" s="110"/>
      <c r="CN14" s="111"/>
      <c r="CO14" s="112"/>
      <c r="CP14" s="113"/>
      <c r="CQ14" s="113"/>
      <c r="CR14" s="113"/>
      <c r="CS14" s="113"/>
      <c r="CT14" s="114"/>
      <c r="CU14" s="109"/>
      <c r="CV14" s="110"/>
      <c r="CW14" s="110"/>
      <c r="CX14" s="110"/>
      <c r="CY14" s="110"/>
      <c r="CZ14" s="110"/>
      <c r="DA14" s="110"/>
      <c r="DB14" s="111"/>
      <c r="DC14" s="115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6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7" t="s">
        <v>71</v>
      </c>
      <c r="H15" s="97"/>
      <c r="I15" s="97"/>
      <c r="J15" s="97"/>
      <c r="K15" s="2">
        <v>0</v>
      </c>
      <c r="L15" s="2" t="s">
        <v>70</v>
      </c>
      <c r="M15" s="2">
        <v>3</v>
      </c>
      <c r="N15" s="98" t="s">
        <v>57</v>
      </c>
      <c r="O15" s="98"/>
      <c r="P15" s="98"/>
      <c r="Q15" s="98"/>
      <c r="S15" s="97" t="s">
        <v>45</v>
      </c>
      <c r="T15" s="97"/>
      <c r="U15" s="97"/>
      <c r="V15" s="97"/>
      <c r="W15" s="2">
        <v>1</v>
      </c>
      <c r="X15" s="2" t="s">
        <v>70</v>
      </c>
      <c r="Y15" s="2">
        <v>0</v>
      </c>
      <c r="Z15" s="98" t="s">
        <v>60</v>
      </c>
      <c r="AA15" s="98"/>
      <c r="AB15" s="98"/>
      <c r="AC15" s="98"/>
      <c r="AE15" s="97" t="str">
        <f>Tabela!A15</f>
        <v>Gales</v>
      </c>
      <c r="AF15" s="97"/>
      <c r="AG15" s="97"/>
      <c r="AH15" s="97"/>
      <c r="AI15" s="2">
        <f>Tabela!B15</f>
        <v>0</v>
      </c>
      <c r="AJ15" s="2" t="s">
        <v>70</v>
      </c>
      <c r="AK15" s="2">
        <f>Tabela!D15</f>
        <v>3</v>
      </c>
      <c r="AL15" s="98" t="str">
        <f>Tabela!E15</f>
        <v>Inglaterra</v>
      </c>
      <c r="AM15" s="98"/>
      <c r="AN15" s="98"/>
      <c r="AO15" s="98"/>
      <c r="AQ15" s="97" t="str">
        <f>Tabela!G15</f>
        <v>Canadá</v>
      </c>
      <c r="AR15" s="97"/>
      <c r="AS15" s="97"/>
      <c r="AT15" s="97"/>
      <c r="AU15" s="2">
        <f>Tabela!H15</f>
        <v>1</v>
      </c>
      <c r="AV15" s="2" t="s">
        <v>70</v>
      </c>
      <c r="AW15" s="2">
        <f>Tabela!J15</f>
        <v>2</v>
      </c>
      <c r="AX15" s="98" t="str">
        <f>Tabela!K15</f>
        <v>Marrocos</v>
      </c>
      <c r="AY15" s="98"/>
      <c r="AZ15" s="98"/>
      <c r="BA15" s="98"/>
      <c r="BC15" s="2">
        <f t="shared" si="1"/>
        <v>25</v>
      </c>
      <c r="BD15" s="33"/>
      <c r="BE15" s="120"/>
      <c r="BF15" s="121"/>
      <c r="BG15" s="121"/>
      <c r="BH15" s="121"/>
      <c r="BI15" s="121"/>
      <c r="BJ15" s="121"/>
      <c r="BK15" s="121"/>
      <c r="BL15" s="121"/>
      <c r="BM15" s="121"/>
      <c r="BN15" s="121"/>
      <c r="BO15" s="122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95" t="s">
        <v>9</v>
      </c>
      <c r="H16" s="95"/>
      <c r="I16" s="95"/>
      <c r="J16" s="95"/>
      <c r="K16" s="95"/>
      <c r="L16" s="95"/>
      <c r="M16" s="95"/>
      <c r="N16" s="95"/>
      <c r="O16" s="95"/>
      <c r="P16" s="95"/>
      <c r="Q16" s="95"/>
      <c r="S16" s="95" t="s">
        <v>75</v>
      </c>
      <c r="T16" s="95"/>
      <c r="U16" s="95"/>
      <c r="V16" s="95"/>
      <c r="W16" s="95"/>
      <c r="X16" s="95"/>
      <c r="Y16" s="95"/>
      <c r="Z16" s="95"/>
      <c r="AA16" s="95"/>
      <c r="AB16" s="95"/>
      <c r="AC16" s="95"/>
      <c r="AE16" s="96" t="str">
        <f>Tabela!A16</f>
        <v>Grupo C</v>
      </c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Q16" s="96" t="str">
        <f>Tabela!G16</f>
        <v>Grupo G</v>
      </c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D16" s="33"/>
      <c r="BE16" s="120"/>
      <c r="BF16" s="121"/>
      <c r="BG16" s="121"/>
      <c r="BH16" s="121"/>
      <c r="BI16" s="121"/>
      <c r="BJ16" s="121"/>
      <c r="BK16" s="121"/>
      <c r="BL16" s="121"/>
      <c r="BM16" s="121"/>
      <c r="BN16" s="121"/>
      <c r="BO16" s="122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7" t="s">
        <v>40</v>
      </c>
      <c r="H17" s="97"/>
      <c r="I17" s="97"/>
      <c r="J17" s="97"/>
      <c r="K17" s="2">
        <v>3</v>
      </c>
      <c r="L17" s="2" t="s">
        <v>70</v>
      </c>
      <c r="M17" s="2">
        <v>0</v>
      </c>
      <c r="N17" s="98" t="s">
        <v>39</v>
      </c>
      <c r="O17" s="98"/>
      <c r="P17" s="98"/>
      <c r="Q17" s="98"/>
      <c r="S17" s="97" t="s">
        <v>67</v>
      </c>
      <c r="T17" s="97"/>
      <c r="U17" s="97"/>
      <c r="V17" s="97"/>
      <c r="W17" s="2">
        <v>2</v>
      </c>
      <c r="X17" s="2" t="s">
        <v>70</v>
      </c>
      <c r="Y17" s="2">
        <v>1</v>
      </c>
      <c r="Z17" s="98" t="s">
        <v>44</v>
      </c>
      <c r="AA17" s="98"/>
      <c r="AB17" s="98"/>
      <c r="AC17" s="98"/>
      <c r="AE17" s="97" t="str">
        <f>Tabela!A17</f>
        <v>Argentina</v>
      </c>
      <c r="AF17" s="97"/>
      <c r="AG17" s="97"/>
      <c r="AH17" s="97"/>
      <c r="AI17" s="2">
        <f>Tabela!B17</f>
        <v>1</v>
      </c>
      <c r="AJ17" s="2" t="s">
        <v>70</v>
      </c>
      <c r="AK17" s="2">
        <f>Tabela!D17</f>
        <v>2</v>
      </c>
      <c r="AL17" s="98" t="str">
        <f>Tabela!E17</f>
        <v>ArábiaSaudita</v>
      </c>
      <c r="AM17" s="98"/>
      <c r="AN17" s="98"/>
      <c r="AO17" s="98"/>
      <c r="AQ17" s="97" t="str">
        <f>Tabela!G17</f>
        <v>Suíça</v>
      </c>
      <c r="AR17" s="97"/>
      <c r="AS17" s="97"/>
      <c r="AT17" s="97"/>
      <c r="AU17" s="2">
        <f>Tabela!H17</f>
        <v>1</v>
      </c>
      <c r="AV17" s="2" t="s">
        <v>70</v>
      </c>
      <c r="AW17" s="2">
        <f>Tabela!J17</f>
        <v>0</v>
      </c>
      <c r="AX17" s="98" t="str">
        <f>Tabela!K17</f>
        <v>Camarões</v>
      </c>
      <c r="AY17" s="98"/>
      <c r="AZ17" s="98"/>
      <c r="BA17" s="98"/>
      <c r="BC17" s="2">
        <f t="shared" si="1"/>
        <v>0</v>
      </c>
      <c r="BD17" s="33"/>
      <c r="BE17" s="120"/>
      <c r="BF17" s="121"/>
      <c r="BG17" s="121"/>
      <c r="BH17" s="121"/>
      <c r="BI17" s="121"/>
      <c r="BJ17" s="121"/>
      <c r="BK17" s="121"/>
      <c r="BL17" s="121"/>
      <c r="BM17" s="121"/>
      <c r="BN17" s="121"/>
      <c r="BO17" s="122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7" t="s">
        <v>61</v>
      </c>
      <c r="H18" s="97"/>
      <c r="I18" s="97"/>
      <c r="J18" s="97"/>
      <c r="K18" s="2">
        <v>1</v>
      </c>
      <c r="L18" s="2" t="s">
        <v>70</v>
      </c>
      <c r="M18" s="2">
        <v>1</v>
      </c>
      <c r="N18" s="98" t="s">
        <v>63</v>
      </c>
      <c r="O18" s="98"/>
      <c r="P18" s="98"/>
      <c r="Q18" s="98"/>
      <c r="S18" s="97" t="s">
        <v>43</v>
      </c>
      <c r="T18" s="97"/>
      <c r="U18" s="97"/>
      <c r="V18" s="97"/>
      <c r="W18" s="2">
        <v>2</v>
      </c>
      <c r="X18" s="2" t="s">
        <v>70</v>
      </c>
      <c r="Y18" s="2">
        <v>0</v>
      </c>
      <c r="Z18" s="98" t="s">
        <v>66</v>
      </c>
      <c r="AA18" s="98"/>
      <c r="AB18" s="98"/>
      <c r="AC18" s="98"/>
      <c r="AE18" s="97" t="str">
        <f>Tabela!A18</f>
        <v>México</v>
      </c>
      <c r="AF18" s="97"/>
      <c r="AG18" s="97"/>
      <c r="AH18" s="97"/>
      <c r="AI18" s="2">
        <f>Tabela!B18</f>
        <v>0</v>
      </c>
      <c r="AJ18" s="2" t="s">
        <v>70</v>
      </c>
      <c r="AK18" s="2">
        <f>Tabela!D18</f>
        <v>0</v>
      </c>
      <c r="AL18" s="98" t="str">
        <f>Tabela!E18</f>
        <v>Polônia</v>
      </c>
      <c r="AM18" s="98"/>
      <c r="AN18" s="98"/>
      <c r="AO18" s="98"/>
      <c r="AQ18" s="97" t="str">
        <f>Tabela!G18</f>
        <v>Brasil</v>
      </c>
      <c r="AR18" s="97"/>
      <c r="AS18" s="97"/>
      <c r="AT18" s="97"/>
      <c r="AU18" s="2">
        <f>Tabela!H18</f>
        <v>2</v>
      </c>
      <c r="AV18" s="2" t="s">
        <v>70</v>
      </c>
      <c r="AW18" s="2">
        <f>Tabela!J18</f>
        <v>0</v>
      </c>
      <c r="AX18" s="98" t="str">
        <f>Tabela!K18</f>
        <v>Sérvia</v>
      </c>
      <c r="AY18" s="98"/>
      <c r="AZ18" s="98"/>
      <c r="BA18" s="98"/>
      <c r="BC18" s="2">
        <f t="shared" si="1"/>
        <v>0</v>
      </c>
      <c r="BD18" s="33"/>
      <c r="BE18" s="120"/>
      <c r="BF18" s="121"/>
      <c r="BG18" s="121"/>
      <c r="BH18" s="121"/>
      <c r="BI18" s="121"/>
      <c r="BJ18" s="121"/>
      <c r="BK18" s="121"/>
      <c r="BL18" s="121"/>
      <c r="BM18" s="121"/>
      <c r="BN18" s="121"/>
      <c r="BO18" s="122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7" t="s">
        <v>63</v>
      </c>
      <c r="H19" s="97"/>
      <c r="I19" s="97"/>
      <c r="J19" s="97"/>
      <c r="K19" s="2">
        <v>2</v>
      </c>
      <c r="L19" s="2" t="s">
        <v>70</v>
      </c>
      <c r="M19" s="2">
        <v>0</v>
      </c>
      <c r="N19" s="98" t="s">
        <v>39</v>
      </c>
      <c r="O19" s="98"/>
      <c r="P19" s="98"/>
      <c r="Q19" s="98"/>
      <c r="S19" s="97" t="s">
        <v>44</v>
      </c>
      <c r="T19" s="97"/>
      <c r="U19" s="97"/>
      <c r="V19" s="97"/>
      <c r="W19" s="2">
        <v>1</v>
      </c>
      <c r="X19" s="2" t="s">
        <v>70</v>
      </c>
      <c r="Y19" s="2">
        <v>1</v>
      </c>
      <c r="Z19" s="98" t="s">
        <v>66</v>
      </c>
      <c r="AA19" s="98"/>
      <c r="AB19" s="98"/>
      <c r="AC19" s="98"/>
      <c r="AE19" s="97" t="str">
        <f>Tabela!A19</f>
        <v>Polônia</v>
      </c>
      <c r="AF19" s="97"/>
      <c r="AG19" s="97"/>
      <c r="AH19" s="97"/>
      <c r="AI19" s="2">
        <f>Tabela!B19</f>
        <v>2</v>
      </c>
      <c r="AJ19" s="2" t="s">
        <v>70</v>
      </c>
      <c r="AK19" s="2">
        <f>Tabela!D19</f>
        <v>0</v>
      </c>
      <c r="AL19" s="98" t="str">
        <f>Tabela!E19</f>
        <v>ArábiaSaudita</v>
      </c>
      <c r="AM19" s="98"/>
      <c r="AN19" s="98"/>
      <c r="AO19" s="98"/>
      <c r="AQ19" s="97" t="str">
        <f>Tabela!G19</f>
        <v>Camarões</v>
      </c>
      <c r="AR19" s="97"/>
      <c r="AS19" s="97"/>
      <c r="AT19" s="97"/>
      <c r="AU19" s="2">
        <f>Tabela!H19</f>
        <v>3</v>
      </c>
      <c r="AV19" s="2" t="s">
        <v>70</v>
      </c>
      <c r="AW19" s="2">
        <f>Tabela!J19</f>
        <v>3</v>
      </c>
      <c r="AX19" s="98" t="str">
        <f>Tabela!K19</f>
        <v>Sérvia</v>
      </c>
      <c r="AY19" s="98"/>
      <c r="AZ19" s="98"/>
      <c r="BA19" s="98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7" t="s">
        <v>40</v>
      </c>
      <c r="H20" s="97"/>
      <c r="I20" s="97"/>
      <c r="J20" s="97"/>
      <c r="K20" s="2">
        <v>2</v>
      </c>
      <c r="L20" s="2" t="s">
        <v>70</v>
      </c>
      <c r="M20" s="2">
        <v>1</v>
      </c>
      <c r="N20" s="98" t="s">
        <v>61</v>
      </c>
      <c r="O20" s="98"/>
      <c r="P20" s="98"/>
      <c r="Q20" s="98"/>
      <c r="S20" s="97" t="s">
        <v>43</v>
      </c>
      <c r="T20" s="97"/>
      <c r="U20" s="97"/>
      <c r="V20" s="97"/>
      <c r="W20" s="2">
        <v>2</v>
      </c>
      <c r="X20" s="2" t="s">
        <v>70</v>
      </c>
      <c r="Y20" s="2">
        <v>1</v>
      </c>
      <c r="Z20" s="98" t="s">
        <v>67</v>
      </c>
      <c r="AA20" s="98"/>
      <c r="AB20" s="98"/>
      <c r="AC20" s="98"/>
      <c r="AE20" s="97" t="str">
        <f>Tabela!A20</f>
        <v>Argentina</v>
      </c>
      <c r="AF20" s="97"/>
      <c r="AG20" s="97"/>
      <c r="AH20" s="97"/>
      <c r="AI20" s="2">
        <f>Tabela!B20</f>
        <v>2</v>
      </c>
      <c r="AJ20" s="2" t="s">
        <v>70</v>
      </c>
      <c r="AK20" s="2">
        <f>Tabela!D20</f>
        <v>0</v>
      </c>
      <c r="AL20" s="98" t="str">
        <f>Tabela!E20</f>
        <v>México</v>
      </c>
      <c r="AM20" s="98"/>
      <c r="AN20" s="98"/>
      <c r="AO20" s="98"/>
      <c r="AQ20" s="97" t="str">
        <f>Tabela!G20</f>
        <v>Brasil</v>
      </c>
      <c r="AR20" s="97"/>
      <c r="AS20" s="97"/>
      <c r="AT20" s="97"/>
      <c r="AU20" s="2">
        <f>Tabela!H20</f>
        <v>1</v>
      </c>
      <c r="AV20" s="2" t="s">
        <v>70</v>
      </c>
      <c r="AW20" s="2">
        <f>Tabela!J20</f>
        <v>0</v>
      </c>
      <c r="AX20" s="98" t="str">
        <f>Tabela!K20</f>
        <v>Suíça</v>
      </c>
      <c r="AY20" s="98"/>
      <c r="AZ20" s="98"/>
      <c r="BA20" s="98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23" t="s">
        <v>186</v>
      </c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7" t="s">
        <v>63</v>
      </c>
      <c r="H21" s="97"/>
      <c r="I21" s="97"/>
      <c r="J21" s="97"/>
      <c r="K21" s="2">
        <v>1</v>
      </c>
      <c r="L21" s="2" t="s">
        <v>70</v>
      </c>
      <c r="M21" s="2">
        <v>2</v>
      </c>
      <c r="N21" s="98" t="s">
        <v>40</v>
      </c>
      <c r="O21" s="98"/>
      <c r="P21" s="98"/>
      <c r="Q21" s="98"/>
      <c r="S21" s="97" t="s">
        <v>44</v>
      </c>
      <c r="T21" s="97"/>
      <c r="U21" s="97"/>
      <c r="V21" s="97"/>
      <c r="W21" s="2">
        <v>0</v>
      </c>
      <c r="X21" s="2" t="s">
        <v>70</v>
      </c>
      <c r="Y21" s="2">
        <v>4</v>
      </c>
      <c r="Z21" s="98" t="s">
        <v>43</v>
      </c>
      <c r="AA21" s="98"/>
      <c r="AB21" s="98"/>
      <c r="AC21" s="98"/>
      <c r="AE21" s="97" t="str">
        <f>Tabela!A21</f>
        <v>Polônia</v>
      </c>
      <c r="AF21" s="97"/>
      <c r="AG21" s="97"/>
      <c r="AH21" s="97"/>
      <c r="AI21" s="2">
        <f>Tabela!B21</f>
        <v>0</v>
      </c>
      <c r="AJ21" s="2" t="s">
        <v>70</v>
      </c>
      <c r="AK21" s="2">
        <f>Tabela!D21</f>
        <v>2</v>
      </c>
      <c r="AL21" s="98" t="str">
        <f>Tabela!E21</f>
        <v>Argentina</v>
      </c>
      <c r="AM21" s="98"/>
      <c r="AN21" s="98"/>
      <c r="AO21" s="98"/>
      <c r="AQ21" s="97" t="str">
        <f>Tabela!G21</f>
        <v>Camarões</v>
      </c>
      <c r="AR21" s="97"/>
      <c r="AS21" s="97"/>
      <c r="AT21" s="97"/>
      <c r="AU21" s="2">
        <f>Tabela!H21</f>
        <v>1</v>
      </c>
      <c r="AV21" s="2" t="s">
        <v>70</v>
      </c>
      <c r="AW21" s="2">
        <f>Tabela!J21</f>
        <v>0</v>
      </c>
      <c r="AX21" s="98" t="str">
        <f>Tabela!K21</f>
        <v>Brasil</v>
      </c>
      <c r="AY21" s="98"/>
      <c r="AZ21" s="98"/>
      <c r="BA21" s="98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7" t="s">
        <v>39</v>
      </c>
      <c r="H22" s="97"/>
      <c r="I22" s="97"/>
      <c r="J22" s="97"/>
      <c r="K22" s="2">
        <v>0</v>
      </c>
      <c r="L22" s="2" t="s">
        <v>70</v>
      </c>
      <c r="M22" s="2">
        <v>1</v>
      </c>
      <c r="N22" s="98" t="s">
        <v>61</v>
      </c>
      <c r="O22" s="98"/>
      <c r="P22" s="98"/>
      <c r="Q22" s="98"/>
      <c r="S22" s="97" t="s">
        <v>66</v>
      </c>
      <c r="T22" s="97"/>
      <c r="U22" s="97"/>
      <c r="V22" s="97"/>
      <c r="W22" s="2">
        <v>1</v>
      </c>
      <c r="X22" s="2" t="s">
        <v>70</v>
      </c>
      <c r="Y22" s="2">
        <v>2</v>
      </c>
      <c r="Z22" s="98" t="s">
        <v>67</v>
      </c>
      <c r="AA22" s="98"/>
      <c r="AB22" s="98"/>
      <c r="AC22" s="98"/>
      <c r="AE22" s="97" t="str">
        <f>Tabela!A22</f>
        <v>ArábiaSaudita</v>
      </c>
      <c r="AF22" s="97"/>
      <c r="AG22" s="97"/>
      <c r="AH22" s="97"/>
      <c r="AI22" s="2">
        <f>Tabela!B22</f>
        <v>1</v>
      </c>
      <c r="AJ22" s="2" t="s">
        <v>70</v>
      </c>
      <c r="AK22" s="2">
        <f>Tabela!D22</f>
        <v>2</v>
      </c>
      <c r="AL22" s="98" t="str">
        <f>Tabela!E22</f>
        <v>México</v>
      </c>
      <c r="AM22" s="98"/>
      <c r="AN22" s="98"/>
      <c r="AO22" s="98"/>
      <c r="AQ22" s="97" t="str">
        <f>Tabela!G22</f>
        <v>Sérvia</v>
      </c>
      <c r="AR22" s="97"/>
      <c r="AS22" s="97"/>
      <c r="AT22" s="97"/>
      <c r="AU22" s="2">
        <f>Tabela!H22</f>
        <v>2</v>
      </c>
      <c r="AV22" s="2" t="s">
        <v>70</v>
      </c>
      <c r="AW22" s="2">
        <f>Tabela!J22</f>
        <v>3</v>
      </c>
      <c r="AX22" s="98" t="str">
        <f>Tabela!K22</f>
        <v>Suíça</v>
      </c>
      <c r="AY22" s="98"/>
      <c r="AZ22" s="98"/>
      <c r="BA22" s="98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95" t="s">
        <v>13</v>
      </c>
      <c r="H23" s="95"/>
      <c r="I23" s="95"/>
      <c r="J23" s="95"/>
      <c r="K23" s="95"/>
      <c r="L23" s="95"/>
      <c r="M23" s="95"/>
      <c r="N23" s="95"/>
      <c r="O23" s="95"/>
      <c r="P23" s="95"/>
      <c r="Q23" s="95"/>
      <c r="S23" s="95" t="s">
        <v>76</v>
      </c>
      <c r="T23" s="95"/>
      <c r="U23" s="95"/>
      <c r="V23" s="95"/>
      <c r="W23" s="95"/>
      <c r="X23" s="95"/>
      <c r="Y23" s="95"/>
      <c r="Z23" s="95"/>
      <c r="AA23" s="95"/>
      <c r="AB23" s="95"/>
      <c r="AC23" s="95"/>
      <c r="AE23" s="96" t="str">
        <f>Tabela!A23</f>
        <v>Grupo D</v>
      </c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Q23" s="96" t="str">
        <f>Tabela!G23</f>
        <v>Grupo H</v>
      </c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4"/>
      <c r="CH23" s="124"/>
      <c r="CI23" s="124"/>
      <c r="CJ23" s="124"/>
      <c r="CK23" s="124"/>
      <c r="CL23" s="124"/>
      <c r="CM23" s="124"/>
      <c r="CN23" s="124"/>
      <c r="CO23" s="123"/>
      <c r="CP23" s="123"/>
      <c r="CQ23" s="123"/>
      <c r="CR23" s="123"/>
      <c r="CS23" s="123"/>
      <c r="CT23" s="123"/>
      <c r="CU23" s="124"/>
      <c r="CV23" s="124"/>
      <c r="CW23" s="124"/>
      <c r="CX23" s="124"/>
      <c r="CY23" s="124"/>
      <c r="CZ23" s="124"/>
      <c r="DA23" s="124"/>
      <c r="DB23" s="124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7" t="s">
        <v>50</v>
      </c>
      <c r="H24" s="97"/>
      <c r="I24" s="97"/>
      <c r="J24" s="97"/>
      <c r="K24" s="2">
        <v>1</v>
      </c>
      <c r="L24" s="2" t="s">
        <v>70</v>
      </c>
      <c r="M24" s="2">
        <v>1</v>
      </c>
      <c r="N24" s="98" t="s">
        <v>68</v>
      </c>
      <c r="O24" s="98"/>
      <c r="P24" s="98"/>
      <c r="Q24" s="98"/>
      <c r="S24" s="97" t="s">
        <v>69</v>
      </c>
      <c r="T24" s="97"/>
      <c r="U24" s="97"/>
      <c r="V24" s="97"/>
      <c r="W24" s="2">
        <v>2</v>
      </c>
      <c r="X24" s="2" t="s">
        <v>70</v>
      </c>
      <c r="Y24" s="2">
        <v>1</v>
      </c>
      <c r="Z24" s="98" t="s">
        <v>47</v>
      </c>
      <c r="AA24" s="98"/>
      <c r="AB24" s="98"/>
      <c r="AC24" s="98"/>
      <c r="AE24" s="97" t="str">
        <f>Tabela!A24</f>
        <v>Dinamarca</v>
      </c>
      <c r="AF24" s="97"/>
      <c r="AG24" s="97"/>
      <c r="AH24" s="97"/>
      <c r="AI24" s="2">
        <f>Tabela!B24</f>
        <v>0</v>
      </c>
      <c r="AJ24" s="2" t="s">
        <v>70</v>
      </c>
      <c r="AK24" s="2">
        <f>Tabela!D24</f>
        <v>0</v>
      </c>
      <c r="AL24" s="98" t="str">
        <f>Tabela!E24</f>
        <v>Tunísia</v>
      </c>
      <c r="AM24" s="98"/>
      <c r="AN24" s="98"/>
      <c r="AO24" s="98"/>
      <c r="AQ24" s="97" t="str">
        <f>Tabela!G24</f>
        <v>Uruguai</v>
      </c>
      <c r="AR24" s="97"/>
      <c r="AS24" s="97"/>
      <c r="AT24" s="97"/>
      <c r="AU24" s="2">
        <f>Tabela!H24</f>
        <v>0</v>
      </c>
      <c r="AV24" s="2" t="s">
        <v>70</v>
      </c>
      <c r="AW24" s="2">
        <f>Tabela!J24</f>
        <v>0</v>
      </c>
      <c r="AX24" s="98" t="str">
        <f>Tabela!K24</f>
        <v>CoreiaDoSul</v>
      </c>
      <c r="AY24" s="98"/>
      <c r="AZ24" s="98"/>
      <c r="BA24" s="98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101" t="s">
        <v>187</v>
      </c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2"/>
      <c r="CG24" s="103">
        <v>1</v>
      </c>
      <c r="CH24" s="104"/>
      <c r="CI24" s="104"/>
      <c r="CJ24" s="104"/>
      <c r="CK24" s="104"/>
      <c r="CL24" s="104"/>
      <c r="CM24" s="104"/>
      <c r="CN24" s="105"/>
      <c r="CO24" s="112" t="s">
        <v>189</v>
      </c>
      <c r="CP24" s="113"/>
      <c r="CQ24" s="113"/>
      <c r="CR24" s="113"/>
      <c r="CS24" s="113"/>
      <c r="CT24" s="114"/>
      <c r="CU24" s="103">
        <v>1</v>
      </c>
      <c r="CV24" s="104"/>
      <c r="CW24" s="104"/>
      <c r="CX24" s="104"/>
      <c r="CY24" s="104"/>
      <c r="CZ24" s="104"/>
      <c r="DA24" s="104"/>
      <c r="DB24" s="105"/>
      <c r="DC24" s="115" t="s">
        <v>188</v>
      </c>
      <c r="DD24" s="116"/>
      <c r="DE24" s="116"/>
      <c r="DF24" s="116"/>
      <c r="DG24" s="116"/>
      <c r="DH24" s="116"/>
      <c r="DI24" s="116"/>
      <c r="DJ24" s="116"/>
      <c r="DK24" s="116"/>
      <c r="DL24" s="116"/>
      <c r="DM24" s="116"/>
      <c r="DN24" s="116"/>
      <c r="DO24" s="116"/>
      <c r="DP24" s="116"/>
      <c r="DQ24" s="116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7" t="s">
        <v>54</v>
      </c>
      <c r="H25" s="97"/>
      <c r="I25" s="97"/>
      <c r="J25" s="97"/>
      <c r="K25" s="2">
        <v>2</v>
      </c>
      <c r="L25" s="2" t="s">
        <v>70</v>
      </c>
      <c r="M25" s="2">
        <v>1</v>
      </c>
      <c r="N25" s="98" t="s">
        <v>41</v>
      </c>
      <c r="O25" s="98"/>
      <c r="P25" s="98"/>
      <c r="Q25" s="98"/>
      <c r="S25" s="97" t="s">
        <v>64</v>
      </c>
      <c r="T25" s="97"/>
      <c r="U25" s="97"/>
      <c r="V25" s="97"/>
      <c r="W25" s="2">
        <v>1</v>
      </c>
      <c r="X25" s="2" t="s">
        <v>70</v>
      </c>
      <c r="Y25" s="2">
        <v>0</v>
      </c>
      <c r="Z25" s="98" t="s">
        <v>55</v>
      </c>
      <c r="AA25" s="98"/>
      <c r="AB25" s="98"/>
      <c r="AC25" s="98"/>
      <c r="AE25" s="97" t="str">
        <f>Tabela!A25</f>
        <v>França</v>
      </c>
      <c r="AF25" s="97"/>
      <c r="AG25" s="97"/>
      <c r="AH25" s="97"/>
      <c r="AI25" s="2">
        <f>Tabela!B25</f>
        <v>4</v>
      </c>
      <c r="AJ25" s="2" t="s">
        <v>70</v>
      </c>
      <c r="AK25" s="2">
        <f>Tabela!D25</f>
        <v>1</v>
      </c>
      <c r="AL25" s="98" t="str">
        <f>Tabela!E25</f>
        <v>Austrália</v>
      </c>
      <c r="AM25" s="98"/>
      <c r="AN25" s="98"/>
      <c r="AO25" s="98"/>
      <c r="AQ25" s="97" t="str">
        <f>Tabela!G25</f>
        <v>Portugal</v>
      </c>
      <c r="AR25" s="97"/>
      <c r="AS25" s="97"/>
      <c r="AT25" s="97"/>
      <c r="AU25" s="2">
        <f>Tabela!H25</f>
        <v>3</v>
      </c>
      <c r="AV25" s="2" t="s">
        <v>70</v>
      </c>
      <c r="AW25" s="2">
        <f>Tabela!J25</f>
        <v>2</v>
      </c>
      <c r="AX25" s="98" t="str">
        <f>Tabela!K25</f>
        <v>Gana</v>
      </c>
      <c r="AY25" s="98"/>
      <c r="AZ25" s="98"/>
      <c r="BA25" s="98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101"/>
      <c r="BS25" s="101"/>
      <c r="BT25" s="101"/>
      <c r="BU25" s="101"/>
      <c r="BV25" s="101"/>
      <c r="BW25" s="101"/>
      <c r="BX25" s="101"/>
      <c r="BY25" s="101"/>
      <c r="BZ25" s="101"/>
      <c r="CA25" s="101"/>
      <c r="CB25" s="101"/>
      <c r="CC25" s="101"/>
      <c r="CD25" s="101"/>
      <c r="CE25" s="101"/>
      <c r="CF25" s="102"/>
      <c r="CG25" s="106"/>
      <c r="CH25" s="107"/>
      <c r="CI25" s="107"/>
      <c r="CJ25" s="107"/>
      <c r="CK25" s="107"/>
      <c r="CL25" s="107"/>
      <c r="CM25" s="107"/>
      <c r="CN25" s="108"/>
      <c r="CO25" s="112"/>
      <c r="CP25" s="113"/>
      <c r="CQ25" s="113"/>
      <c r="CR25" s="113"/>
      <c r="CS25" s="113"/>
      <c r="CT25" s="114"/>
      <c r="CU25" s="106"/>
      <c r="CV25" s="107"/>
      <c r="CW25" s="107"/>
      <c r="CX25" s="107"/>
      <c r="CY25" s="107"/>
      <c r="CZ25" s="107"/>
      <c r="DA25" s="107"/>
      <c r="DB25" s="108"/>
      <c r="DC25" s="115"/>
      <c r="DD25" s="116"/>
      <c r="DE25" s="116"/>
      <c r="DF25" s="116"/>
      <c r="DG25" s="116"/>
      <c r="DH25" s="116"/>
      <c r="DI25" s="116"/>
      <c r="DJ25" s="116"/>
      <c r="DK25" s="116"/>
      <c r="DL25" s="116"/>
      <c r="DM25" s="116"/>
      <c r="DN25" s="116"/>
      <c r="DO25" s="116"/>
      <c r="DP25" s="116"/>
      <c r="DQ25" s="116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7" t="s">
        <v>68</v>
      </c>
      <c r="H26" s="97"/>
      <c r="I26" s="97"/>
      <c r="J26" s="97"/>
      <c r="K26" s="2">
        <v>0</v>
      </c>
      <c r="L26" s="2" t="s">
        <v>70</v>
      </c>
      <c r="M26" s="2">
        <v>0</v>
      </c>
      <c r="N26" s="98" t="s">
        <v>41</v>
      </c>
      <c r="O26" s="98"/>
      <c r="P26" s="98"/>
      <c r="Q26" s="98"/>
      <c r="S26" s="97" t="s">
        <v>47</v>
      </c>
      <c r="T26" s="97"/>
      <c r="U26" s="97"/>
      <c r="V26" s="97"/>
      <c r="W26" s="2">
        <v>2</v>
      </c>
      <c r="X26" s="2" t="s">
        <v>70</v>
      </c>
      <c r="Y26" s="2">
        <v>1</v>
      </c>
      <c r="Z26" s="98" t="s">
        <v>55</v>
      </c>
      <c r="AA26" s="98"/>
      <c r="AB26" s="98"/>
      <c r="AC26" s="98"/>
      <c r="AE26" s="97" t="str">
        <f>Tabela!A26</f>
        <v>Tunísia</v>
      </c>
      <c r="AF26" s="97"/>
      <c r="AG26" s="97"/>
      <c r="AH26" s="97"/>
      <c r="AI26" s="2">
        <f>Tabela!B26</f>
        <v>0</v>
      </c>
      <c r="AJ26" s="2" t="s">
        <v>70</v>
      </c>
      <c r="AK26" s="2">
        <f>Tabela!D26</f>
        <v>1</v>
      </c>
      <c r="AL26" s="98" t="str">
        <f>Tabela!E26</f>
        <v>Austrália</v>
      </c>
      <c r="AM26" s="98"/>
      <c r="AN26" s="98"/>
      <c r="AO26" s="98"/>
      <c r="AQ26" s="97" t="str">
        <f>Tabela!G26</f>
        <v>CoreiaDoSul</v>
      </c>
      <c r="AR26" s="97"/>
      <c r="AS26" s="97"/>
      <c r="AT26" s="97"/>
      <c r="AU26" s="2">
        <f>Tabela!H26</f>
        <v>2</v>
      </c>
      <c r="AV26" s="2" t="s">
        <v>70</v>
      </c>
      <c r="AW26" s="2">
        <f>Tabela!J26</f>
        <v>3</v>
      </c>
      <c r="AX26" s="98" t="str">
        <f>Tabela!K26</f>
        <v>Gana</v>
      </c>
      <c r="AY26" s="98"/>
      <c r="AZ26" s="98"/>
      <c r="BA26" s="98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2"/>
      <c r="CG26" s="106"/>
      <c r="CH26" s="107"/>
      <c r="CI26" s="107"/>
      <c r="CJ26" s="107"/>
      <c r="CK26" s="107"/>
      <c r="CL26" s="107"/>
      <c r="CM26" s="107"/>
      <c r="CN26" s="108"/>
      <c r="CO26" s="112"/>
      <c r="CP26" s="113"/>
      <c r="CQ26" s="113"/>
      <c r="CR26" s="113"/>
      <c r="CS26" s="113"/>
      <c r="CT26" s="114"/>
      <c r="CU26" s="106"/>
      <c r="CV26" s="107"/>
      <c r="CW26" s="107"/>
      <c r="CX26" s="107"/>
      <c r="CY26" s="107"/>
      <c r="CZ26" s="107"/>
      <c r="DA26" s="107"/>
      <c r="DB26" s="108"/>
      <c r="DC26" s="115"/>
      <c r="DD26" s="116"/>
      <c r="DE26" s="116"/>
      <c r="DF26" s="116"/>
      <c r="DG26" s="116"/>
      <c r="DH26" s="116"/>
      <c r="DI26" s="116"/>
      <c r="DJ26" s="116"/>
      <c r="DK26" s="116"/>
      <c r="DL26" s="116"/>
      <c r="DM26" s="116"/>
      <c r="DN26" s="116"/>
      <c r="DO26" s="116"/>
      <c r="DP26" s="116"/>
      <c r="DQ26" s="116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7" t="s">
        <v>54</v>
      </c>
      <c r="H27" s="97"/>
      <c r="I27" s="97"/>
      <c r="J27" s="97"/>
      <c r="K27" s="2">
        <v>2</v>
      </c>
      <c r="L27" s="2" t="s">
        <v>70</v>
      </c>
      <c r="M27" s="2">
        <v>0</v>
      </c>
      <c r="N27" s="98" t="s">
        <v>50</v>
      </c>
      <c r="O27" s="98"/>
      <c r="P27" s="98"/>
      <c r="Q27" s="98"/>
      <c r="S27" s="97" t="s">
        <v>64</v>
      </c>
      <c r="T27" s="97"/>
      <c r="U27" s="97"/>
      <c r="V27" s="97"/>
      <c r="W27" s="2">
        <v>2</v>
      </c>
      <c r="X27" s="2" t="s">
        <v>70</v>
      </c>
      <c r="Y27" s="2">
        <v>2</v>
      </c>
      <c r="Z27" s="98" t="s">
        <v>69</v>
      </c>
      <c r="AA27" s="98"/>
      <c r="AB27" s="98"/>
      <c r="AC27" s="98"/>
      <c r="AE27" s="97" t="str">
        <f>Tabela!A27</f>
        <v>França</v>
      </c>
      <c r="AF27" s="97"/>
      <c r="AG27" s="97"/>
      <c r="AH27" s="97"/>
      <c r="AI27" s="2">
        <f>Tabela!B27</f>
        <v>2</v>
      </c>
      <c r="AJ27" s="2" t="s">
        <v>70</v>
      </c>
      <c r="AK27" s="2">
        <f>Tabela!D27</f>
        <v>1</v>
      </c>
      <c r="AL27" s="98" t="str">
        <f>Tabela!E27</f>
        <v>Dinamarca</v>
      </c>
      <c r="AM27" s="98"/>
      <c r="AN27" s="98"/>
      <c r="AO27" s="98"/>
      <c r="AQ27" s="97" t="str">
        <f>Tabela!G27</f>
        <v>Portugal</v>
      </c>
      <c r="AR27" s="97"/>
      <c r="AS27" s="97"/>
      <c r="AT27" s="97"/>
      <c r="AU27" s="2">
        <f>Tabela!H27</f>
        <v>2</v>
      </c>
      <c r="AV27" s="2" t="s">
        <v>70</v>
      </c>
      <c r="AW27" s="2">
        <f>Tabela!J27</f>
        <v>0</v>
      </c>
      <c r="AX27" s="98" t="str">
        <f>Tabela!K27</f>
        <v>Uruguai</v>
      </c>
      <c r="AY27" s="98"/>
      <c r="AZ27" s="98"/>
      <c r="BA27" s="98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101"/>
      <c r="BS27" s="101"/>
      <c r="BT27" s="101"/>
      <c r="BU27" s="101"/>
      <c r="BV27" s="101"/>
      <c r="BW27" s="101"/>
      <c r="BX27" s="101"/>
      <c r="BY27" s="101"/>
      <c r="BZ27" s="101"/>
      <c r="CA27" s="101"/>
      <c r="CB27" s="101"/>
      <c r="CC27" s="101"/>
      <c r="CD27" s="101"/>
      <c r="CE27" s="101"/>
      <c r="CF27" s="102"/>
      <c r="CG27" s="106"/>
      <c r="CH27" s="107"/>
      <c r="CI27" s="107"/>
      <c r="CJ27" s="107"/>
      <c r="CK27" s="107"/>
      <c r="CL27" s="107"/>
      <c r="CM27" s="107"/>
      <c r="CN27" s="108"/>
      <c r="CO27" s="112"/>
      <c r="CP27" s="113"/>
      <c r="CQ27" s="113"/>
      <c r="CR27" s="113"/>
      <c r="CS27" s="113"/>
      <c r="CT27" s="114"/>
      <c r="CU27" s="106"/>
      <c r="CV27" s="107"/>
      <c r="CW27" s="107"/>
      <c r="CX27" s="107"/>
      <c r="CY27" s="107"/>
      <c r="CZ27" s="107"/>
      <c r="DA27" s="107"/>
      <c r="DB27" s="108"/>
      <c r="DC27" s="115"/>
      <c r="DD27" s="116"/>
      <c r="DE27" s="116"/>
      <c r="DF27" s="116"/>
      <c r="DG27" s="116"/>
      <c r="DH27" s="116"/>
      <c r="DI27" s="116"/>
      <c r="DJ27" s="116"/>
      <c r="DK27" s="116"/>
      <c r="DL27" s="116"/>
      <c r="DM27" s="116"/>
      <c r="DN27" s="116"/>
      <c r="DO27" s="116"/>
      <c r="DP27" s="116"/>
      <c r="DQ27" s="116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7" t="s">
        <v>68</v>
      </c>
      <c r="H28" s="97"/>
      <c r="I28" s="97"/>
      <c r="J28" s="97"/>
      <c r="K28" s="2">
        <v>0</v>
      </c>
      <c r="L28" s="2" t="s">
        <v>70</v>
      </c>
      <c r="M28" s="2">
        <v>3</v>
      </c>
      <c r="N28" s="98" t="s">
        <v>54</v>
      </c>
      <c r="O28" s="98"/>
      <c r="P28" s="98"/>
      <c r="Q28" s="98"/>
      <c r="S28" s="97" t="s">
        <v>47</v>
      </c>
      <c r="T28" s="97"/>
      <c r="U28" s="97"/>
      <c r="V28" s="97"/>
      <c r="W28" s="2">
        <v>1</v>
      </c>
      <c r="X28" s="2" t="s">
        <v>70</v>
      </c>
      <c r="Y28" s="2">
        <v>1</v>
      </c>
      <c r="Z28" s="98" t="s">
        <v>64</v>
      </c>
      <c r="AA28" s="98"/>
      <c r="AB28" s="98"/>
      <c r="AC28" s="98"/>
      <c r="AE28" s="97" t="str">
        <f>Tabela!A28</f>
        <v>Tunísia</v>
      </c>
      <c r="AF28" s="97"/>
      <c r="AG28" s="97"/>
      <c r="AH28" s="97"/>
      <c r="AI28" s="2">
        <f>Tabela!B28</f>
        <v>1</v>
      </c>
      <c r="AJ28" s="2" t="s">
        <v>70</v>
      </c>
      <c r="AK28" s="2">
        <f>Tabela!D28</f>
        <v>0</v>
      </c>
      <c r="AL28" s="98" t="str">
        <f>Tabela!E28</f>
        <v>França</v>
      </c>
      <c r="AM28" s="98"/>
      <c r="AN28" s="98"/>
      <c r="AO28" s="98"/>
      <c r="AQ28" s="97" t="str">
        <f>Tabela!G28</f>
        <v>CoreiaDoSul</v>
      </c>
      <c r="AR28" s="97"/>
      <c r="AS28" s="97"/>
      <c r="AT28" s="97"/>
      <c r="AU28" s="2">
        <f>Tabela!H28</f>
        <v>2</v>
      </c>
      <c r="AV28" s="2" t="s">
        <v>70</v>
      </c>
      <c r="AW28" s="2">
        <f>Tabela!J28</f>
        <v>1</v>
      </c>
      <c r="AX28" s="98" t="str">
        <f>Tabela!K28</f>
        <v>Portugal</v>
      </c>
      <c r="AY28" s="98"/>
      <c r="AZ28" s="98"/>
      <c r="BA28" s="98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101"/>
      <c r="BS28" s="101"/>
      <c r="BT28" s="101"/>
      <c r="BU28" s="101"/>
      <c r="BV28" s="101"/>
      <c r="BW28" s="101"/>
      <c r="BX28" s="101"/>
      <c r="BY28" s="101"/>
      <c r="BZ28" s="101"/>
      <c r="CA28" s="101"/>
      <c r="CB28" s="101"/>
      <c r="CC28" s="101"/>
      <c r="CD28" s="101"/>
      <c r="CE28" s="101"/>
      <c r="CF28" s="102"/>
      <c r="CG28" s="106"/>
      <c r="CH28" s="107"/>
      <c r="CI28" s="107"/>
      <c r="CJ28" s="107"/>
      <c r="CK28" s="107"/>
      <c r="CL28" s="107"/>
      <c r="CM28" s="107"/>
      <c r="CN28" s="108"/>
      <c r="CO28" s="112"/>
      <c r="CP28" s="113"/>
      <c r="CQ28" s="113"/>
      <c r="CR28" s="113"/>
      <c r="CS28" s="113"/>
      <c r="CT28" s="114"/>
      <c r="CU28" s="106"/>
      <c r="CV28" s="107"/>
      <c r="CW28" s="107"/>
      <c r="CX28" s="107"/>
      <c r="CY28" s="107"/>
      <c r="CZ28" s="107"/>
      <c r="DA28" s="107"/>
      <c r="DB28" s="108"/>
      <c r="DC28" s="115"/>
      <c r="DD28" s="116"/>
      <c r="DE28" s="116"/>
      <c r="DF28" s="116"/>
      <c r="DG28" s="116"/>
      <c r="DH28" s="116"/>
      <c r="DI28" s="116"/>
      <c r="DJ28" s="116"/>
      <c r="DK28" s="116"/>
      <c r="DL28" s="116"/>
      <c r="DM28" s="116"/>
      <c r="DN28" s="116"/>
      <c r="DO28" s="116"/>
      <c r="DP28" s="116"/>
      <c r="DQ28" s="116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7" t="s">
        <v>41</v>
      </c>
      <c r="H29" s="97"/>
      <c r="I29" s="97"/>
      <c r="J29" s="97"/>
      <c r="K29" s="2">
        <v>1</v>
      </c>
      <c r="L29" s="2" t="s">
        <v>70</v>
      </c>
      <c r="M29" s="2">
        <v>0</v>
      </c>
      <c r="N29" s="98" t="s">
        <v>50</v>
      </c>
      <c r="O29" s="98"/>
      <c r="P29" s="98"/>
      <c r="Q29" s="98"/>
      <c r="S29" s="97" t="s">
        <v>55</v>
      </c>
      <c r="T29" s="97"/>
      <c r="U29" s="97"/>
      <c r="V29" s="97"/>
      <c r="W29" s="2">
        <v>1</v>
      </c>
      <c r="X29" s="2" t="s">
        <v>70</v>
      </c>
      <c r="Y29" s="2">
        <v>2</v>
      </c>
      <c r="Z29" s="98" t="s">
        <v>69</v>
      </c>
      <c r="AA29" s="98"/>
      <c r="AB29" s="98"/>
      <c r="AC29" s="98"/>
      <c r="AE29" s="97" t="str">
        <f>Tabela!A29</f>
        <v>Austrália</v>
      </c>
      <c r="AF29" s="97"/>
      <c r="AG29" s="97"/>
      <c r="AH29" s="97"/>
      <c r="AI29" s="2">
        <f>Tabela!B29</f>
        <v>1</v>
      </c>
      <c r="AJ29" s="2" t="s">
        <v>70</v>
      </c>
      <c r="AK29" s="2">
        <f>Tabela!D29</f>
        <v>0</v>
      </c>
      <c r="AL29" s="98" t="str">
        <f>Tabela!E29</f>
        <v>Dinamarca</v>
      </c>
      <c r="AM29" s="98"/>
      <c r="AN29" s="98"/>
      <c r="AO29" s="98"/>
      <c r="AQ29" s="97" t="str">
        <f>Tabela!G29</f>
        <v>Gana</v>
      </c>
      <c r="AR29" s="97"/>
      <c r="AS29" s="97"/>
      <c r="AT29" s="97"/>
      <c r="AU29" s="2">
        <f>Tabela!H29</f>
        <v>0</v>
      </c>
      <c r="AV29" s="2" t="s">
        <v>70</v>
      </c>
      <c r="AW29" s="2">
        <f>Tabela!J29</f>
        <v>2</v>
      </c>
      <c r="AX29" s="98" t="str">
        <f>Tabela!K29</f>
        <v>Uruguai</v>
      </c>
      <c r="AY29" s="98"/>
      <c r="AZ29" s="98"/>
      <c r="BA29" s="98"/>
      <c r="BC29" s="2">
        <f t="shared" si="1"/>
        <v>25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101"/>
      <c r="BS29" s="101"/>
      <c r="BT29" s="101"/>
      <c r="BU29" s="101"/>
      <c r="BV29" s="101"/>
      <c r="BW29" s="101"/>
      <c r="BX29" s="101"/>
      <c r="BY29" s="101"/>
      <c r="BZ29" s="101"/>
      <c r="CA29" s="101"/>
      <c r="CB29" s="101"/>
      <c r="CC29" s="101"/>
      <c r="CD29" s="101"/>
      <c r="CE29" s="101"/>
      <c r="CF29" s="102"/>
      <c r="CG29" s="109"/>
      <c r="CH29" s="110"/>
      <c r="CI29" s="110"/>
      <c r="CJ29" s="110"/>
      <c r="CK29" s="110"/>
      <c r="CL29" s="110"/>
      <c r="CM29" s="110"/>
      <c r="CN29" s="111"/>
      <c r="CO29" s="112"/>
      <c r="CP29" s="113"/>
      <c r="CQ29" s="113"/>
      <c r="CR29" s="113"/>
      <c r="CS29" s="113"/>
      <c r="CT29" s="114"/>
      <c r="CU29" s="109"/>
      <c r="CV29" s="110"/>
      <c r="CW29" s="110"/>
      <c r="CX29" s="110"/>
      <c r="CY29" s="110"/>
      <c r="CZ29" s="110"/>
      <c r="DA29" s="110"/>
      <c r="DB29" s="111"/>
      <c r="DC29" s="115"/>
      <c r="DD29" s="116"/>
      <c r="DE29" s="116"/>
      <c r="DF29" s="116"/>
      <c r="DG29" s="116"/>
      <c r="DH29" s="116"/>
      <c r="DI29" s="116"/>
      <c r="DJ29" s="116"/>
      <c r="DK29" s="116"/>
      <c r="DL29" s="116"/>
      <c r="DM29" s="116"/>
      <c r="DN29" s="116"/>
      <c r="DO29" s="116"/>
      <c r="DP29" s="116"/>
      <c r="DQ29" s="116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8"/>
      <c r="AM33" s="98"/>
      <c r="AN33" s="98"/>
      <c r="AO33" s="98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8"/>
      <c r="AM34" s="98"/>
      <c r="AN34" s="98"/>
      <c r="AO34" s="98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8"/>
      <c r="AM35" s="98"/>
      <c r="AN35" s="98"/>
      <c r="AO35" s="98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8"/>
      <c r="AM36" s="98"/>
      <c r="AN36" s="98"/>
      <c r="AO36" s="98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3" t="s">
        <v>172</v>
      </c>
      <c r="C1" s="93"/>
      <c r="D1" s="93"/>
      <c r="E1" s="94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173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164</v>
      </c>
      <c r="D6" s="21"/>
      <c r="E6" s="24" t="s">
        <v>157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170</v>
      </c>
      <c r="B8" s="21"/>
      <c r="C8" s="21" t="s">
        <v>165</v>
      </c>
      <c r="D8" s="21"/>
      <c r="E8" s="24" t="s">
        <v>158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171</v>
      </c>
      <c r="B10" s="21"/>
      <c r="C10" s="21" t="s">
        <v>166</v>
      </c>
      <c r="D10" s="21"/>
      <c r="E10" s="24" t="s">
        <v>159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162</v>
      </c>
      <c r="D14" s="21"/>
      <c r="E14" s="24" t="s">
        <v>225</v>
      </c>
    </row>
    <row r="15" spans="1:5" x14ac:dyDescent="0.25">
      <c r="A15" s="20" t="s">
        <v>168</v>
      </c>
      <c r="B15" s="21"/>
      <c r="C15" s="21" t="s">
        <v>214</v>
      </c>
      <c r="D15" s="21"/>
      <c r="E15" s="24" t="s">
        <v>155</v>
      </c>
    </row>
    <row r="16" spans="1:5" x14ac:dyDescent="0.25">
      <c r="A16" s="20" t="s">
        <v>135</v>
      </c>
      <c r="B16" s="21"/>
      <c r="C16" s="21" t="s">
        <v>215</v>
      </c>
      <c r="D16" s="21"/>
      <c r="E16" s="24" t="s">
        <v>220</v>
      </c>
    </row>
    <row r="17" spans="1:5" x14ac:dyDescent="0.25">
      <c r="A17" s="20" t="s">
        <v>169</v>
      </c>
      <c r="B17" s="21"/>
      <c r="C17" s="21" t="s">
        <v>163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226</v>
      </c>
    </row>
    <row r="19" spans="1:5" x14ac:dyDescent="0.25">
      <c r="A19" s="20" t="s">
        <v>86</v>
      </c>
      <c r="B19" s="21"/>
      <c r="C19" s="21" t="s">
        <v>217</v>
      </c>
      <c r="D19" s="21"/>
      <c r="E19" s="24" t="s">
        <v>156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212</v>
      </c>
      <c r="B23" s="21"/>
      <c r="C23" s="21" t="s">
        <v>32</v>
      </c>
      <c r="D23" s="21"/>
      <c r="E23" s="24" t="s">
        <v>154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207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167</v>
      </c>
      <c r="B26" s="21"/>
      <c r="C26" s="21" t="s">
        <v>160</v>
      </c>
      <c r="D26" s="21"/>
      <c r="E26" s="24" t="s">
        <v>152</v>
      </c>
    </row>
    <row r="27" spans="1:5" x14ac:dyDescent="0.25">
      <c r="A27" s="20" t="s">
        <v>108</v>
      </c>
      <c r="B27" s="21"/>
      <c r="C27" s="21" t="s">
        <v>161</v>
      </c>
      <c r="D27" s="21"/>
      <c r="E27" s="24" t="s">
        <v>153</v>
      </c>
    </row>
    <row r="28" spans="1:5" ht="15.75" thickBot="1" x14ac:dyDescent="0.3">
      <c r="A28" s="22" t="s">
        <v>208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4" hidden="1" customWidth="1"/>
    <col min="18" max="21" width="5.7109375" style="64" customWidth="1"/>
    <col min="22" max="16384" width="9.140625" style="1"/>
  </cols>
  <sheetData>
    <row r="1" spans="2:22" ht="24.75" customHeight="1" thickTop="1" x14ac:dyDescent="0.25">
      <c r="B1" s="125" t="s">
        <v>251</v>
      </c>
      <c r="C1" s="126"/>
      <c r="D1" s="126"/>
      <c r="E1" s="126"/>
      <c r="F1" s="126"/>
      <c r="G1" s="126"/>
      <c r="H1" s="126"/>
      <c r="I1" s="127"/>
    </row>
    <row r="2" spans="2:22" s="54" customFormat="1" ht="66" customHeight="1" x14ac:dyDescent="0.25">
      <c r="B2" s="53"/>
      <c r="C2" s="43" t="s">
        <v>279</v>
      </c>
      <c r="D2" s="62" t="s">
        <v>184</v>
      </c>
      <c r="E2" s="62" t="s">
        <v>280</v>
      </c>
      <c r="F2" s="62" t="s">
        <v>283</v>
      </c>
      <c r="G2" s="62" t="s">
        <v>281</v>
      </c>
      <c r="H2" s="62" t="s">
        <v>284</v>
      </c>
      <c r="I2" s="63" t="s">
        <v>282</v>
      </c>
      <c r="Q2" s="65"/>
      <c r="R2" s="65"/>
      <c r="S2" s="65"/>
      <c r="T2" s="65"/>
      <c r="U2" s="65"/>
    </row>
    <row r="3" spans="2:22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3</v>
      </c>
      <c r="F3" s="68">
        <f>VLOOKUP(C3,O$3:U$25,4,0)</f>
        <v>1</v>
      </c>
      <c r="G3" s="68">
        <f>VLOOKUP(C3,O$3:U$25,5,0)</f>
        <v>3</v>
      </c>
      <c r="H3" s="68">
        <f>VLOOKUP(C3,O$3:U$25,6,0)</f>
        <v>4</v>
      </c>
      <c r="I3" s="69">
        <f>VLOOKUP(C3,O$3:U$25,7,0)</f>
        <v>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1</v>
      </c>
      <c r="R3" s="44">
        <v>4</v>
      </c>
      <c r="S3" s="44">
        <v>4</v>
      </c>
      <c r="T3" s="44">
        <v>1</v>
      </c>
      <c r="U3" s="44">
        <v>4</v>
      </c>
      <c r="V3" s="60"/>
    </row>
    <row r="4" spans="2:22" x14ac:dyDescent="0.25">
      <c r="B4" s="70" t="s">
        <v>257</v>
      </c>
      <c r="C4" s="71" t="str">
        <f t="shared" si="0"/>
        <v>Alex</v>
      </c>
      <c r="D4" s="71">
        <f t="shared" ref="D4:D25" si="1">VLOOKUP(C4,O$3:U$25,2,0)</f>
        <v>420</v>
      </c>
      <c r="E4" s="71">
        <f t="shared" ref="E4:E25" si="2">VLOOKUP(C4,O$3:U$25,3,0)</f>
        <v>2</v>
      </c>
      <c r="F4" s="71">
        <f t="shared" ref="F4:F25" si="3">VLOOKUP(C4,O$3:U$25,4,0)</f>
        <v>4</v>
      </c>
      <c r="G4" s="71">
        <f t="shared" ref="G4:G25" si="4">VLOOKUP(C4,O$3:U$25,5,0)</f>
        <v>1</v>
      </c>
      <c r="H4" s="71">
        <f t="shared" ref="H4:H25" si="5">VLOOKUP(C4,O$3:U$25,6,0)</f>
        <v>3</v>
      </c>
      <c r="I4" s="72">
        <f t="shared" ref="I4:I25" si="6">VLOOKUP(C4,O$3:U$25,7,0)</f>
        <v>4</v>
      </c>
      <c r="K4" s="58" t="s">
        <v>238</v>
      </c>
      <c r="L4" s="58">
        <f>Alex!Q$11</f>
        <v>420</v>
      </c>
      <c r="M4" s="58"/>
      <c r="N4" s="58"/>
      <c r="O4" s="59" t="s">
        <v>252</v>
      </c>
      <c r="P4" s="55">
        <f>'Ivan Alex_1'!Q$11</f>
        <v>465</v>
      </c>
      <c r="Q4" s="66"/>
      <c r="R4" s="66">
        <v>3</v>
      </c>
      <c r="S4" s="66">
        <v>6</v>
      </c>
      <c r="T4" s="66">
        <v>1</v>
      </c>
      <c r="U4" s="66">
        <v>4</v>
      </c>
      <c r="V4" s="60"/>
    </row>
    <row r="5" spans="2:22" x14ac:dyDescent="0.25">
      <c r="B5" s="73" t="s">
        <v>258</v>
      </c>
      <c r="C5" s="74" t="str">
        <f t="shared" si="0"/>
        <v>Joseir_2</v>
      </c>
      <c r="D5" s="74">
        <f t="shared" si="1"/>
        <v>400</v>
      </c>
      <c r="E5" s="74">
        <f t="shared" si="2"/>
        <v>2</v>
      </c>
      <c r="F5" s="74">
        <f t="shared" si="3"/>
        <v>2</v>
      </c>
      <c r="G5" s="74">
        <f t="shared" si="4"/>
        <v>2</v>
      </c>
      <c r="H5" s="74">
        <f t="shared" si="5"/>
        <v>7</v>
      </c>
      <c r="I5" s="75">
        <f t="shared" si="6"/>
        <v>0</v>
      </c>
      <c r="K5" s="58" t="s">
        <v>244</v>
      </c>
      <c r="L5" s="58">
        <f>Joseir_2!Q$11</f>
        <v>400</v>
      </c>
      <c r="M5" s="58"/>
      <c r="N5" s="58"/>
      <c r="O5" s="59" t="s">
        <v>253</v>
      </c>
      <c r="P5" s="55">
        <f>'Bruno Flores'!Q$11</f>
        <v>515</v>
      </c>
      <c r="Q5" s="44">
        <v>3</v>
      </c>
      <c r="R5" s="44">
        <v>1</v>
      </c>
      <c r="S5" s="44">
        <v>3</v>
      </c>
      <c r="T5" s="44">
        <v>4</v>
      </c>
      <c r="U5" s="44">
        <v>3</v>
      </c>
      <c r="V5" s="60"/>
    </row>
    <row r="6" spans="2:22" x14ac:dyDescent="0.25">
      <c r="B6" s="57" t="s">
        <v>259</v>
      </c>
      <c r="C6" s="49" t="str">
        <f t="shared" si="0"/>
        <v>Macélio</v>
      </c>
      <c r="D6" s="49">
        <f t="shared" si="1"/>
        <v>455</v>
      </c>
      <c r="E6" s="49">
        <f t="shared" si="2"/>
        <v>1</v>
      </c>
      <c r="F6" s="49">
        <f t="shared" si="3"/>
        <v>4</v>
      </c>
      <c r="G6" s="49">
        <f t="shared" si="4"/>
        <v>4</v>
      </c>
      <c r="H6" s="49">
        <f t="shared" si="5"/>
        <v>1</v>
      </c>
      <c r="I6" s="50">
        <f t="shared" si="6"/>
        <v>4</v>
      </c>
      <c r="K6" s="58" t="s">
        <v>230</v>
      </c>
      <c r="L6" s="58">
        <f>Macélio!Q$11</f>
        <v>455</v>
      </c>
      <c r="M6" s="58"/>
      <c r="N6" s="58"/>
      <c r="O6" s="59" t="s">
        <v>229</v>
      </c>
      <c r="P6" s="55">
        <f>'Ivan Alex_2'!Q$11</f>
        <v>375</v>
      </c>
      <c r="Q6" s="44"/>
      <c r="R6" s="44">
        <v>3</v>
      </c>
      <c r="S6" s="44">
        <v>6</v>
      </c>
      <c r="T6" s="44">
        <v>2</v>
      </c>
      <c r="U6" s="44">
        <v>3</v>
      </c>
      <c r="V6" s="60"/>
    </row>
    <row r="7" spans="2:22" x14ac:dyDescent="0.25">
      <c r="B7" s="57" t="s">
        <v>260</v>
      </c>
      <c r="C7" s="49" t="str">
        <f t="shared" si="0"/>
        <v>Juninho_1</v>
      </c>
      <c r="D7" s="49">
        <f t="shared" si="1"/>
        <v>390</v>
      </c>
      <c r="E7" s="49">
        <f t="shared" si="2"/>
        <v>2</v>
      </c>
      <c r="F7" s="49">
        <f t="shared" si="3"/>
        <v>2</v>
      </c>
      <c r="G7" s="49">
        <f t="shared" si="4"/>
        <v>2</v>
      </c>
      <c r="H7" s="49">
        <f t="shared" si="5"/>
        <v>4</v>
      </c>
      <c r="I7" s="50">
        <f t="shared" si="6"/>
        <v>4</v>
      </c>
      <c r="K7" s="58" t="s">
        <v>234</v>
      </c>
      <c r="L7" s="58">
        <f>Juninho_1!Q$11</f>
        <v>390</v>
      </c>
      <c r="M7" s="58"/>
      <c r="N7" s="58"/>
      <c r="O7" s="59" t="s">
        <v>232</v>
      </c>
      <c r="P7" s="55">
        <f>Gabriel!Q$11</f>
        <v>345</v>
      </c>
      <c r="Q7" s="44">
        <v>1</v>
      </c>
      <c r="R7" s="44">
        <v>2</v>
      </c>
      <c r="S7" s="44">
        <v>3</v>
      </c>
      <c r="T7" s="44">
        <v>4</v>
      </c>
      <c r="U7" s="44">
        <v>3</v>
      </c>
      <c r="V7" s="60"/>
    </row>
    <row r="8" spans="2:22" x14ac:dyDescent="0.25">
      <c r="B8" s="57" t="s">
        <v>261</v>
      </c>
      <c r="C8" s="49" t="str">
        <f t="shared" si="0"/>
        <v>Ivani</v>
      </c>
      <c r="D8" s="49">
        <f t="shared" si="1"/>
        <v>335</v>
      </c>
      <c r="E8" s="49">
        <f t="shared" si="2"/>
        <v>2</v>
      </c>
      <c r="F8" s="49">
        <f t="shared" si="3"/>
        <v>2</v>
      </c>
      <c r="G8" s="49">
        <f t="shared" si="4"/>
        <v>3</v>
      </c>
      <c r="H8" s="49">
        <f t="shared" si="5"/>
        <v>2</v>
      </c>
      <c r="I8" s="50">
        <f t="shared" si="6"/>
        <v>5</v>
      </c>
      <c r="K8" s="58" t="s">
        <v>245</v>
      </c>
      <c r="L8" s="58">
        <f>Ivani!Q$11</f>
        <v>335</v>
      </c>
      <c r="M8" s="58"/>
      <c r="N8" s="58"/>
      <c r="O8" s="59" t="s">
        <v>231</v>
      </c>
      <c r="P8" s="55">
        <f>Luis!Q$11</f>
        <v>345</v>
      </c>
      <c r="Q8" s="44">
        <v>1</v>
      </c>
      <c r="R8" s="44">
        <v>2</v>
      </c>
      <c r="S8" s="44">
        <v>3</v>
      </c>
      <c r="T8" s="44">
        <v>1</v>
      </c>
      <c r="U8" s="44">
        <v>6</v>
      </c>
      <c r="V8" s="60"/>
    </row>
    <row r="9" spans="2:22" x14ac:dyDescent="0.25">
      <c r="B9" s="57" t="s">
        <v>262</v>
      </c>
      <c r="C9" s="49" t="str">
        <f t="shared" si="0"/>
        <v>Ivan Alex_2</v>
      </c>
      <c r="D9" s="49">
        <f t="shared" si="1"/>
        <v>375</v>
      </c>
      <c r="E9" s="49">
        <f t="shared" si="2"/>
        <v>0</v>
      </c>
      <c r="F9" s="49">
        <f t="shared" si="3"/>
        <v>3</v>
      </c>
      <c r="G9" s="49">
        <f t="shared" si="4"/>
        <v>6</v>
      </c>
      <c r="H9" s="49">
        <f t="shared" si="5"/>
        <v>2</v>
      </c>
      <c r="I9" s="50">
        <f t="shared" si="6"/>
        <v>3</v>
      </c>
      <c r="K9" s="58" t="s">
        <v>229</v>
      </c>
      <c r="L9" s="58">
        <f>'Ivan Alex_2'!Q$11</f>
        <v>375</v>
      </c>
      <c r="M9" s="58"/>
      <c r="N9" s="58"/>
      <c r="O9" s="59" t="s">
        <v>234</v>
      </c>
      <c r="P9" s="55">
        <f>Juninho_1!Q$11</f>
        <v>390</v>
      </c>
      <c r="Q9" s="44">
        <v>2</v>
      </c>
      <c r="R9" s="44">
        <v>2</v>
      </c>
      <c r="S9" s="44">
        <v>2</v>
      </c>
      <c r="T9" s="44">
        <v>4</v>
      </c>
      <c r="U9" s="44">
        <v>4</v>
      </c>
      <c r="V9" s="60"/>
    </row>
    <row r="10" spans="2:22" x14ac:dyDescent="0.25">
      <c r="B10" s="57" t="s">
        <v>263</v>
      </c>
      <c r="C10" s="49" t="str">
        <f t="shared" si="0"/>
        <v>Robert</v>
      </c>
      <c r="D10" s="49">
        <f t="shared" si="1"/>
        <v>395</v>
      </c>
      <c r="E10" s="49">
        <f t="shared" si="2"/>
        <v>0</v>
      </c>
      <c r="F10" s="49">
        <f t="shared" si="3"/>
        <v>4</v>
      </c>
      <c r="G10" s="49">
        <f t="shared" si="4"/>
        <v>4</v>
      </c>
      <c r="H10" s="49">
        <f t="shared" si="5"/>
        <v>2</v>
      </c>
      <c r="I10" s="50">
        <f t="shared" si="6"/>
        <v>3</v>
      </c>
      <c r="J10" s="58"/>
      <c r="K10" s="58" t="s">
        <v>240</v>
      </c>
      <c r="L10" s="58">
        <f>Robert!Q$11</f>
        <v>395</v>
      </c>
      <c r="M10" s="58"/>
      <c r="N10" s="58"/>
      <c r="O10" s="59" t="s">
        <v>235</v>
      </c>
      <c r="P10" s="55">
        <f>Juninho_2!Q$11</f>
        <v>380</v>
      </c>
      <c r="Q10" s="44">
        <v>1</v>
      </c>
      <c r="R10" s="44">
        <v>3</v>
      </c>
      <c r="S10" s="44">
        <v>2</v>
      </c>
      <c r="T10" s="44">
        <v>3</v>
      </c>
      <c r="U10" s="44">
        <v>5</v>
      </c>
      <c r="V10" s="60"/>
    </row>
    <row r="11" spans="2:22" x14ac:dyDescent="0.25">
      <c r="B11" s="57" t="s">
        <v>264</v>
      </c>
      <c r="C11" s="49" t="str">
        <f t="shared" si="0"/>
        <v>Ivan Alex_1</v>
      </c>
      <c r="D11" s="49">
        <f t="shared" si="1"/>
        <v>465</v>
      </c>
      <c r="E11" s="49">
        <f t="shared" si="2"/>
        <v>0</v>
      </c>
      <c r="F11" s="49">
        <f t="shared" si="3"/>
        <v>3</v>
      </c>
      <c r="G11" s="49">
        <f t="shared" si="4"/>
        <v>6</v>
      </c>
      <c r="H11" s="49">
        <f t="shared" si="5"/>
        <v>1</v>
      </c>
      <c r="I11" s="50">
        <f t="shared" si="6"/>
        <v>4</v>
      </c>
      <c r="K11" s="58" t="s">
        <v>252</v>
      </c>
      <c r="L11" s="58">
        <f>'Ivan Alex_1'!Q$11</f>
        <v>465</v>
      </c>
      <c r="M11" s="58"/>
      <c r="N11" s="58"/>
      <c r="O11" s="59" t="s">
        <v>236</v>
      </c>
      <c r="P11" s="55">
        <f>Luana!Q$11</f>
        <v>435</v>
      </c>
      <c r="Q11" s="44">
        <v>1</v>
      </c>
      <c r="R11" s="44">
        <v>1</v>
      </c>
      <c r="S11" s="44">
        <v>2</v>
      </c>
      <c r="T11" s="44">
        <v>7</v>
      </c>
      <c r="U11" s="44">
        <v>3</v>
      </c>
      <c r="V11" s="60"/>
    </row>
    <row r="12" spans="2:22" x14ac:dyDescent="0.25">
      <c r="B12" s="57" t="s">
        <v>265</v>
      </c>
      <c r="C12" s="49" t="str">
        <f t="shared" si="0"/>
        <v>Jean</v>
      </c>
      <c r="D12" s="49">
        <f t="shared" si="1"/>
        <v>425</v>
      </c>
      <c r="E12" s="49">
        <f t="shared" si="2"/>
        <v>1</v>
      </c>
      <c r="F12" s="49">
        <f t="shared" si="3"/>
        <v>3</v>
      </c>
      <c r="G12" s="49">
        <f t="shared" si="4"/>
        <v>3</v>
      </c>
      <c r="H12" s="49">
        <f t="shared" si="5"/>
        <v>2</v>
      </c>
      <c r="I12" s="50">
        <f t="shared" si="6"/>
        <v>4</v>
      </c>
      <c r="K12" s="58" t="s">
        <v>239</v>
      </c>
      <c r="L12" s="58">
        <f>Jean!Q$11</f>
        <v>425</v>
      </c>
      <c r="M12" s="58"/>
      <c r="N12" s="58"/>
      <c r="O12" s="59" t="s">
        <v>237</v>
      </c>
      <c r="P12" s="55">
        <f>Mácio!Q$11</f>
        <v>400</v>
      </c>
      <c r="Q12" s="44">
        <v>1</v>
      </c>
      <c r="R12" s="44">
        <v>3</v>
      </c>
      <c r="S12" s="44">
        <v>3</v>
      </c>
      <c r="T12" s="44">
        <v>1</v>
      </c>
      <c r="U12" s="44">
        <v>6</v>
      </c>
      <c r="V12" s="60"/>
    </row>
    <row r="13" spans="2:22" x14ac:dyDescent="0.25">
      <c r="B13" s="57" t="s">
        <v>266</v>
      </c>
      <c r="C13" s="49" t="str">
        <f t="shared" si="0"/>
        <v>Anderson</v>
      </c>
      <c r="D13" s="49">
        <f t="shared" si="1"/>
        <v>380</v>
      </c>
      <c r="E13" s="49">
        <f t="shared" si="2"/>
        <v>1</v>
      </c>
      <c r="F13" s="49">
        <f t="shared" si="3"/>
        <v>3</v>
      </c>
      <c r="G13" s="49">
        <f t="shared" si="4"/>
        <v>2</v>
      </c>
      <c r="H13" s="49">
        <f t="shared" si="5"/>
        <v>4</v>
      </c>
      <c r="I13" s="50">
        <f t="shared" si="6"/>
        <v>3</v>
      </c>
      <c r="K13" s="58" t="s">
        <v>249</v>
      </c>
      <c r="L13" s="58">
        <f>Anderson!Q$11</f>
        <v>380</v>
      </c>
      <c r="M13" s="58"/>
      <c r="N13" s="58"/>
      <c r="O13" s="59" t="s">
        <v>238</v>
      </c>
      <c r="P13" s="55">
        <f>Alex!Q$11</f>
        <v>420</v>
      </c>
      <c r="Q13" s="44">
        <v>2</v>
      </c>
      <c r="R13" s="44">
        <v>4</v>
      </c>
      <c r="S13" s="44">
        <v>1</v>
      </c>
      <c r="T13" s="44">
        <v>3</v>
      </c>
      <c r="U13" s="44">
        <v>4</v>
      </c>
      <c r="V13" s="60"/>
    </row>
    <row r="14" spans="2:22" x14ac:dyDescent="0.25">
      <c r="B14" s="57" t="s">
        <v>267</v>
      </c>
      <c r="C14" s="49" t="str">
        <f t="shared" si="0"/>
        <v>Gabriel</v>
      </c>
      <c r="D14" s="49">
        <f t="shared" si="1"/>
        <v>345</v>
      </c>
      <c r="E14" s="49">
        <f t="shared" si="2"/>
        <v>1</v>
      </c>
      <c r="F14" s="49">
        <f t="shared" si="3"/>
        <v>2</v>
      </c>
      <c r="G14" s="49">
        <f t="shared" si="4"/>
        <v>3</v>
      </c>
      <c r="H14" s="49">
        <f t="shared" si="5"/>
        <v>4</v>
      </c>
      <c r="I14" s="50">
        <f t="shared" si="6"/>
        <v>3</v>
      </c>
      <c r="K14" s="58" t="s">
        <v>232</v>
      </c>
      <c r="L14" s="58">
        <f>Gabriel!Q$11</f>
        <v>345</v>
      </c>
      <c r="M14" s="58"/>
      <c r="N14" s="58"/>
      <c r="O14" s="59" t="s">
        <v>239</v>
      </c>
      <c r="P14" s="55">
        <f>Jean!Q$11</f>
        <v>425</v>
      </c>
      <c r="Q14" s="44">
        <v>1</v>
      </c>
      <c r="R14" s="44">
        <v>3</v>
      </c>
      <c r="S14" s="44">
        <v>3</v>
      </c>
      <c r="T14" s="44">
        <v>2</v>
      </c>
      <c r="U14" s="44">
        <v>4</v>
      </c>
      <c r="V14" s="60"/>
    </row>
    <row r="15" spans="2:22" x14ac:dyDescent="0.25">
      <c r="B15" s="57" t="s">
        <v>268</v>
      </c>
      <c r="C15" s="49" t="str">
        <f t="shared" si="0"/>
        <v>Juninho_2</v>
      </c>
      <c r="D15" s="49">
        <f t="shared" si="1"/>
        <v>380</v>
      </c>
      <c r="E15" s="49">
        <f t="shared" si="2"/>
        <v>1</v>
      </c>
      <c r="F15" s="49">
        <f t="shared" si="3"/>
        <v>3</v>
      </c>
      <c r="G15" s="49">
        <f t="shared" si="4"/>
        <v>2</v>
      </c>
      <c r="H15" s="49">
        <f t="shared" si="5"/>
        <v>3</v>
      </c>
      <c r="I15" s="50">
        <f t="shared" si="6"/>
        <v>5</v>
      </c>
      <c r="K15" s="58" t="s">
        <v>235</v>
      </c>
      <c r="L15" s="58">
        <f>Juninho_2!Q$11</f>
        <v>380</v>
      </c>
      <c r="M15" s="58"/>
      <c r="N15" s="58"/>
      <c r="O15" s="59" t="s">
        <v>240</v>
      </c>
      <c r="P15" s="55">
        <f>Robert!Q$11</f>
        <v>395</v>
      </c>
      <c r="Q15" s="44"/>
      <c r="R15" s="44">
        <v>4</v>
      </c>
      <c r="S15" s="44">
        <v>4</v>
      </c>
      <c r="T15" s="44">
        <v>2</v>
      </c>
      <c r="U15" s="44">
        <v>3</v>
      </c>
      <c r="V15" s="60"/>
    </row>
    <row r="16" spans="2:22" x14ac:dyDescent="0.25">
      <c r="B16" s="57" t="s">
        <v>269</v>
      </c>
      <c r="C16" s="49" t="str">
        <f t="shared" si="0"/>
        <v>Mácio</v>
      </c>
      <c r="D16" s="49">
        <f t="shared" si="1"/>
        <v>400</v>
      </c>
      <c r="E16" s="49">
        <f t="shared" si="2"/>
        <v>1</v>
      </c>
      <c r="F16" s="49">
        <f t="shared" si="3"/>
        <v>3</v>
      </c>
      <c r="G16" s="49">
        <f t="shared" si="4"/>
        <v>3</v>
      </c>
      <c r="H16" s="49">
        <f t="shared" si="5"/>
        <v>1</v>
      </c>
      <c r="I16" s="50">
        <f t="shared" si="6"/>
        <v>6</v>
      </c>
      <c r="K16" s="58" t="s">
        <v>237</v>
      </c>
      <c r="L16" s="58">
        <f>Mácio!Q$11</f>
        <v>400</v>
      </c>
      <c r="M16" s="58"/>
      <c r="N16" s="58"/>
      <c r="O16" s="59" t="s">
        <v>241</v>
      </c>
      <c r="P16" s="55">
        <f>Roberto!Q$11</f>
        <v>390</v>
      </c>
      <c r="Q16" s="44">
        <v>1</v>
      </c>
      <c r="R16" s="44">
        <v>4</v>
      </c>
      <c r="S16" s="44">
        <v>1</v>
      </c>
      <c r="T16" s="44">
        <v>2</v>
      </c>
      <c r="U16" s="44">
        <v>5</v>
      </c>
      <c r="V16" s="60"/>
    </row>
    <row r="17" spans="2:22" x14ac:dyDescent="0.25">
      <c r="B17" s="57" t="s">
        <v>270</v>
      </c>
      <c r="C17" s="49" t="str">
        <f t="shared" si="0"/>
        <v>Roberto</v>
      </c>
      <c r="D17" s="49">
        <f t="shared" si="1"/>
        <v>390</v>
      </c>
      <c r="E17" s="49">
        <f t="shared" si="2"/>
        <v>1</v>
      </c>
      <c r="F17" s="49">
        <f t="shared" si="3"/>
        <v>4</v>
      </c>
      <c r="G17" s="49">
        <f t="shared" si="4"/>
        <v>1</v>
      </c>
      <c r="H17" s="49">
        <f t="shared" si="5"/>
        <v>2</v>
      </c>
      <c r="I17" s="50">
        <f t="shared" si="6"/>
        <v>5</v>
      </c>
      <c r="K17" s="58" t="s">
        <v>241</v>
      </c>
      <c r="L17" s="58">
        <f>Roberto!Q$11</f>
        <v>390</v>
      </c>
      <c r="M17" s="58"/>
      <c r="N17" s="58"/>
      <c r="O17" s="59" t="s">
        <v>242</v>
      </c>
      <c r="P17" s="55">
        <f>Andréia!Q$11</f>
        <v>245</v>
      </c>
      <c r="Q17" s="44"/>
      <c r="R17" s="44">
        <v>1</v>
      </c>
      <c r="S17" s="44">
        <v>3</v>
      </c>
      <c r="T17" s="44">
        <v>3</v>
      </c>
      <c r="U17" s="44">
        <v>6</v>
      </c>
      <c r="V17" s="60"/>
    </row>
    <row r="18" spans="2:22" x14ac:dyDescent="0.25">
      <c r="B18" s="57" t="s">
        <v>271</v>
      </c>
      <c r="C18" s="49" t="str">
        <f t="shared" si="0"/>
        <v>Julio</v>
      </c>
      <c r="D18" s="49">
        <f t="shared" si="1"/>
        <v>380</v>
      </c>
      <c r="E18" s="49">
        <f t="shared" si="2"/>
        <v>1</v>
      </c>
      <c r="F18" s="49">
        <f t="shared" si="3"/>
        <v>1</v>
      </c>
      <c r="G18" s="49">
        <f t="shared" si="4"/>
        <v>6</v>
      </c>
      <c r="H18" s="49">
        <f t="shared" si="5"/>
        <v>0</v>
      </c>
      <c r="I18" s="50">
        <f t="shared" si="6"/>
        <v>5</v>
      </c>
      <c r="K18" s="58" t="s">
        <v>247</v>
      </c>
      <c r="L18" s="58">
        <f>Julio!Q$11</f>
        <v>380</v>
      </c>
      <c r="M18" s="58"/>
      <c r="N18" s="58"/>
      <c r="O18" s="59" t="s">
        <v>243</v>
      </c>
      <c r="P18" s="55">
        <f>Joseir_1!Q$11</f>
        <v>325</v>
      </c>
      <c r="Q18" s="44"/>
      <c r="R18" s="44">
        <v>1</v>
      </c>
      <c r="S18" s="44">
        <v>2</v>
      </c>
      <c r="T18" s="44">
        <v>6</v>
      </c>
      <c r="U18" s="44">
        <v>4</v>
      </c>
      <c r="V18" s="60"/>
    </row>
    <row r="19" spans="2:22" x14ac:dyDescent="0.25">
      <c r="B19" s="57" t="s">
        <v>272</v>
      </c>
      <c r="C19" s="49" t="str">
        <f t="shared" si="0"/>
        <v>Cléofaz</v>
      </c>
      <c r="D19" s="49">
        <f t="shared" si="1"/>
        <v>390</v>
      </c>
      <c r="E19" s="49">
        <f t="shared" si="2"/>
        <v>1</v>
      </c>
      <c r="F19" s="49">
        <f t="shared" si="3"/>
        <v>1</v>
      </c>
      <c r="G19" s="49">
        <f t="shared" si="4"/>
        <v>5</v>
      </c>
      <c r="H19" s="49">
        <f t="shared" si="5"/>
        <v>1</v>
      </c>
      <c r="I19" s="50">
        <f t="shared" si="6"/>
        <v>4</v>
      </c>
      <c r="K19" s="58" t="s">
        <v>250</v>
      </c>
      <c r="L19" s="58">
        <f>Cléofaz!Q$11</f>
        <v>390</v>
      </c>
      <c r="M19" s="58"/>
      <c r="N19" s="58"/>
      <c r="O19" s="59" t="s">
        <v>244</v>
      </c>
      <c r="P19" s="55">
        <f>Joseir_2!Q$11</f>
        <v>400</v>
      </c>
      <c r="Q19" s="44">
        <v>2</v>
      </c>
      <c r="R19" s="44">
        <v>2</v>
      </c>
      <c r="S19" s="44">
        <v>2</v>
      </c>
      <c r="T19" s="44">
        <v>7</v>
      </c>
      <c r="U19" s="44">
        <v>0</v>
      </c>
      <c r="V19" s="60"/>
    </row>
    <row r="20" spans="2:22" x14ac:dyDescent="0.25">
      <c r="B20" s="57" t="s">
        <v>273</v>
      </c>
      <c r="C20" s="49" t="str">
        <f t="shared" si="0"/>
        <v>Luana</v>
      </c>
      <c r="D20" s="49">
        <f t="shared" si="1"/>
        <v>435</v>
      </c>
      <c r="E20" s="49">
        <f t="shared" si="2"/>
        <v>1</v>
      </c>
      <c r="F20" s="49">
        <f t="shared" si="3"/>
        <v>1</v>
      </c>
      <c r="G20" s="49">
        <f t="shared" si="4"/>
        <v>2</v>
      </c>
      <c r="H20" s="49">
        <f t="shared" si="5"/>
        <v>7</v>
      </c>
      <c r="I20" s="50">
        <f t="shared" si="6"/>
        <v>3</v>
      </c>
      <c r="K20" s="58" t="s">
        <v>236</v>
      </c>
      <c r="L20" s="58">
        <f>Luana!Q$11</f>
        <v>435</v>
      </c>
      <c r="M20" s="58"/>
      <c r="N20" s="58"/>
      <c r="O20" s="59" t="s">
        <v>245</v>
      </c>
      <c r="P20" s="55">
        <f>Ivani!Q$11</f>
        <v>335</v>
      </c>
      <c r="Q20" s="44">
        <v>2</v>
      </c>
      <c r="R20" s="44">
        <v>2</v>
      </c>
      <c r="S20" s="44">
        <v>3</v>
      </c>
      <c r="T20" s="44">
        <v>2</v>
      </c>
      <c r="U20" s="44">
        <v>5</v>
      </c>
      <c r="V20" s="60"/>
    </row>
    <row r="21" spans="2:22" x14ac:dyDescent="0.25">
      <c r="B21" s="57" t="s">
        <v>274</v>
      </c>
      <c r="C21" s="49" t="str">
        <f t="shared" si="0"/>
        <v>Talita</v>
      </c>
      <c r="D21" s="49">
        <f t="shared" si="1"/>
        <v>395</v>
      </c>
      <c r="E21" s="49">
        <f t="shared" si="2"/>
        <v>1</v>
      </c>
      <c r="F21" s="49">
        <f t="shared" si="3"/>
        <v>0</v>
      </c>
      <c r="G21" s="49">
        <f t="shared" si="4"/>
        <v>4</v>
      </c>
      <c r="H21" s="49">
        <f t="shared" si="5"/>
        <v>5</v>
      </c>
      <c r="I21" s="50">
        <f t="shared" si="6"/>
        <v>3</v>
      </c>
      <c r="K21" s="58" t="s">
        <v>248</v>
      </c>
      <c r="L21" s="58">
        <f>Talita!Q$11</f>
        <v>395</v>
      </c>
      <c r="M21" s="58"/>
      <c r="N21" s="58"/>
      <c r="O21" s="59" t="s">
        <v>246</v>
      </c>
      <c r="P21" s="55">
        <f>Josimar!Q$11</f>
        <v>295</v>
      </c>
      <c r="Q21" s="44"/>
      <c r="R21" s="44">
        <v>1</v>
      </c>
      <c r="S21" s="44">
        <v>1</v>
      </c>
      <c r="T21" s="44">
        <v>6</v>
      </c>
      <c r="U21" s="44">
        <v>5</v>
      </c>
      <c r="V21" s="60"/>
    </row>
    <row r="22" spans="2:22" x14ac:dyDescent="0.25">
      <c r="B22" s="57" t="s">
        <v>275</v>
      </c>
      <c r="C22" s="49" t="str">
        <f t="shared" si="0"/>
        <v>Luis</v>
      </c>
      <c r="D22" s="49">
        <f t="shared" si="1"/>
        <v>345</v>
      </c>
      <c r="E22" s="49">
        <f t="shared" si="2"/>
        <v>1</v>
      </c>
      <c r="F22" s="49">
        <f t="shared" si="3"/>
        <v>2</v>
      </c>
      <c r="G22" s="49">
        <f t="shared" si="4"/>
        <v>3</v>
      </c>
      <c r="H22" s="49">
        <f t="shared" si="5"/>
        <v>1</v>
      </c>
      <c r="I22" s="50">
        <f t="shared" si="6"/>
        <v>6</v>
      </c>
      <c r="K22" s="58" t="s">
        <v>231</v>
      </c>
      <c r="L22" s="58">
        <f>Luis!Q$11</f>
        <v>345</v>
      </c>
      <c r="M22" s="58"/>
      <c r="N22" s="58"/>
      <c r="O22" s="59" t="s">
        <v>247</v>
      </c>
      <c r="P22" s="55">
        <f>Julio!Q$11</f>
        <v>380</v>
      </c>
      <c r="Q22" s="44">
        <v>1</v>
      </c>
      <c r="R22" s="44">
        <v>1</v>
      </c>
      <c r="S22" s="44">
        <v>6</v>
      </c>
      <c r="T22" s="44"/>
      <c r="U22" s="44">
        <v>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0</v>
      </c>
      <c r="F23" s="49">
        <f t="shared" si="3"/>
        <v>1</v>
      </c>
      <c r="G23" s="49">
        <f t="shared" si="4"/>
        <v>2</v>
      </c>
      <c r="H23" s="49">
        <f t="shared" si="5"/>
        <v>6</v>
      </c>
      <c r="I23" s="50">
        <f t="shared" si="6"/>
        <v>4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1</v>
      </c>
      <c r="R23" s="44"/>
      <c r="S23" s="44">
        <v>4</v>
      </c>
      <c r="T23" s="44">
        <v>5</v>
      </c>
      <c r="U23" s="44">
        <v>3</v>
      </c>
      <c r="V23" s="60"/>
    </row>
    <row r="24" spans="2:22" x14ac:dyDescent="0.25">
      <c r="B24" s="57" t="s">
        <v>277</v>
      </c>
      <c r="C24" s="49" t="str">
        <f t="shared" si="0"/>
        <v>Andréia</v>
      </c>
      <c r="D24" s="49">
        <f t="shared" si="1"/>
        <v>245</v>
      </c>
      <c r="E24" s="49">
        <f t="shared" si="2"/>
        <v>0</v>
      </c>
      <c r="F24" s="49">
        <f t="shared" si="3"/>
        <v>1</v>
      </c>
      <c r="G24" s="49">
        <f t="shared" si="4"/>
        <v>3</v>
      </c>
      <c r="H24" s="49">
        <f t="shared" si="5"/>
        <v>3</v>
      </c>
      <c r="I24" s="50">
        <f t="shared" si="6"/>
        <v>6</v>
      </c>
      <c r="K24" s="58" t="s">
        <v>242</v>
      </c>
      <c r="L24" s="58">
        <f>Andréia!Q$11</f>
        <v>245</v>
      </c>
      <c r="M24" s="58"/>
      <c r="N24" s="58"/>
      <c r="O24" s="59" t="s">
        <v>249</v>
      </c>
      <c r="P24" s="55">
        <f>Anderson!Q$11</f>
        <v>380</v>
      </c>
      <c r="Q24" s="44">
        <v>1</v>
      </c>
      <c r="R24" s="44">
        <v>3</v>
      </c>
      <c r="S24" s="44">
        <v>2</v>
      </c>
      <c r="T24" s="44">
        <v>4</v>
      </c>
      <c r="U24" s="44">
        <v>3</v>
      </c>
      <c r="V24" s="60"/>
    </row>
    <row r="25" spans="2:22" ht="15.75" thickBot="1" x14ac:dyDescent="0.3">
      <c r="B25" s="61" t="s">
        <v>278</v>
      </c>
      <c r="C25" s="51" t="str">
        <f t="shared" si="0"/>
        <v>Josimar</v>
      </c>
      <c r="D25" s="51">
        <f t="shared" si="1"/>
        <v>295</v>
      </c>
      <c r="E25" s="51">
        <f t="shared" si="2"/>
        <v>0</v>
      </c>
      <c r="F25" s="51">
        <f t="shared" si="3"/>
        <v>1</v>
      </c>
      <c r="G25" s="51">
        <f t="shared" si="4"/>
        <v>1</v>
      </c>
      <c r="H25" s="51">
        <f t="shared" si="5"/>
        <v>6</v>
      </c>
      <c r="I25" s="52">
        <f t="shared" si="6"/>
        <v>5</v>
      </c>
      <c r="K25" s="58" t="s">
        <v>246</v>
      </c>
      <c r="L25" s="58">
        <f>Josimar!Q$11</f>
        <v>295</v>
      </c>
      <c r="M25" s="58"/>
      <c r="N25" s="58"/>
      <c r="O25" s="59" t="s">
        <v>250</v>
      </c>
      <c r="P25" s="55">
        <f>Cléofaz!Q$11</f>
        <v>390</v>
      </c>
      <c r="Q25" s="44">
        <v>1</v>
      </c>
      <c r="R25" s="44">
        <v>1</v>
      </c>
      <c r="S25" s="44">
        <v>5</v>
      </c>
      <c r="T25" s="44">
        <v>1</v>
      </c>
      <c r="U25" s="44">
        <v>4</v>
      </c>
      <c r="V25" s="60"/>
    </row>
    <row r="26" spans="2:22" ht="15.75" thickTop="1" x14ac:dyDescent="0.25">
      <c r="N26" s="58"/>
      <c r="P26" s="56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24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8" t="s">
        <v>53</v>
      </c>
      <c r="C2" s="128"/>
      <c r="D2" s="128"/>
      <c r="E2" s="89">
        <v>1</v>
      </c>
      <c r="F2" s="89"/>
      <c r="G2" s="89">
        <v>1</v>
      </c>
      <c r="H2" s="128" t="s">
        <v>71</v>
      </c>
      <c r="I2" s="128"/>
      <c r="J2" s="128"/>
      <c r="L2" t="s">
        <v>250</v>
      </c>
    </row>
    <row r="3" spans="2:12" x14ac:dyDescent="0.25">
      <c r="B3" s="128" t="s">
        <v>191</v>
      </c>
      <c r="C3" s="128"/>
      <c r="D3" s="128"/>
      <c r="E3" s="89">
        <v>1</v>
      </c>
      <c r="F3" s="89"/>
      <c r="G3" s="89">
        <v>2</v>
      </c>
      <c r="H3" s="128" t="s">
        <v>61</v>
      </c>
      <c r="I3" s="128"/>
      <c r="J3" s="128"/>
    </row>
    <row r="4" spans="2:12" x14ac:dyDescent="0.25">
      <c r="B4" s="128" t="s">
        <v>45</v>
      </c>
      <c r="C4" s="128"/>
      <c r="D4" s="128"/>
      <c r="E4" s="89">
        <v>1</v>
      </c>
      <c r="F4" s="89"/>
      <c r="G4" s="89">
        <v>2</v>
      </c>
      <c r="H4" s="128" t="s">
        <v>60</v>
      </c>
      <c r="I4" s="128"/>
      <c r="J4" s="128"/>
    </row>
    <row r="6" spans="2:12" x14ac:dyDescent="0.25">
      <c r="B6" s="128" t="s">
        <v>65</v>
      </c>
      <c r="C6" s="128"/>
      <c r="D6" s="128"/>
      <c r="E6" s="89">
        <v>0</v>
      </c>
      <c r="F6" s="89"/>
      <c r="G6" s="89">
        <v>2</v>
      </c>
      <c r="H6" s="128" t="s">
        <v>56</v>
      </c>
      <c r="I6" s="128"/>
      <c r="J6" s="128"/>
      <c r="L6" t="s">
        <v>249</v>
      </c>
    </row>
    <row r="7" spans="2:12" x14ac:dyDescent="0.25">
      <c r="B7" s="128" t="s">
        <v>63</v>
      </c>
      <c r="C7" s="128"/>
      <c r="D7" s="128"/>
      <c r="E7" s="89">
        <v>2</v>
      </c>
      <c r="F7" s="89"/>
      <c r="G7" s="89">
        <v>0</v>
      </c>
      <c r="H7" s="128" t="s">
        <v>191</v>
      </c>
      <c r="I7" s="128"/>
      <c r="J7" s="128"/>
    </row>
    <row r="8" spans="2:12" x14ac:dyDescent="0.25">
      <c r="B8" s="128" t="s">
        <v>55</v>
      </c>
      <c r="C8" s="128"/>
      <c r="D8" s="128"/>
      <c r="E8" s="89">
        <v>0</v>
      </c>
      <c r="F8" s="89"/>
      <c r="G8" s="89">
        <v>2</v>
      </c>
      <c r="H8" s="128" t="s">
        <v>69</v>
      </c>
      <c r="I8" s="128"/>
      <c r="J8" s="128"/>
    </row>
    <row r="10" spans="2:12" x14ac:dyDescent="0.25">
      <c r="B10" s="128" t="s">
        <v>65</v>
      </c>
      <c r="C10" s="128"/>
      <c r="D10" s="128"/>
      <c r="E10" s="89">
        <v>0</v>
      </c>
      <c r="F10" s="89"/>
      <c r="G10" s="89">
        <v>2</v>
      </c>
      <c r="H10" s="128" t="s">
        <v>56</v>
      </c>
      <c r="I10" s="128"/>
      <c r="J10" s="128"/>
      <c r="L10" t="s">
        <v>248</v>
      </c>
    </row>
    <row r="11" spans="2:12" x14ac:dyDescent="0.25">
      <c r="B11" s="128" t="s">
        <v>56</v>
      </c>
      <c r="C11" s="128"/>
      <c r="D11" s="128"/>
      <c r="E11" s="89">
        <v>1</v>
      </c>
      <c r="F11" s="89"/>
      <c r="G11" s="89">
        <v>1</v>
      </c>
      <c r="H11" s="128" t="s">
        <v>51</v>
      </c>
      <c r="I11" s="128"/>
      <c r="J11" s="128"/>
    </row>
    <row r="12" spans="2:12" x14ac:dyDescent="0.25">
      <c r="B12" s="128" t="s">
        <v>63</v>
      </c>
      <c r="C12" s="128"/>
      <c r="D12" s="128"/>
      <c r="E12" s="89">
        <v>0</v>
      </c>
      <c r="F12" s="89"/>
      <c r="G12" s="89">
        <v>2</v>
      </c>
      <c r="H12" s="128" t="s">
        <v>40</v>
      </c>
      <c r="I12" s="128"/>
      <c r="J12" s="128"/>
    </row>
    <row r="13" spans="2:12" x14ac:dyDescent="0.25">
      <c r="B13" s="128" t="s">
        <v>52</v>
      </c>
      <c r="C13" s="128"/>
      <c r="D13" s="128"/>
      <c r="E13" s="89">
        <v>1</v>
      </c>
      <c r="F13" s="89"/>
      <c r="G13" s="89">
        <v>1</v>
      </c>
      <c r="H13" s="128" t="s">
        <v>38</v>
      </c>
      <c r="I13" s="128"/>
      <c r="J13" s="128"/>
    </row>
    <row r="14" spans="2:12" x14ac:dyDescent="0.25">
      <c r="B14" s="128" t="s">
        <v>55</v>
      </c>
      <c r="C14" s="128"/>
      <c r="D14" s="128"/>
      <c r="E14" s="89">
        <v>0</v>
      </c>
      <c r="F14" s="89"/>
      <c r="G14" s="89">
        <v>2</v>
      </c>
      <c r="H14" s="128" t="s">
        <v>69</v>
      </c>
      <c r="I14" s="128"/>
      <c r="J14" s="128"/>
    </row>
    <row r="16" spans="2:12" x14ac:dyDescent="0.25">
      <c r="B16" s="128" t="s">
        <v>53</v>
      </c>
      <c r="C16" s="128"/>
      <c r="D16" s="128"/>
      <c r="E16" s="89">
        <v>1</v>
      </c>
      <c r="F16" s="89"/>
      <c r="G16" s="89">
        <v>1</v>
      </c>
      <c r="H16" s="128" t="s">
        <v>71</v>
      </c>
      <c r="I16" s="128"/>
      <c r="J16" s="128"/>
      <c r="L16" t="s">
        <v>247</v>
      </c>
    </row>
    <row r="17" spans="2:12" x14ac:dyDescent="0.25">
      <c r="B17" s="128" t="s">
        <v>71</v>
      </c>
      <c r="C17" s="128"/>
      <c r="D17" s="128"/>
      <c r="E17" s="89">
        <v>0</v>
      </c>
      <c r="F17" s="89"/>
      <c r="G17" s="89">
        <v>3</v>
      </c>
      <c r="H17" s="128" t="s">
        <v>57</v>
      </c>
      <c r="I17" s="128"/>
      <c r="J17" s="128"/>
    </row>
    <row r="18" spans="2:12" x14ac:dyDescent="0.25">
      <c r="B18" s="128" t="s">
        <v>63</v>
      </c>
      <c r="C18" s="128"/>
      <c r="D18" s="128"/>
      <c r="E18" s="89">
        <v>2</v>
      </c>
      <c r="F18" s="89"/>
      <c r="G18" s="89">
        <v>0</v>
      </c>
      <c r="H18" s="128" t="s">
        <v>191</v>
      </c>
      <c r="I18" s="128"/>
      <c r="J18" s="128"/>
    </row>
    <row r="20" spans="2:12" x14ac:dyDescent="0.25">
      <c r="B20" s="128" t="s">
        <v>68</v>
      </c>
      <c r="C20" s="128"/>
      <c r="D20" s="128"/>
      <c r="E20" s="89">
        <v>0</v>
      </c>
      <c r="F20" s="89"/>
      <c r="G20" s="89">
        <v>1</v>
      </c>
      <c r="H20" s="128" t="s">
        <v>41</v>
      </c>
      <c r="I20" s="128"/>
      <c r="J20" s="128"/>
      <c r="L20" t="s">
        <v>246</v>
      </c>
    </row>
    <row r="21" spans="2:12" x14ac:dyDescent="0.25">
      <c r="B21" s="128" t="s">
        <v>52</v>
      </c>
      <c r="C21" s="128"/>
      <c r="D21" s="128"/>
      <c r="E21" s="89">
        <v>1</v>
      </c>
      <c r="F21" s="89"/>
      <c r="G21" s="89">
        <v>1</v>
      </c>
      <c r="H21" s="128" t="s">
        <v>38</v>
      </c>
      <c r="I21" s="128"/>
      <c r="J21" s="128"/>
    </row>
    <row r="23" spans="2:12" x14ac:dyDescent="0.25">
      <c r="B23" s="128" t="s">
        <v>38</v>
      </c>
      <c r="C23" s="128"/>
      <c r="D23" s="128"/>
      <c r="E23" s="89">
        <v>1</v>
      </c>
      <c r="F23" s="89"/>
      <c r="G23" s="89">
        <v>2</v>
      </c>
      <c r="H23" s="128" t="s">
        <v>59</v>
      </c>
      <c r="I23" s="128"/>
      <c r="J23" s="128"/>
      <c r="L23" t="s">
        <v>245</v>
      </c>
    </row>
    <row r="24" spans="2:12" x14ac:dyDescent="0.25">
      <c r="B24" s="128" t="s">
        <v>52</v>
      </c>
      <c r="C24" s="128"/>
      <c r="D24" s="128"/>
      <c r="E24" s="89">
        <v>1</v>
      </c>
      <c r="F24" s="89"/>
      <c r="G24" s="89">
        <v>1</v>
      </c>
      <c r="H24" s="128" t="s">
        <v>38</v>
      </c>
      <c r="I24" s="128"/>
      <c r="J24" s="128"/>
    </row>
    <row r="25" spans="2:12" x14ac:dyDescent="0.25">
      <c r="B25" s="128" t="s">
        <v>59</v>
      </c>
      <c r="C25" s="128"/>
      <c r="D25" s="128"/>
      <c r="E25" s="89">
        <v>2</v>
      </c>
      <c r="F25" s="89"/>
      <c r="G25" s="89">
        <v>1</v>
      </c>
      <c r="H25" s="128" t="s">
        <v>52</v>
      </c>
      <c r="I25" s="128"/>
      <c r="J25" s="128"/>
    </row>
    <row r="26" spans="2:12" x14ac:dyDescent="0.25">
      <c r="B26" s="128" t="s">
        <v>42</v>
      </c>
      <c r="C26" s="128"/>
      <c r="D26" s="128"/>
      <c r="E26" s="89">
        <v>1</v>
      </c>
      <c r="F26" s="89"/>
      <c r="G26" s="89">
        <v>0</v>
      </c>
      <c r="H26" s="128" t="s">
        <v>45</v>
      </c>
      <c r="I26" s="128"/>
      <c r="J26" s="128"/>
    </row>
    <row r="28" spans="2:12" x14ac:dyDescent="0.25">
      <c r="B28" s="128" t="s">
        <v>68</v>
      </c>
      <c r="C28" s="128"/>
      <c r="D28" s="128"/>
      <c r="E28" s="89">
        <v>1</v>
      </c>
      <c r="F28" s="89"/>
      <c r="G28" s="89">
        <v>0</v>
      </c>
      <c r="H28" s="128" t="s">
        <v>54</v>
      </c>
      <c r="I28" s="128"/>
      <c r="J28" s="128"/>
      <c r="L28" t="s">
        <v>244</v>
      </c>
    </row>
    <row r="29" spans="2:12" x14ac:dyDescent="0.25">
      <c r="B29" s="128" t="s">
        <v>41</v>
      </c>
      <c r="C29" s="128"/>
      <c r="D29" s="128"/>
      <c r="E29" s="89">
        <v>1</v>
      </c>
      <c r="F29" s="89"/>
      <c r="G29" s="89">
        <v>0</v>
      </c>
      <c r="H29" s="128" t="s">
        <v>50</v>
      </c>
      <c r="I29" s="128"/>
      <c r="J29" s="128"/>
    </row>
    <row r="30" spans="2:12" x14ac:dyDescent="0.25">
      <c r="B30" s="128" t="s">
        <v>42</v>
      </c>
      <c r="C30" s="128"/>
      <c r="D30" s="128"/>
      <c r="E30" s="89">
        <v>1</v>
      </c>
      <c r="F30" s="89"/>
      <c r="G30" s="89">
        <v>0</v>
      </c>
      <c r="H30" s="128" t="s">
        <v>45</v>
      </c>
      <c r="I30" s="128"/>
      <c r="J30" s="128"/>
    </row>
    <row r="31" spans="2:12" x14ac:dyDescent="0.25">
      <c r="B31" s="128" t="s">
        <v>67</v>
      </c>
      <c r="C31" s="128"/>
      <c r="D31" s="128"/>
      <c r="E31" s="89">
        <v>1</v>
      </c>
      <c r="F31" s="89"/>
      <c r="G31" s="89">
        <v>0</v>
      </c>
      <c r="H31" s="128" t="s">
        <v>44</v>
      </c>
      <c r="I31" s="128"/>
      <c r="J31" s="128"/>
    </row>
    <row r="32" spans="2:12" x14ac:dyDescent="0.25">
      <c r="B32" s="128" t="s">
        <v>43</v>
      </c>
      <c r="C32" s="128"/>
      <c r="D32" s="128"/>
      <c r="E32" s="89">
        <v>1</v>
      </c>
      <c r="F32" s="89"/>
      <c r="G32" s="89">
        <v>0</v>
      </c>
      <c r="H32" s="128" t="s">
        <v>67</v>
      </c>
      <c r="I32" s="128"/>
      <c r="J32" s="128"/>
    </row>
    <row r="33" spans="2:12" x14ac:dyDescent="0.25">
      <c r="B33" s="128" t="s">
        <v>44</v>
      </c>
      <c r="C33" s="128"/>
      <c r="D33" s="128"/>
      <c r="E33" s="89">
        <v>1</v>
      </c>
      <c r="F33" s="89"/>
      <c r="G33" s="89">
        <v>0</v>
      </c>
      <c r="H33" s="128" t="s">
        <v>43</v>
      </c>
      <c r="I33" s="128"/>
      <c r="J33" s="128"/>
    </row>
    <row r="35" spans="2:12" x14ac:dyDescent="0.25">
      <c r="B35" s="128" t="s">
        <v>58</v>
      </c>
      <c r="C35" s="128"/>
      <c r="D35" s="128"/>
      <c r="E35" s="89">
        <v>0</v>
      </c>
      <c r="F35" s="89"/>
      <c r="G35" s="89">
        <v>1</v>
      </c>
      <c r="H35" s="128" t="s">
        <v>53</v>
      </c>
      <c r="I35" s="128"/>
      <c r="J35" s="128"/>
      <c r="L35" t="s">
        <v>243</v>
      </c>
    </row>
    <row r="36" spans="2:12" x14ac:dyDescent="0.25">
      <c r="B36" s="128" t="s">
        <v>68</v>
      </c>
      <c r="C36" s="128"/>
      <c r="D36" s="128"/>
      <c r="E36" s="89">
        <v>0</v>
      </c>
      <c r="F36" s="89"/>
      <c r="G36" s="89">
        <v>1</v>
      </c>
      <c r="H36" s="128" t="s">
        <v>41</v>
      </c>
      <c r="I36" s="128"/>
      <c r="J36" s="128"/>
    </row>
    <row r="37" spans="2:12" x14ac:dyDescent="0.25">
      <c r="B37" s="128" t="s">
        <v>59</v>
      </c>
      <c r="C37" s="128"/>
      <c r="D37" s="128"/>
      <c r="E37" s="89">
        <v>0</v>
      </c>
      <c r="F37" s="89"/>
      <c r="G37" s="89">
        <v>1</v>
      </c>
      <c r="H37" s="128" t="s">
        <v>192</v>
      </c>
      <c r="I37" s="128"/>
      <c r="J37" s="128"/>
    </row>
    <row r="39" spans="2:12" x14ac:dyDescent="0.25">
      <c r="B39" s="128" t="s">
        <v>56</v>
      </c>
      <c r="C39" s="128"/>
      <c r="D39" s="128"/>
      <c r="E39" s="89">
        <v>2</v>
      </c>
      <c r="F39" s="89"/>
      <c r="G39" s="89">
        <v>0</v>
      </c>
      <c r="H39" s="128" t="s">
        <v>46</v>
      </c>
      <c r="I39" s="128"/>
      <c r="J39" s="128"/>
      <c r="L39" t="s">
        <v>241</v>
      </c>
    </row>
    <row r="40" spans="2:12" x14ac:dyDescent="0.25">
      <c r="B40" s="128" t="s">
        <v>192</v>
      </c>
      <c r="C40" s="128"/>
      <c r="D40" s="128"/>
      <c r="E40" s="89">
        <v>2</v>
      </c>
      <c r="F40" s="89"/>
      <c r="G40" s="89">
        <v>4</v>
      </c>
      <c r="H40" s="128" t="s">
        <v>38</v>
      </c>
      <c r="I40" s="128"/>
      <c r="J40" s="128"/>
    </row>
    <row r="41" spans="2:12" x14ac:dyDescent="0.25">
      <c r="B41" s="128" t="s">
        <v>69</v>
      </c>
      <c r="C41" s="128"/>
      <c r="D41" s="128"/>
      <c r="E41" s="89">
        <v>0</v>
      </c>
      <c r="F41" s="89"/>
      <c r="G41" s="89">
        <v>0</v>
      </c>
      <c r="H41" s="128" t="s">
        <v>205</v>
      </c>
      <c r="I41" s="128"/>
      <c r="J41" s="128"/>
    </row>
    <row r="43" spans="2:12" x14ac:dyDescent="0.25">
      <c r="B43" s="128" t="s">
        <v>58</v>
      </c>
      <c r="C43" s="128"/>
      <c r="D43" s="128"/>
      <c r="E43" s="89">
        <v>0</v>
      </c>
      <c r="F43" s="89"/>
      <c r="G43" s="89">
        <v>1</v>
      </c>
      <c r="H43" s="128" t="s">
        <v>53</v>
      </c>
      <c r="I43" s="128"/>
      <c r="J43" s="128"/>
      <c r="L43" t="s">
        <v>240</v>
      </c>
    </row>
    <row r="44" spans="2:12" x14ac:dyDescent="0.25">
      <c r="B44" s="128" t="s">
        <v>191</v>
      </c>
      <c r="C44" s="128"/>
      <c r="D44" s="128"/>
      <c r="E44" s="89">
        <v>1</v>
      </c>
      <c r="F44" s="89"/>
      <c r="G44" s="89">
        <v>2</v>
      </c>
      <c r="H44" s="128" t="s">
        <v>61</v>
      </c>
      <c r="I44" s="128"/>
      <c r="J44" s="128"/>
    </row>
    <row r="45" spans="2:12" x14ac:dyDescent="0.25">
      <c r="B45" s="128" t="s">
        <v>68</v>
      </c>
      <c r="C45" s="128"/>
      <c r="D45" s="128"/>
      <c r="E45" s="89">
        <v>0</v>
      </c>
      <c r="F45" s="89"/>
      <c r="G45" s="89">
        <v>1</v>
      </c>
      <c r="H45" s="128" t="s">
        <v>41</v>
      </c>
      <c r="I45" s="128"/>
      <c r="J45" s="128"/>
    </row>
    <row r="46" spans="2:12" x14ac:dyDescent="0.25">
      <c r="B46" s="128" t="s">
        <v>54</v>
      </c>
      <c r="C46" s="128"/>
      <c r="D46" s="128"/>
      <c r="E46" s="89">
        <v>2</v>
      </c>
      <c r="F46" s="89"/>
      <c r="G46" s="89">
        <v>1</v>
      </c>
      <c r="H46" s="128" t="s">
        <v>50</v>
      </c>
      <c r="I46" s="128"/>
      <c r="J46" s="128"/>
    </row>
    <row r="48" spans="2:12" x14ac:dyDescent="0.25">
      <c r="B48" s="128" t="s">
        <v>71</v>
      </c>
      <c r="C48" s="128"/>
      <c r="D48" s="128"/>
      <c r="E48" s="89">
        <v>0</v>
      </c>
      <c r="F48" s="89"/>
      <c r="G48" s="89">
        <v>3</v>
      </c>
      <c r="H48" s="128" t="s">
        <v>57</v>
      </c>
      <c r="I48" s="128"/>
      <c r="J48" s="128"/>
      <c r="L48" t="s">
        <v>239</v>
      </c>
    </row>
    <row r="49" spans="2:12" x14ac:dyDescent="0.25">
      <c r="B49" s="128" t="s">
        <v>191</v>
      </c>
      <c r="C49" s="128"/>
      <c r="D49" s="128"/>
      <c r="E49" s="89">
        <v>1</v>
      </c>
      <c r="F49" s="89"/>
      <c r="G49" s="89">
        <v>2</v>
      </c>
      <c r="H49" s="128" t="s">
        <v>61</v>
      </c>
      <c r="I49" s="128"/>
      <c r="J49" s="128"/>
    </row>
    <row r="50" spans="2:12" x14ac:dyDescent="0.25">
      <c r="B50" s="128" t="s">
        <v>192</v>
      </c>
      <c r="C50" s="128"/>
      <c r="D50" s="128"/>
      <c r="E50" s="89">
        <v>2</v>
      </c>
      <c r="F50" s="89"/>
      <c r="G50" s="89">
        <v>4</v>
      </c>
      <c r="H50" s="128" t="s">
        <v>38</v>
      </c>
      <c r="I50" s="128"/>
      <c r="J50" s="128"/>
    </row>
    <row r="51" spans="2:12" x14ac:dyDescent="0.25">
      <c r="B51" s="128" t="s">
        <v>67</v>
      </c>
      <c r="C51" s="128"/>
      <c r="D51" s="128"/>
      <c r="E51" s="89">
        <v>1</v>
      </c>
      <c r="F51" s="89"/>
      <c r="G51" s="89">
        <v>0</v>
      </c>
      <c r="H51" s="128" t="s">
        <v>44</v>
      </c>
      <c r="I51" s="128"/>
      <c r="J51" s="128"/>
    </row>
    <row r="53" spans="2:12" x14ac:dyDescent="0.25">
      <c r="B53" s="128" t="s">
        <v>46</v>
      </c>
      <c r="C53" s="128"/>
      <c r="D53" s="128"/>
      <c r="E53" s="89">
        <v>0</v>
      </c>
      <c r="F53" s="89"/>
      <c r="G53" s="89">
        <v>2</v>
      </c>
      <c r="H53" s="128" t="s">
        <v>51</v>
      </c>
      <c r="I53" s="128"/>
      <c r="J53" s="128"/>
      <c r="L53" t="s">
        <v>238</v>
      </c>
    </row>
    <row r="54" spans="2:12" x14ac:dyDescent="0.25">
      <c r="B54" s="128" t="s">
        <v>51</v>
      </c>
      <c r="C54" s="128"/>
      <c r="D54" s="128"/>
      <c r="E54" s="89">
        <v>1</v>
      </c>
      <c r="F54" s="89"/>
      <c r="G54" s="89">
        <v>2</v>
      </c>
      <c r="H54" s="128" t="s">
        <v>65</v>
      </c>
      <c r="I54" s="128"/>
      <c r="J54" s="128"/>
    </row>
    <row r="55" spans="2:12" x14ac:dyDescent="0.25">
      <c r="B55" s="128" t="s">
        <v>63</v>
      </c>
      <c r="C55" s="128"/>
      <c r="D55" s="128"/>
      <c r="E55" s="89">
        <v>2</v>
      </c>
      <c r="F55" s="89"/>
      <c r="G55" s="89">
        <v>0</v>
      </c>
      <c r="H55" s="128" t="s">
        <v>191</v>
      </c>
      <c r="I55" s="128"/>
      <c r="J55" s="128"/>
    </row>
    <row r="56" spans="2:12" x14ac:dyDescent="0.25">
      <c r="B56" s="128" t="s">
        <v>54</v>
      </c>
      <c r="C56" s="128"/>
      <c r="D56" s="128"/>
      <c r="E56" s="89">
        <v>2</v>
      </c>
      <c r="F56" s="89"/>
      <c r="G56" s="89">
        <v>1</v>
      </c>
      <c r="H56" s="128" t="s">
        <v>50</v>
      </c>
      <c r="I56" s="128"/>
      <c r="J56" s="128"/>
    </row>
    <row r="57" spans="2:12" x14ac:dyDescent="0.25">
      <c r="B57" s="128" t="s">
        <v>67</v>
      </c>
      <c r="C57" s="128"/>
      <c r="D57" s="128"/>
      <c r="E57" s="89">
        <v>1</v>
      </c>
      <c r="F57" s="89"/>
      <c r="G57" s="89">
        <v>0</v>
      </c>
      <c r="H57" s="128" t="s">
        <v>44</v>
      </c>
      <c r="I57" s="128"/>
      <c r="J57" s="128"/>
    </row>
    <row r="59" spans="2:12" x14ac:dyDescent="0.25">
      <c r="B59" s="128" t="s">
        <v>46</v>
      </c>
      <c r="C59" s="128"/>
      <c r="D59" s="128"/>
      <c r="E59" s="89">
        <v>1</v>
      </c>
      <c r="F59" s="89"/>
      <c r="G59" s="89">
        <v>3</v>
      </c>
      <c r="H59" s="128" t="s">
        <v>65</v>
      </c>
      <c r="I59" s="128"/>
      <c r="J59" s="128"/>
      <c r="L59" t="s">
        <v>237</v>
      </c>
    </row>
    <row r="60" spans="2:12" x14ac:dyDescent="0.25">
      <c r="B60" s="128" t="s">
        <v>56</v>
      </c>
      <c r="C60" s="128"/>
      <c r="D60" s="128"/>
      <c r="E60" s="89">
        <v>2</v>
      </c>
      <c r="F60" s="89"/>
      <c r="G60" s="89">
        <v>0</v>
      </c>
      <c r="H60" s="128" t="s">
        <v>46</v>
      </c>
      <c r="I60" s="128"/>
      <c r="J60" s="128"/>
    </row>
    <row r="61" spans="2:12" x14ac:dyDescent="0.25">
      <c r="B61" s="128" t="s">
        <v>51</v>
      </c>
      <c r="C61" s="128"/>
      <c r="D61" s="128"/>
      <c r="E61" s="89">
        <v>1</v>
      </c>
      <c r="F61" s="89"/>
      <c r="G61" s="89">
        <v>2</v>
      </c>
      <c r="H61" s="128" t="s">
        <v>65</v>
      </c>
      <c r="I61" s="128"/>
      <c r="J61" s="128"/>
    </row>
    <row r="62" spans="2:12" x14ac:dyDescent="0.25">
      <c r="B62" s="128" t="s">
        <v>63</v>
      </c>
      <c r="C62" s="128"/>
      <c r="D62" s="128"/>
      <c r="E62" s="89">
        <v>2</v>
      </c>
      <c r="F62" s="89"/>
      <c r="G62" s="89">
        <v>0</v>
      </c>
      <c r="H62" s="128" t="s">
        <v>191</v>
      </c>
      <c r="I62" s="128"/>
      <c r="J62" s="128"/>
    </row>
    <row r="63" spans="2:12" x14ac:dyDescent="0.25">
      <c r="B63" s="128" t="s">
        <v>67</v>
      </c>
      <c r="C63" s="128"/>
      <c r="D63" s="128"/>
      <c r="E63" s="89">
        <v>1</v>
      </c>
      <c r="F63" s="89"/>
      <c r="G63" s="89">
        <v>0</v>
      </c>
      <c r="H63" s="128" t="s">
        <v>44</v>
      </c>
      <c r="I63" s="128"/>
      <c r="J63" s="128"/>
    </row>
    <row r="64" spans="2:12" x14ac:dyDescent="0.25">
      <c r="B64" s="128" t="s">
        <v>43</v>
      </c>
      <c r="C64" s="128"/>
      <c r="D64" s="128"/>
      <c r="E64" s="89">
        <v>2</v>
      </c>
      <c r="F64" s="89"/>
      <c r="G64" s="89">
        <v>0</v>
      </c>
      <c r="H64" s="128" t="s">
        <v>66</v>
      </c>
      <c r="I64" s="128"/>
      <c r="J64" s="128"/>
    </row>
    <row r="66" spans="2:12" x14ac:dyDescent="0.25">
      <c r="B66" s="128" t="s">
        <v>63</v>
      </c>
      <c r="C66" s="128"/>
      <c r="D66" s="128"/>
      <c r="E66" s="89">
        <v>2</v>
      </c>
      <c r="F66" s="89"/>
      <c r="G66" s="89">
        <v>0</v>
      </c>
      <c r="H66" s="128" t="s">
        <v>191</v>
      </c>
      <c r="I66" s="128"/>
      <c r="J66" s="128"/>
      <c r="L66" t="s">
        <v>236</v>
      </c>
    </row>
    <row r="67" spans="2:12" x14ac:dyDescent="0.25">
      <c r="B67" s="128" t="s">
        <v>40</v>
      </c>
      <c r="C67" s="128"/>
      <c r="D67" s="128"/>
      <c r="E67" s="89">
        <v>2</v>
      </c>
      <c r="F67" s="89"/>
      <c r="G67" s="89">
        <v>0</v>
      </c>
      <c r="H67" s="128" t="s">
        <v>61</v>
      </c>
      <c r="I67" s="128"/>
      <c r="J67" s="128"/>
    </row>
    <row r="68" spans="2:12" x14ac:dyDescent="0.25">
      <c r="B68" s="128" t="s">
        <v>68</v>
      </c>
      <c r="C68" s="128"/>
      <c r="D68" s="128"/>
      <c r="E68" s="89">
        <v>0</v>
      </c>
      <c r="F68" s="89"/>
      <c r="G68" s="89">
        <v>1</v>
      </c>
      <c r="H68" s="128" t="s">
        <v>41</v>
      </c>
      <c r="I68" s="128"/>
      <c r="J68" s="128"/>
    </row>
    <row r="69" spans="2:12" x14ac:dyDescent="0.25">
      <c r="B69" s="128" t="s">
        <v>41</v>
      </c>
      <c r="C69" s="128"/>
      <c r="D69" s="128"/>
      <c r="E69" s="89">
        <v>1</v>
      </c>
      <c r="F69" s="89"/>
      <c r="G69" s="89">
        <v>0</v>
      </c>
      <c r="H69" s="128" t="s">
        <v>50</v>
      </c>
      <c r="I69" s="128"/>
      <c r="J69" s="128"/>
    </row>
    <row r="70" spans="2:12" x14ac:dyDescent="0.25">
      <c r="B70" s="128" t="s">
        <v>42</v>
      </c>
      <c r="C70" s="128"/>
      <c r="D70" s="128"/>
      <c r="E70" s="89">
        <v>1</v>
      </c>
      <c r="F70" s="89"/>
      <c r="G70" s="89">
        <v>0</v>
      </c>
      <c r="H70" s="128" t="s">
        <v>45</v>
      </c>
      <c r="I70" s="128"/>
      <c r="J70" s="128"/>
    </row>
    <row r="71" spans="2:12" x14ac:dyDescent="0.25">
      <c r="B71" s="128" t="s">
        <v>43</v>
      </c>
      <c r="C71" s="128"/>
      <c r="D71" s="128"/>
      <c r="E71" s="89">
        <v>2</v>
      </c>
      <c r="F71" s="89"/>
      <c r="G71" s="89">
        <v>0</v>
      </c>
      <c r="H71" s="128" t="s">
        <v>66</v>
      </c>
      <c r="I71" s="128"/>
      <c r="J71" s="128"/>
    </row>
    <row r="72" spans="2:12" x14ac:dyDescent="0.25">
      <c r="B72" s="128" t="s">
        <v>43</v>
      </c>
      <c r="C72" s="128"/>
      <c r="D72" s="128"/>
      <c r="E72" s="89">
        <v>1</v>
      </c>
      <c r="F72" s="89"/>
      <c r="G72" s="89">
        <v>0</v>
      </c>
      <c r="H72" s="128" t="s">
        <v>67</v>
      </c>
      <c r="I72" s="128"/>
      <c r="J72" s="128"/>
    </row>
    <row r="74" spans="2:12" x14ac:dyDescent="0.25">
      <c r="B74" s="128" t="s">
        <v>57</v>
      </c>
      <c r="C74" s="128"/>
      <c r="D74" s="128"/>
      <c r="E74" s="89">
        <v>0</v>
      </c>
      <c r="F74" s="89"/>
      <c r="G74" s="89">
        <v>0</v>
      </c>
      <c r="H74" s="128" t="s">
        <v>53</v>
      </c>
      <c r="I74" s="128"/>
      <c r="J74" s="128"/>
      <c r="L74" t="s">
        <v>235</v>
      </c>
    </row>
    <row r="75" spans="2:12" x14ac:dyDescent="0.25">
      <c r="B75" s="128" t="s">
        <v>58</v>
      </c>
      <c r="C75" s="128"/>
      <c r="D75" s="128"/>
      <c r="E75" s="89">
        <v>0</v>
      </c>
      <c r="F75" s="89"/>
      <c r="G75" s="89">
        <v>1</v>
      </c>
      <c r="H75" s="128" t="s">
        <v>53</v>
      </c>
      <c r="I75" s="128"/>
      <c r="J75" s="128"/>
    </row>
    <row r="76" spans="2:12" x14ac:dyDescent="0.25">
      <c r="B76" s="128" t="s">
        <v>71</v>
      </c>
      <c r="C76" s="128"/>
      <c r="D76" s="128"/>
      <c r="E76" s="89">
        <v>0</v>
      </c>
      <c r="F76" s="89"/>
      <c r="G76" s="89">
        <v>3</v>
      </c>
      <c r="H76" s="128" t="s">
        <v>57</v>
      </c>
      <c r="I76" s="128"/>
      <c r="J76" s="128"/>
    </row>
    <row r="77" spans="2:12" x14ac:dyDescent="0.25">
      <c r="B77" s="128" t="s">
        <v>50</v>
      </c>
      <c r="C77" s="128"/>
      <c r="D77" s="128"/>
      <c r="E77" s="89">
        <v>0</v>
      </c>
      <c r="F77" s="89"/>
      <c r="G77" s="89">
        <v>0</v>
      </c>
      <c r="H77" s="128" t="s">
        <v>68</v>
      </c>
      <c r="I77" s="128"/>
      <c r="J77" s="128"/>
    </row>
    <row r="79" spans="2:12" x14ac:dyDescent="0.25">
      <c r="B79" s="128" t="s">
        <v>65</v>
      </c>
      <c r="C79" s="128"/>
      <c r="D79" s="128"/>
      <c r="E79" s="89">
        <v>0</v>
      </c>
      <c r="F79" s="89"/>
      <c r="G79" s="89">
        <v>2</v>
      </c>
      <c r="H79" s="128" t="s">
        <v>56</v>
      </c>
      <c r="I79" s="128"/>
      <c r="J79" s="128"/>
      <c r="L79" t="s">
        <v>234</v>
      </c>
    </row>
    <row r="80" spans="2:12" x14ac:dyDescent="0.25">
      <c r="B80" s="128" t="s">
        <v>71</v>
      </c>
      <c r="C80" s="128"/>
      <c r="D80" s="128"/>
      <c r="E80" s="89">
        <v>0</v>
      </c>
      <c r="F80" s="89"/>
      <c r="G80" s="89">
        <v>3</v>
      </c>
      <c r="H80" s="128" t="s">
        <v>57</v>
      </c>
      <c r="I80" s="128"/>
      <c r="J80" s="128"/>
    </row>
    <row r="81" spans="2:12" x14ac:dyDescent="0.25">
      <c r="B81" s="128" t="s">
        <v>54</v>
      </c>
      <c r="C81" s="128"/>
      <c r="D81" s="128"/>
      <c r="E81" s="89">
        <v>2</v>
      </c>
      <c r="F81" s="89"/>
      <c r="G81" s="89">
        <v>1</v>
      </c>
      <c r="H81" s="128" t="s">
        <v>50</v>
      </c>
      <c r="I81" s="128"/>
      <c r="J81" s="128"/>
    </row>
    <row r="82" spans="2:12" x14ac:dyDescent="0.25">
      <c r="B82" s="128" t="s">
        <v>42</v>
      </c>
      <c r="C82" s="128"/>
      <c r="D82" s="128"/>
      <c r="E82" s="89">
        <v>1</v>
      </c>
      <c r="F82" s="89"/>
      <c r="G82" s="89">
        <v>0</v>
      </c>
      <c r="H82" s="128" t="s">
        <v>45</v>
      </c>
      <c r="I82" s="128"/>
      <c r="J82" s="128"/>
    </row>
    <row r="83" spans="2:12" x14ac:dyDescent="0.25">
      <c r="B83" s="128" t="s">
        <v>43</v>
      </c>
      <c r="C83" s="128"/>
      <c r="D83" s="128"/>
      <c r="E83" s="89">
        <v>2</v>
      </c>
      <c r="F83" s="89"/>
      <c r="G83" s="89">
        <v>0</v>
      </c>
      <c r="H83" s="128" t="s">
        <v>66</v>
      </c>
      <c r="I83" s="128"/>
      <c r="J83" s="128"/>
    </row>
    <row r="85" spans="2:12" x14ac:dyDescent="0.25">
      <c r="B85" s="128" t="s">
        <v>56</v>
      </c>
      <c r="C85" s="128"/>
      <c r="D85" s="128"/>
      <c r="E85" s="89">
        <v>2</v>
      </c>
      <c r="F85" s="89"/>
      <c r="G85" s="89">
        <v>0</v>
      </c>
      <c r="H85" s="128" t="s">
        <v>46</v>
      </c>
      <c r="I85" s="128"/>
      <c r="J85" s="128"/>
      <c r="L85" t="s">
        <v>231</v>
      </c>
    </row>
    <row r="86" spans="2:12" x14ac:dyDescent="0.25">
      <c r="B86" s="128" t="s">
        <v>53</v>
      </c>
      <c r="C86" s="128"/>
      <c r="D86" s="128"/>
      <c r="E86" s="89">
        <v>1</v>
      </c>
      <c r="F86" s="89"/>
      <c r="G86" s="89">
        <v>1</v>
      </c>
      <c r="H86" s="128" t="s">
        <v>71</v>
      </c>
      <c r="I86" s="128"/>
      <c r="J86" s="128"/>
    </row>
    <row r="87" spans="2:12" x14ac:dyDescent="0.25">
      <c r="B87" s="128" t="s">
        <v>63</v>
      </c>
      <c r="C87" s="128"/>
      <c r="D87" s="128"/>
      <c r="E87" s="89">
        <v>2</v>
      </c>
      <c r="F87" s="89"/>
      <c r="G87" s="89">
        <v>0</v>
      </c>
      <c r="H87" s="128" t="s">
        <v>191</v>
      </c>
      <c r="I87" s="128"/>
      <c r="J87" s="128"/>
    </row>
    <row r="88" spans="2:12" x14ac:dyDescent="0.25">
      <c r="B88" s="128" t="s">
        <v>191</v>
      </c>
      <c r="C88" s="128"/>
      <c r="D88" s="128"/>
      <c r="E88" s="89">
        <v>1</v>
      </c>
      <c r="F88" s="89"/>
      <c r="G88" s="89">
        <v>2</v>
      </c>
      <c r="H88" s="128" t="s">
        <v>61</v>
      </c>
      <c r="I88" s="128"/>
      <c r="J88" s="128"/>
    </row>
    <row r="89" spans="2:12" x14ac:dyDescent="0.25">
      <c r="B89" s="128" t="s">
        <v>41</v>
      </c>
      <c r="C89" s="128"/>
      <c r="D89" s="128"/>
      <c r="E89" s="89">
        <v>1</v>
      </c>
      <c r="F89" s="89"/>
      <c r="G89" s="89">
        <v>0</v>
      </c>
      <c r="H89" s="128" t="s">
        <v>50</v>
      </c>
      <c r="I89" s="128"/>
      <c r="J89" s="128"/>
    </row>
    <row r="90" spans="2:12" x14ac:dyDescent="0.25">
      <c r="B90" s="128" t="s">
        <v>43</v>
      </c>
      <c r="C90" s="128"/>
      <c r="D90" s="128"/>
      <c r="E90" s="89">
        <v>2</v>
      </c>
      <c r="F90" s="89"/>
      <c r="G90" s="89">
        <v>0</v>
      </c>
      <c r="H90" s="128" t="s">
        <v>66</v>
      </c>
      <c r="I90" s="128"/>
      <c r="J90" s="128"/>
    </row>
    <row r="92" spans="2:12" x14ac:dyDescent="0.25">
      <c r="B92" s="128" t="s">
        <v>53</v>
      </c>
      <c r="C92" s="128"/>
      <c r="D92" s="128"/>
      <c r="E92" s="89">
        <v>1</v>
      </c>
      <c r="F92" s="89"/>
      <c r="G92" s="89">
        <v>1</v>
      </c>
      <c r="H92" s="128" t="s">
        <v>71</v>
      </c>
      <c r="I92" s="128"/>
      <c r="J92" s="128"/>
      <c r="L92" t="s">
        <v>232</v>
      </c>
    </row>
    <row r="93" spans="2:12" x14ac:dyDescent="0.25">
      <c r="B93" s="128" t="s">
        <v>63</v>
      </c>
      <c r="C93" s="128"/>
      <c r="D93" s="128"/>
      <c r="E93" s="89">
        <v>2</v>
      </c>
      <c r="F93" s="89"/>
      <c r="G93" s="89">
        <v>0</v>
      </c>
      <c r="H93" s="128" t="s">
        <v>191</v>
      </c>
      <c r="I93" s="128"/>
      <c r="J93" s="128"/>
    </row>
    <row r="95" spans="2:12" x14ac:dyDescent="0.25">
      <c r="B95" s="128" t="s">
        <v>56</v>
      </c>
      <c r="C95" s="128"/>
      <c r="D95" s="128"/>
      <c r="E95" s="89">
        <v>1</v>
      </c>
      <c r="F95" s="89"/>
      <c r="G95" s="89">
        <v>1</v>
      </c>
      <c r="H95" s="128" t="s">
        <v>51</v>
      </c>
      <c r="I95" s="128"/>
      <c r="J95" s="128"/>
      <c r="L95" t="s">
        <v>229</v>
      </c>
    </row>
    <row r="96" spans="2:12" x14ac:dyDescent="0.25">
      <c r="B96" s="128" t="s">
        <v>56</v>
      </c>
      <c r="C96" s="128"/>
      <c r="D96" s="128"/>
      <c r="E96" s="89">
        <v>2</v>
      </c>
      <c r="F96" s="89"/>
      <c r="G96" s="89">
        <v>0</v>
      </c>
      <c r="H96" s="128" t="s">
        <v>46</v>
      </c>
      <c r="I96" s="128"/>
      <c r="J96" s="128"/>
    </row>
    <row r="98" spans="2:12" x14ac:dyDescent="0.25">
      <c r="B98" s="128" t="s">
        <v>46</v>
      </c>
      <c r="C98" s="128"/>
      <c r="D98" s="128"/>
      <c r="E98" s="89">
        <v>0</v>
      </c>
      <c r="F98" s="89"/>
      <c r="G98" s="89">
        <v>2</v>
      </c>
      <c r="H98" s="128" t="s">
        <v>51</v>
      </c>
      <c r="I98" s="128"/>
      <c r="J98" s="128"/>
      <c r="L98" t="s">
        <v>253</v>
      </c>
    </row>
    <row r="99" spans="2:12" x14ac:dyDescent="0.25">
      <c r="B99" s="128" t="s">
        <v>65</v>
      </c>
      <c r="C99" s="128"/>
      <c r="D99" s="128"/>
      <c r="E99" s="89">
        <v>0</v>
      </c>
      <c r="F99" s="89"/>
      <c r="G99" s="89">
        <v>2</v>
      </c>
      <c r="H99" s="128" t="s">
        <v>56</v>
      </c>
      <c r="I99" s="128"/>
      <c r="J99" s="128"/>
    </row>
    <row r="100" spans="2:12" x14ac:dyDescent="0.25">
      <c r="B100" s="128" t="s">
        <v>56</v>
      </c>
      <c r="C100" s="128"/>
      <c r="D100" s="128"/>
      <c r="E100" s="89">
        <v>1</v>
      </c>
      <c r="F100" s="89"/>
      <c r="G100" s="89">
        <v>1</v>
      </c>
      <c r="H100" s="128" t="s">
        <v>51</v>
      </c>
      <c r="I100" s="128"/>
      <c r="J100" s="128"/>
    </row>
    <row r="101" spans="2:12" x14ac:dyDescent="0.25">
      <c r="B101" s="128" t="s">
        <v>56</v>
      </c>
      <c r="C101" s="128"/>
      <c r="D101" s="128"/>
      <c r="E101" s="89">
        <v>2</v>
      </c>
      <c r="F101" s="89"/>
      <c r="G101" s="89">
        <v>0</v>
      </c>
      <c r="H101" s="128" t="s">
        <v>46</v>
      </c>
      <c r="I101" s="128"/>
      <c r="J101" s="128"/>
    </row>
    <row r="102" spans="2:12" x14ac:dyDescent="0.25">
      <c r="B102" s="128" t="s">
        <v>58</v>
      </c>
      <c r="C102" s="128"/>
      <c r="D102" s="128"/>
      <c r="E102" s="89">
        <v>0</v>
      </c>
      <c r="F102" s="89"/>
      <c r="G102" s="89">
        <v>1</v>
      </c>
      <c r="H102" s="128" t="s">
        <v>53</v>
      </c>
      <c r="I102" s="128"/>
      <c r="J102" s="128"/>
    </row>
    <row r="103" spans="2:12" x14ac:dyDescent="0.25">
      <c r="B103" s="128" t="s">
        <v>71</v>
      </c>
      <c r="C103" s="128"/>
      <c r="D103" s="128"/>
      <c r="E103" s="89">
        <v>0</v>
      </c>
      <c r="F103" s="89"/>
      <c r="G103" s="89">
        <v>3</v>
      </c>
      <c r="H103" s="128" t="s">
        <v>57</v>
      </c>
      <c r="I103" s="128"/>
      <c r="J103" s="128"/>
    </row>
    <row r="104" spans="2:12" x14ac:dyDescent="0.25">
      <c r="B104" s="128" t="s">
        <v>63</v>
      </c>
      <c r="C104" s="128"/>
      <c r="D104" s="128"/>
      <c r="E104" s="89">
        <v>2</v>
      </c>
      <c r="F104" s="89"/>
      <c r="G104" s="89">
        <v>0</v>
      </c>
      <c r="H104" s="128" t="s">
        <v>191</v>
      </c>
      <c r="I104" s="128"/>
      <c r="J104" s="128"/>
    </row>
    <row r="105" spans="2:12" x14ac:dyDescent="0.25">
      <c r="B105" s="128" t="s">
        <v>68</v>
      </c>
      <c r="C105" s="128"/>
      <c r="D105" s="128"/>
      <c r="E105" s="89">
        <v>0</v>
      </c>
      <c r="F105" s="89"/>
      <c r="G105" s="89">
        <v>1</v>
      </c>
      <c r="H105" s="128" t="s">
        <v>41</v>
      </c>
      <c r="I105" s="128"/>
      <c r="J105" s="128"/>
    </row>
    <row r="106" spans="2:12" x14ac:dyDescent="0.25">
      <c r="B106" s="128" t="s">
        <v>59</v>
      </c>
      <c r="C106" s="128"/>
      <c r="D106" s="128"/>
      <c r="E106" s="89">
        <v>0</v>
      </c>
      <c r="F106" s="89"/>
      <c r="G106" s="89">
        <v>1</v>
      </c>
      <c r="H106" s="128" t="s">
        <v>192</v>
      </c>
      <c r="I106" s="128"/>
      <c r="J106" s="128"/>
    </row>
    <row r="107" spans="2:12" x14ac:dyDescent="0.25">
      <c r="B107" s="128" t="s">
        <v>52</v>
      </c>
      <c r="C107" s="128"/>
      <c r="D107" s="128"/>
      <c r="E107" s="89">
        <v>1</v>
      </c>
      <c r="F107" s="89"/>
      <c r="G107" s="89">
        <v>1</v>
      </c>
      <c r="H107" s="128" t="s">
        <v>38</v>
      </c>
      <c r="I107" s="128"/>
      <c r="J107" s="128"/>
    </row>
    <row r="108" spans="2:12" x14ac:dyDescent="0.25">
      <c r="B108" s="128" t="s">
        <v>67</v>
      </c>
      <c r="C108" s="128"/>
      <c r="D108" s="128"/>
      <c r="E108" s="89">
        <v>1</v>
      </c>
      <c r="F108" s="89"/>
      <c r="G108" s="89">
        <v>0</v>
      </c>
      <c r="H108" s="128" t="s">
        <v>44</v>
      </c>
      <c r="I108" s="128"/>
      <c r="J108" s="128"/>
    </row>
    <row r="109" spans="2:12" x14ac:dyDescent="0.25">
      <c r="B109" s="128" t="s">
        <v>43</v>
      </c>
      <c r="C109" s="128"/>
      <c r="D109" s="128"/>
      <c r="E109" s="89">
        <v>2</v>
      </c>
      <c r="F109" s="89"/>
      <c r="G109" s="89">
        <v>0</v>
      </c>
      <c r="H109" s="128" t="s">
        <v>66</v>
      </c>
      <c r="I109" s="128"/>
      <c r="J109" s="128"/>
    </row>
    <row r="111" spans="2:12" x14ac:dyDescent="0.25">
      <c r="B111" s="128" t="s">
        <v>56</v>
      </c>
      <c r="C111" s="128"/>
      <c r="D111" s="128"/>
      <c r="E111" s="89">
        <v>1</v>
      </c>
      <c r="F111" s="89"/>
      <c r="G111" s="89">
        <v>1</v>
      </c>
      <c r="H111" s="128" t="s">
        <v>51</v>
      </c>
      <c r="I111" s="128"/>
      <c r="J111" s="128"/>
      <c r="L111" t="s">
        <v>252</v>
      </c>
    </row>
    <row r="112" spans="2:12" x14ac:dyDescent="0.25">
      <c r="B112" s="128" t="s">
        <v>56</v>
      </c>
      <c r="C112" s="128"/>
      <c r="D112" s="128"/>
      <c r="E112" s="89">
        <v>2</v>
      </c>
      <c r="F112" s="89"/>
      <c r="G112" s="89">
        <v>0</v>
      </c>
      <c r="H112" s="128" t="s">
        <v>46</v>
      </c>
      <c r="I112" s="128"/>
      <c r="J112" s="128"/>
    </row>
    <row r="113" spans="2:12" x14ac:dyDescent="0.25">
      <c r="B113" s="128" t="s">
        <v>71</v>
      </c>
      <c r="C113" s="128"/>
      <c r="D113" s="128"/>
      <c r="E113" s="89">
        <v>0</v>
      </c>
      <c r="F113" s="89"/>
      <c r="G113" s="89">
        <v>3</v>
      </c>
      <c r="H113" s="128" t="s">
        <v>57</v>
      </c>
      <c r="I113" s="128"/>
      <c r="J113" s="128"/>
    </row>
    <row r="114" spans="2:12" x14ac:dyDescent="0.25">
      <c r="B114" s="128" t="s">
        <v>63</v>
      </c>
      <c r="C114" s="128"/>
      <c r="D114" s="128"/>
      <c r="E114" s="89">
        <v>2</v>
      </c>
      <c r="F114" s="89"/>
      <c r="G114" s="89">
        <v>0</v>
      </c>
      <c r="H114" s="128" t="s">
        <v>191</v>
      </c>
      <c r="I114" s="128"/>
      <c r="J114" s="128"/>
    </row>
    <row r="115" spans="2:12" x14ac:dyDescent="0.25">
      <c r="B115" s="128" t="s">
        <v>41</v>
      </c>
      <c r="C115" s="128"/>
      <c r="D115" s="128"/>
      <c r="E115" s="89">
        <v>1</v>
      </c>
      <c r="F115" s="89"/>
      <c r="G115" s="89">
        <v>0</v>
      </c>
      <c r="H115" s="128" t="s">
        <v>50</v>
      </c>
      <c r="I115" s="128"/>
      <c r="J115" s="128"/>
    </row>
    <row r="116" spans="2:12" x14ac:dyDescent="0.25">
      <c r="B116" s="128" t="s">
        <v>43</v>
      </c>
      <c r="C116" s="128"/>
      <c r="D116" s="128"/>
      <c r="E116" s="89">
        <v>2</v>
      </c>
      <c r="F116" s="89"/>
      <c r="G116" s="89">
        <v>0</v>
      </c>
      <c r="H116" s="128" t="s">
        <v>66</v>
      </c>
      <c r="I116" s="128"/>
      <c r="J116" s="128"/>
    </row>
    <row r="118" spans="2:12" x14ac:dyDescent="0.25">
      <c r="B118" s="128" t="s">
        <v>51</v>
      </c>
      <c r="C118" s="128"/>
      <c r="D118" s="128"/>
      <c r="E118" s="89">
        <v>1</v>
      </c>
      <c r="F118" s="89"/>
      <c r="G118" s="89">
        <v>2</v>
      </c>
      <c r="H118" s="128" t="s">
        <v>65</v>
      </c>
      <c r="I118" s="128"/>
      <c r="J118" s="128"/>
      <c r="L118" t="s">
        <v>230</v>
      </c>
    </row>
    <row r="119" spans="2:12" x14ac:dyDescent="0.25">
      <c r="B119" s="128" t="s">
        <v>53</v>
      </c>
      <c r="C119" s="128"/>
      <c r="D119" s="128"/>
      <c r="E119" s="89">
        <v>1</v>
      </c>
      <c r="F119" s="89"/>
      <c r="G119" s="89">
        <v>1</v>
      </c>
      <c r="H119" s="128" t="s">
        <v>71</v>
      </c>
      <c r="I119" s="128"/>
      <c r="J119" s="128"/>
    </row>
    <row r="120" spans="2:12" x14ac:dyDescent="0.25">
      <c r="B120" s="128" t="s">
        <v>40</v>
      </c>
      <c r="C120" s="128"/>
      <c r="D120" s="128"/>
      <c r="E120" s="89">
        <v>2</v>
      </c>
      <c r="F120" s="89"/>
      <c r="G120" s="89">
        <v>0</v>
      </c>
      <c r="H120" s="128" t="s">
        <v>61</v>
      </c>
      <c r="I120" s="128"/>
      <c r="J120" s="128"/>
    </row>
    <row r="121" spans="2:12" x14ac:dyDescent="0.25">
      <c r="B121" s="128" t="s">
        <v>191</v>
      </c>
      <c r="C121" s="128"/>
      <c r="D121" s="128"/>
      <c r="E121" s="89">
        <v>1</v>
      </c>
      <c r="F121" s="89"/>
      <c r="G121" s="89">
        <v>2</v>
      </c>
      <c r="H121" s="128" t="s">
        <v>61</v>
      </c>
      <c r="I121" s="128"/>
      <c r="J121" s="128"/>
    </row>
    <row r="122" spans="2:12" x14ac:dyDescent="0.25">
      <c r="B122" s="128" t="s">
        <v>52</v>
      </c>
      <c r="C122" s="128"/>
      <c r="D122" s="128"/>
      <c r="E122" s="89">
        <v>1</v>
      </c>
      <c r="F122" s="89"/>
      <c r="G122" s="89">
        <v>1</v>
      </c>
      <c r="H122" s="128" t="s">
        <v>38</v>
      </c>
      <c r="I122" s="128"/>
      <c r="J122" s="128"/>
    </row>
    <row r="123" spans="2:12" x14ac:dyDescent="0.25">
      <c r="B123" s="128" t="s">
        <v>45</v>
      </c>
      <c r="C123" s="128"/>
      <c r="D123" s="128"/>
      <c r="E123" s="89">
        <v>1</v>
      </c>
      <c r="F123" s="89"/>
      <c r="G123" s="89">
        <v>2</v>
      </c>
      <c r="H123" s="128" t="s">
        <v>60</v>
      </c>
      <c r="I123" s="128"/>
      <c r="J123" s="128"/>
    </row>
    <row r="124" spans="2:12" x14ac:dyDescent="0.25">
      <c r="B124" s="128" t="s">
        <v>43</v>
      </c>
      <c r="C124" s="128"/>
      <c r="D124" s="128"/>
      <c r="E124" s="89">
        <v>2</v>
      </c>
      <c r="F124" s="89"/>
      <c r="G124" s="89">
        <v>0</v>
      </c>
      <c r="H124" s="128" t="s">
        <v>66</v>
      </c>
      <c r="I124" s="128"/>
      <c r="J124" s="128"/>
    </row>
  </sheetData>
  <mergeCells count="204">
    <mergeCell ref="B114:D114"/>
    <mergeCell ref="H114:J114"/>
    <mergeCell ref="B113:D113"/>
    <mergeCell ref="H113:J113"/>
    <mergeCell ref="B115:D115"/>
    <mergeCell ref="H115:J115"/>
    <mergeCell ref="B122:D122"/>
    <mergeCell ref="H122:J122"/>
    <mergeCell ref="B123:D123"/>
    <mergeCell ref="H123:J123"/>
    <mergeCell ref="B124:D124"/>
    <mergeCell ref="H124:J124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16:D116"/>
    <mergeCell ref="H116:J116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11:D111"/>
    <mergeCell ref="H111:J111"/>
    <mergeCell ref="B112:D112"/>
    <mergeCell ref="H112:J112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95:D95"/>
    <mergeCell ref="H95:J95"/>
    <mergeCell ref="B96:D96"/>
    <mergeCell ref="H96:J96"/>
    <mergeCell ref="B92:D92"/>
    <mergeCell ref="H92:J92"/>
    <mergeCell ref="B93:D93"/>
    <mergeCell ref="H93:J93"/>
    <mergeCell ref="B85:D85"/>
    <mergeCell ref="H85:J85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79:D79"/>
    <mergeCell ref="H79:J79"/>
    <mergeCell ref="B80:D80"/>
    <mergeCell ref="H80:J80"/>
    <mergeCell ref="B81:D81"/>
    <mergeCell ref="H81:J81"/>
    <mergeCell ref="B82:D82"/>
    <mergeCell ref="H82:J82"/>
    <mergeCell ref="B83:D83"/>
    <mergeCell ref="H83:J83"/>
    <mergeCell ref="B74:D74"/>
    <mergeCell ref="H74:J74"/>
    <mergeCell ref="B75:D75"/>
    <mergeCell ref="H75:J75"/>
    <mergeCell ref="B76:D76"/>
    <mergeCell ref="H76:J76"/>
    <mergeCell ref="B77:D77"/>
    <mergeCell ref="H77:J77"/>
    <mergeCell ref="B66:D66"/>
    <mergeCell ref="H66:J66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64:D64"/>
    <mergeCell ref="H64:J64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48:D48"/>
    <mergeCell ref="H48:J48"/>
    <mergeCell ref="B49:D49"/>
    <mergeCell ref="H49:J49"/>
    <mergeCell ref="B50:D50"/>
    <mergeCell ref="H50:J50"/>
    <mergeCell ref="B51:D51"/>
    <mergeCell ref="H51:J51"/>
    <mergeCell ref="B43:D43"/>
    <mergeCell ref="H43:J43"/>
    <mergeCell ref="B44:D44"/>
    <mergeCell ref="H44:J44"/>
    <mergeCell ref="B45:D45"/>
    <mergeCell ref="H45:J45"/>
    <mergeCell ref="B46:D46"/>
    <mergeCell ref="H46:J46"/>
    <mergeCell ref="B39:D39"/>
    <mergeCell ref="H39:J39"/>
    <mergeCell ref="B40:D40"/>
    <mergeCell ref="H40:J40"/>
    <mergeCell ref="B41:D41"/>
    <mergeCell ref="H41:J41"/>
    <mergeCell ref="B35:D35"/>
    <mergeCell ref="H35:J35"/>
    <mergeCell ref="B36:D36"/>
    <mergeCell ref="H36:J36"/>
    <mergeCell ref="B37:D37"/>
    <mergeCell ref="H37:J37"/>
    <mergeCell ref="B33:D33"/>
    <mergeCell ref="H33:J33"/>
    <mergeCell ref="B23:D23"/>
    <mergeCell ref="H23:J23"/>
    <mergeCell ref="B24:D24"/>
    <mergeCell ref="H24:J24"/>
    <mergeCell ref="B25:D25"/>
    <mergeCell ref="H25:J25"/>
    <mergeCell ref="B26:D26"/>
    <mergeCell ref="H26:J26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20:D20"/>
    <mergeCell ref="H20:J20"/>
    <mergeCell ref="B21:D21"/>
    <mergeCell ref="H21:J21"/>
    <mergeCell ref="B16:D16"/>
    <mergeCell ref="H16:J16"/>
    <mergeCell ref="B17:D17"/>
    <mergeCell ref="H17:J17"/>
    <mergeCell ref="B18:D18"/>
    <mergeCell ref="H18:J18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4:D4"/>
    <mergeCell ref="H4:J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4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31" t="s">
        <v>251</v>
      </c>
      <c r="C1" s="132"/>
      <c r="D1" s="132"/>
      <c r="E1" s="132"/>
      <c r="F1" s="132"/>
      <c r="G1" s="132"/>
      <c r="H1" s="132"/>
      <c r="I1" s="133"/>
      <c r="M1" s="129"/>
      <c r="N1" s="129"/>
      <c r="O1" s="129"/>
      <c r="P1" s="130"/>
      <c r="Q1" s="130"/>
      <c r="R1" s="130"/>
      <c r="S1" s="129"/>
      <c r="T1" s="129"/>
      <c r="U1" s="129"/>
      <c r="V1" s="130"/>
      <c r="W1" s="130"/>
      <c r="X1" s="130"/>
    </row>
    <row r="2" spans="2:24" s="54" customFormat="1" ht="39" customHeight="1" x14ac:dyDescent="0.25">
      <c r="B2" s="53"/>
      <c r="C2" s="80" t="s">
        <v>279</v>
      </c>
      <c r="D2" s="79" t="s">
        <v>184</v>
      </c>
      <c r="E2" s="81" t="s">
        <v>280</v>
      </c>
      <c r="F2" s="79" t="s">
        <v>283</v>
      </c>
      <c r="G2" s="81" t="s">
        <v>281</v>
      </c>
      <c r="H2" s="79" t="s">
        <v>284</v>
      </c>
      <c r="I2" s="82" t="s">
        <v>282</v>
      </c>
      <c r="Q2" s="65"/>
      <c r="R2" s="65"/>
      <c r="S2" s="65"/>
      <c r="T2" s="65"/>
      <c r="U2" s="65"/>
    </row>
    <row r="3" spans="2:24" x14ac:dyDescent="0.25">
      <c r="B3" s="67" t="s">
        <v>256</v>
      </c>
      <c r="C3" s="68" t="str">
        <f t="shared" ref="C3:C25" si="0">K3</f>
        <v>Bruno Flores</v>
      </c>
      <c r="D3" s="68">
        <f>VLOOKUP(C3,O$3:U$25,2,0)</f>
        <v>515</v>
      </c>
      <c r="E3" s="68">
        <f>VLOOKUP(C3,O$3:U$25,3,0)</f>
        <v>12</v>
      </c>
      <c r="F3" s="68">
        <f>VLOOKUP(C3,O$3:U$25,4,0)</f>
        <v>4</v>
      </c>
      <c r="G3" s="68">
        <f>VLOOKUP(C3,O$3:U$25,5,0)</f>
        <v>12</v>
      </c>
      <c r="H3" s="68">
        <f>VLOOKUP(C3,O$3:U$25,6,0)</f>
        <v>7</v>
      </c>
      <c r="I3" s="69">
        <f>VLOOKUP(C3,O$3:U$25,7,0)</f>
        <v>13</v>
      </c>
      <c r="K3" s="58" t="s">
        <v>253</v>
      </c>
      <c r="L3" s="58">
        <f>'Bruno Flores'!Q$11</f>
        <v>515</v>
      </c>
      <c r="M3" s="58"/>
      <c r="N3" s="58"/>
      <c r="O3" s="59" t="s">
        <v>230</v>
      </c>
      <c r="P3" s="55">
        <f>Macélio!Q$11</f>
        <v>455</v>
      </c>
      <c r="Q3" s="44">
        <v>7</v>
      </c>
      <c r="R3" s="44">
        <v>7</v>
      </c>
      <c r="S3" s="44">
        <v>12</v>
      </c>
      <c r="T3" s="44">
        <v>11</v>
      </c>
      <c r="U3" s="44">
        <v>11</v>
      </c>
      <c r="V3" s="60"/>
    </row>
    <row r="4" spans="2:24" x14ac:dyDescent="0.25">
      <c r="B4" s="70" t="s">
        <v>257</v>
      </c>
      <c r="C4" s="71" t="str">
        <f t="shared" si="0"/>
        <v>Ivan Alex_1</v>
      </c>
      <c r="D4" s="71">
        <f t="shared" ref="D4:D25" si="1">VLOOKUP(C4,O$3:U$25,2,0)</f>
        <v>465</v>
      </c>
      <c r="E4" s="71">
        <f t="shared" ref="E4:E25" si="2">VLOOKUP(C4,O$3:U$25,3,0)</f>
        <v>6</v>
      </c>
      <c r="F4" s="71">
        <f t="shared" ref="F4:F25" si="3">VLOOKUP(C4,O$3:U$25,4,0)</f>
        <v>10</v>
      </c>
      <c r="G4" s="71">
        <f t="shared" ref="G4:G25" si="4">VLOOKUP(C4,O$3:U$25,5,0)</f>
        <v>12</v>
      </c>
      <c r="H4" s="71">
        <f t="shared" ref="H4:H25" si="5">VLOOKUP(C4,O$3:U$25,6,0)</f>
        <v>9</v>
      </c>
      <c r="I4" s="72">
        <f t="shared" ref="I4:I25" si="6">VLOOKUP(C4,O$3:U$25,7,0)</f>
        <v>11</v>
      </c>
      <c r="K4" s="58" t="s">
        <v>252</v>
      </c>
      <c r="L4" s="58">
        <f>'Ivan Alex_1'!Q$11</f>
        <v>465</v>
      </c>
      <c r="M4" s="58"/>
      <c r="N4" s="58"/>
      <c r="O4" s="59" t="s">
        <v>252</v>
      </c>
      <c r="P4" s="55">
        <f>'Ivan Alex_1'!Q$11</f>
        <v>465</v>
      </c>
      <c r="Q4" s="66">
        <v>6</v>
      </c>
      <c r="R4" s="66">
        <v>10</v>
      </c>
      <c r="S4" s="66">
        <v>12</v>
      </c>
      <c r="T4" s="66">
        <v>9</v>
      </c>
      <c r="U4" s="66">
        <v>11</v>
      </c>
      <c r="V4" s="60"/>
    </row>
    <row r="5" spans="2:24" x14ac:dyDescent="0.25">
      <c r="B5" s="73" t="s">
        <v>258</v>
      </c>
      <c r="C5" s="74" t="str">
        <f t="shared" si="0"/>
        <v>Macélio</v>
      </c>
      <c r="D5" s="74">
        <f t="shared" si="1"/>
        <v>455</v>
      </c>
      <c r="E5" s="74">
        <f t="shared" si="2"/>
        <v>7</v>
      </c>
      <c r="F5" s="74">
        <f t="shared" si="3"/>
        <v>7</v>
      </c>
      <c r="G5" s="74">
        <f t="shared" si="4"/>
        <v>12</v>
      </c>
      <c r="H5" s="74">
        <f t="shared" si="5"/>
        <v>11</v>
      </c>
      <c r="I5" s="75">
        <f t="shared" si="6"/>
        <v>11</v>
      </c>
      <c r="K5" s="58" t="s">
        <v>230</v>
      </c>
      <c r="L5" s="58">
        <f>Macélio!Q$11</f>
        <v>455</v>
      </c>
      <c r="M5" s="58"/>
      <c r="N5" s="58"/>
      <c r="O5" s="59" t="s">
        <v>253</v>
      </c>
      <c r="P5" s="55">
        <f>'Bruno Flores'!Q$11</f>
        <v>515</v>
      </c>
      <c r="Q5" s="44">
        <v>12</v>
      </c>
      <c r="R5" s="44">
        <v>4</v>
      </c>
      <c r="S5" s="44">
        <v>12</v>
      </c>
      <c r="T5" s="44">
        <v>7</v>
      </c>
      <c r="U5" s="44">
        <v>13</v>
      </c>
      <c r="V5" s="60"/>
    </row>
    <row r="6" spans="2:24" x14ac:dyDescent="0.25">
      <c r="B6" s="86" t="s">
        <v>259</v>
      </c>
      <c r="C6" s="87" t="str">
        <f t="shared" si="0"/>
        <v>Luana</v>
      </c>
      <c r="D6" s="87">
        <f t="shared" si="1"/>
        <v>435</v>
      </c>
      <c r="E6" s="87">
        <f t="shared" si="2"/>
        <v>7</v>
      </c>
      <c r="F6" s="87">
        <f t="shared" si="3"/>
        <v>8</v>
      </c>
      <c r="G6" s="87">
        <f t="shared" si="4"/>
        <v>9</v>
      </c>
      <c r="H6" s="87">
        <f t="shared" si="5"/>
        <v>10</v>
      </c>
      <c r="I6" s="88">
        <f t="shared" si="6"/>
        <v>14</v>
      </c>
      <c r="K6" s="58" t="s">
        <v>236</v>
      </c>
      <c r="L6" s="58">
        <f>Luana!Q$11</f>
        <v>435</v>
      </c>
      <c r="M6" s="58"/>
      <c r="N6" s="58"/>
      <c r="O6" s="59" t="s">
        <v>229</v>
      </c>
      <c r="P6" s="55">
        <f>'Ivan Alex_2'!Q$11</f>
        <v>375</v>
      </c>
      <c r="Q6" s="44">
        <v>2</v>
      </c>
      <c r="R6" s="44">
        <v>9</v>
      </c>
      <c r="S6" s="44">
        <v>14</v>
      </c>
      <c r="T6" s="44">
        <v>10</v>
      </c>
      <c r="U6" s="44">
        <v>13</v>
      </c>
      <c r="V6" s="60"/>
    </row>
    <row r="7" spans="2:24" x14ac:dyDescent="0.25">
      <c r="B7" s="86" t="s">
        <v>260</v>
      </c>
      <c r="C7" s="87" t="str">
        <f t="shared" si="0"/>
        <v>Jean</v>
      </c>
      <c r="D7" s="87">
        <f t="shared" si="1"/>
        <v>425</v>
      </c>
      <c r="E7" s="87">
        <f t="shared" si="2"/>
        <v>4</v>
      </c>
      <c r="F7" s="87">
        <f t="shared" si="3"/>
        <v>11</v>
      </c>
      <c r="G7" s="87">
        <f t="shared" si="4"/>
        <v>11</v>
      </c>
      <c r="H7" s="87">
        <f t="shared" si="5"/>
        <v>10</v>
      </c>
      <c r="I7" s="88">
        <f t="shared" si="6"/>
        <v>11</v>
      </c>
      <c r="K7" s="58" t="s">
        <v>239</v>
      </c>
      <c r="L7" s="58">
        <f>Jean!Q$11</f>
        <v>425</v>
      </c>
      <c r="M7" s="58"/>
      <c r="N7" s="58"/>
      <c r="O7" s="59" t="s">
        <v>232</v>
      </c>
      <c r="P7" s="55">
        <f>Gabriel!Q$11</f>
        <v>345</v>
      </c>
      <c r="Q7" s="44">
        <v>2</v>
      </c>
      <c r="R7" s="44">
        <v>8</v>
      </c>
      <c r="S7" s="44">
        <v>12</v>
      </c>
      <c r="T7" s="44">
        <v>11</v>
      </c>
      <c r="U7" s="44">
        <v>14</v>
      </c>
      <c r="V7" s="60"/>
    </row>
    <row r="8" spans="2:24" x14ac:dyDescent="0.25">
      <c r="B8" s="86" t="s">
        <v>261</v>
      </c>
      <c r="C8" s="87" t="str">
        <f t="shared" si="0"/>
        <v>Alex</v>
      </c>
      <c r="D8" s="87">
        <f t="shared" si="1"/>
        <v>420</v>
      </c>
      <c r="E8" s="87">
        <f t="shared" si="2"/>
        <v>5</v>
      </c>
      <c r="F8" s="87">
        <f t="shared" si="3"/>
        <v>10</v>
      </c>
      <c r="G8" s="87">
        <f t="shared" si="4"/>
        <v>10</v>
      </c>
      <c r="H8" s="87">
        <f t="shared" si="5"/>
        <v>9</v>
      </c>
      <c r="I8" s="88">
        <f t="shared" si="6"/>
        <v>14</v>
      </c>
      <c r="K8" s="58" t="s">
        <v>238</v>
      </c>
      <c r="L8" s="58">
        <f>Alex!Q$11</f>
        <v>420</v>
      </c>
      <c r="M8" s="58"/>
      <c r="N8" s="58"/>
      <c r="O8" s="59" t="s">
        <v>231</v>
      </c>
      <c r="P8" s="55">
        <f>Luis!Q$11</f>
        <v>345</v>
      </c>
      <c r="Q8" s="44">
        <v>6</v>
      </c>
      <c r="R8" s="44">
        <v>4</v>
      </c>
      <c r="S8" s="44">
        <v>9</v>
      </c>
      <c r="T8" s="44">
        <v>9</v>
      </c>
      <c r="U8" s="44">
        <v>19</v>
      </c>
      <c r="V8" s="60"/>
    </row>
    <row r="9" spans="2:24" x14ac:dyDescent="0.25">
      <c r="B9" s="86" t="s">
        <v>262</v>
      </c>
      <c r="C9" s="87" t="str">
        <f t="shared" si="0"/>
        <v>Mácio</v>
      </c>
      <c r="D9" s="87">
        <f t="shared" si="1"/>
        <v>400</v>
      </c>
      <c r="E9" s="87">
        <f t="shared" si="2"/>
        <v>6</v>
      </c>
      <c r="F9" s="87">
        <f t="shared" si="3"/>
        <v>9</v>
      </c>
      <c r="G9" s="87">
        <f t="shared" si="4"/>
        <v>8</v>
      </c>
      <c r="H9" s="87">
        <f t="shared" si="5"/>
        <v>7</v>
      </c>
      <c r="I9" s="88">
        <f t="shared" si="6"/>
        <v>18</v>
      </c>
      <c r="K9" s="58" t="s">
        <v>237</v>
      </c>
      <c r="L9" s="58">
        <f>Mácio!Q$11</f>
        <v>400</v>
      </c>
      <c r="M9" s="58"/>
      <c r="N9" s="58"/>
      <c r="O9" s="59" t="s">
        <v>234</v>
      </c>
      <c r="P9" s="55">
        <f>Juninho_1!Q$11</f>
        <v>390</v>
      </c>
      <c r="Q9" s="44">
        <v>5</v>
      </c>
      <c r="R9" s="44">
        <v>6</v>
      </c>
      <c r="S9" s="44">
        <v>11</v>
      </c>
      <c r="T9" s="44">
        <v>13</v>
      </c>
      <c r="U9" s="44">
        <v>13</v>
      </c>
      <c r="V9" s="60"/>
    </row>
    <row r="10" spans="2:24" x14ac:dyDescent="0.25">
      <c r="B10" s="57" t="s">
        <v>263</v>
      </c>
      <c r="C10" s="49" t="str">
        <f t="shared" si="0"/>
        <v>Joseir_2</v>
      </c>
      <c r="D10" s="49">
        <f t="shared" si="1"/>
        <v>400</v>
      </c>
      <c r="E10" s="49">
        <f t="shared" si="2"/>
        <v>6</v>
      </c>
      <c r="F10" s="49">
        <f t="shared" si="3"/>
        <v>7</v>
      </c>
      <c r="G10" s="49">
        <f t="shared" si="4"/>
        <v>7</v>
      </c>
      <c r="H10" s="49">
        <f t="shared" si="5"/>
        <v>15</v>
      </c>
      <c r="I10" s="50">
        <f t="shared" si="6"/>
        <v>12</v>
      </c>
      <c r="J10" s="58"/>
      <c r="K10" s="58" t="s">
        <v>244</v>
      </c>
      <c r="L10" s="58">
        <f>Joseir_2!Q$11</f>
        <v>400</v>
      </c>
      <c r="M10" s="58"/>
      <c r="N10" s="58"/>
      <c r="O10" s="59" t="s">
        <v>235</v>
      </c>
      <c r="P10" s="55">
        <f>Juninho_2!Q$11</f>
        <v>380</v>
      </c>
      <c r="Q10" s="44">
        <v>4</v>
      </c>
      <c r="R10" s="44">
        <v>11</v>
      </c>
      <c r="S10" s="44">
        <v>6</v>
      </c>
      <c r="T10" s="44">
        <v>11</v>
      </c>
      <c r="U10" s="44">
        <v>16</v>
      </c>
      <c r="V10" s="60"/>
    </row>
    <row r="11" spans="2:24" x14ac:dyDescent="0.25">
      <c r="B11" s="57" t="s">
        <v>264</v>
      </c>
      <c r="C11" s="49" t="str">
        <f t="shared" si="0"/>
        <v>Robert</v>
      </c>
      <c r="D11" s="49">
        <f t="shared" si="1"/>
        <v>395</v>
      </c>
      <c r="E11" s="49">
        <f t="shared" si="2"/>
        <v>4</v>
      </c>
      <c r="F11" s="49">
        <f t="shared" si="3"/>
        <v>10</v>
      </c>
      <c r="G11" s="49">
        <f t="shared" si="4"/>
        <v>9</v>
      </c>
      <c r="H11" s="49">
        <f t="shared" si="5"/>
        <v>11</v>
      </c>
      <c r="I11" s="50">
        <f t="shared" si="6"/>
        <v>13</v>
      </c>
      <c r="K11" s="58" t="s">
        <v>240</v>
      </c>
      <c r="L11" s="58">
        <f>Robert!Q$11</f>
        <v>395</v>
      </c>
      <c r="M11" s="58"/>
      <c r="N11" s="58"/>
      <c r="O11" s="59" t="s">
        <v>236</v>
      </c>
      <c r="P11" s="55">
        <f>Luana!Q$11</f>
        <v>435</v>
      </c>
      <c r="Q11" s="44">
        <v>7</v>
      </c>
      <c r="R11" s="44">
        <v>8</v>
      </c>
      <c r="S11" s="44">
        <v>9</v>
      </c>
      <c r="T11" s="44">
        <v>10</v>
      </c>
      <c r="U11" s="44">
        <v>14</v>
      </c>
      <c r="V11" s="60"/>
    </row>
    <row r="12" spans="2:24" x14ac:dyDescent="0.25">
      <c r="B12" s="57" t="s">
        <v>265</v>
      </c>
      <c r="C12" s="49" t="str">
        <f t="shared" si="0"/>
        <v>Talita</v>
      </c>
      <c r="D12" s="49">
        <f t="shared" si="1"/>
        <v>395</v>
      </c>
      <c r="E12" s="49">
        <f t="shared" si="2"/>
        <v>5</v>
      </c>
      <c r="F12" s="49">
        <f t="shared" si="3"/>
        <v>8</v>
      </c>
      <c r="G12" s="49">
        <f t="shared" si="4"/>
        <v>8</v>
      </c>
      <c r="H12" s="49">
        <f t="shared" si="5"/>
        <v>14</v>
      </c>
      <c r="I12" s="50">
        <f t="shared" si="6"/>
        <v>12</v>
      </c>
      <c r="K12" s="58" t="s">
        <v>248</v>
      </c>
      <c r="L12" s="58">
        <f>Talita!Q$11</f>
        <v>395</v>
      </c>
      <c r="M12" s="58"/>
      <c r="N12" s="58"/>
      <c r="O12" s="59" t="s">
        <v>237</v>
      </c>
      <c r="P12" s="55">
        <f>Mácio!Q$11</f>
        <v>400</v>
      </c>
      <c r="Q12" s="44">
        <v>6</v>
      </c>
      <c r="R12" s="44">
        <v>9</v>
      </c>
      <c r="S12" s="44">
        <v>8</v>
      </c>
      <c r="T12" s="44">
        <v>7</v>
      </c>
      <c r="U12" s="44">
        <v>18</v>
      </c>
      <c r="V12" s="60"/>
    </row>
    <row r="13" spans="2:24" x14ac:dyDescent="0.25">
      <c r="B13" s="57" t="s">
        <v>266</v>
      </c>
      <c r="C13" s="49" t="str">
        <f t="shared" si="0"/>
        <v>Juninho_1</v>
      </c>
      <c r="D13" s="49">
        <f t="shared" si="1"/>
        <v>390</v>
      </c>
      <c r="E13" s="49">
        <f t="shared" si="2"/>
        <v>5</v>
      </c>
      <c r="F13" s="49">
        <f t="shared" si="3"/>
        <v>6</v>
      </c>
      <c r="G13" s="49">
        <f t="shared" si="4"/>
        <v>11</v>
      </c>
      <c r="H13" s="49">
        <f t="shared" si="5"/>
        <v>13</v>
      </c>
      <c r="I13" s="50">
        <f t="shared" si="6"/>
        <v>13</v>
      </c>
      <c r="K13" s="58" t="s">
        <v>234</v>
      </c>
      <c r="L13" s="58">
        <f>Juninho_1!Q$11</f>
        <v>390</v>
      </c>
      <c r="M13" s="58"/>
      <c r="N13" s="58"/>
      <c r="O13" s="59" t="s">
        <v>238</v>
      </c>
      <c r="P13" s="55">
        <f>Alex!Q$11</f>
        <v>420</v>
      </c>
      <c r="Q13" s="44">
        <v>5</v>
      </c>
      <c r="R13" s="44">
        <v>10</v>
      </c>
      <c r="S13" s="44">
        <v>10</v>
      </c>
      <c r="T13" s="44">
        <v>9</v>
      </c>
      <c r="U13" s="44">
        <v>14</v>
      </c>
      <c r="V13" s="60"/>
    </row>
    <row r="14" spans="2:24" x14ac:dyDescent="0.25">
      <c r="B14" s="57" t="s">
        <v>267</v>
      </c>
      <c r="C14" s="49" t="str">
        <f t="shared" si="0"/>
        <v>Roberto</v>
      </c>
      <c r="D14" s="49">
        <f t="shared" si="1"/>
        <v>390</v>
      </c>
      <c r="E14" s="49">
        <f t="shared" si="2"/>
        <v>3</v>
      </c>
      <c r="F14" s="49">
        <f t="shared" si="3"/>
        <v>11</v>
      </c>
      <c r="G14" s="49">
        <f t="shared" si="4"/>
        <v>8</v>
      </c>
      <c r="H14" s="49">
        <f t="shared" si="5"/>
        <v>14</v>
      </c>
      <c r="I14" s="50">
        <f t="shared" si="6"/>
        <v>11</v>
      </c>
      <c r="K14" s="58" t="s">
        <v>241</v>
      </c>
      <c r="L14" s="58">
        <f>Roberto!Q$11</f>
        <v>390</v>
      </c>
      <c r="M14" s="58"/>
      <c r="N14" s="58"/>
      <c r="O14" s="59" t="s">
        <v>239</v>
      </c>
      <c r="P14" s="55">
        <f>Jean!Q$11</f>
        <v>425</v>
      </c>
      <c r="Q14" s="44">
        <v>4</v>
      </c>
      <c r="R14" s="44">
        <v>11</v>
      </c>
      <c r="S14" s="44">
        <v>11</v>
      </c>
      <c r="T14" s="44">
        <v>10</v>
      </c>
      <c r="U14" s="44">
        <v>11</v>
      </c>
      <c r="V14" s="60"/>
    </row>
    <row r="15" spans="2:24" x14ac:dyDescent="0.25">
      <c r="B15" s="57" t="s">
        <v>268</v>
      </c>
      <c r="C15" s="49" t="str">
        <f t="shared" si="0"/>
        <v>Cléofaz</v>
      </c>
      <c r="D15" s="49">
        <f t="shared" si="1"/>
        <v>390</v>
      </c>
      <c r="E15" s="49">
        <f t="shared" si="2"/>
        <v>3</v>
      </c>
      <c r="F15" s="49">
        <f t="shared" si="3"/>
        <v>8</v>
      </c>
      <c r="G15" s="49">
        <f t="shared" si="4"/>
        <v>17</v>
      </c>
      <c r="H15" s="49">
        <f t="shared" si="5"/>
        <v>5</v>
      </c>
      <c r="I15" s="50">
        <f t="shared" si="6"/>
        <v>13</v>
      </c>
      <c r="K15" s="58" t="s">
        <v>250</v>
      </c>
      <c r="L15" s="58">
        <f>Cléofaz!Q$11</f>
        <v>390</v>
      </c>
      <c r="M15" s="58"/>
      <c r="N15" s="58"/>
      <c r="O15" s="59" t="s">
        <v>240</v>
      </c>
      <c r="P15" s="55">
        <f>Robert!Q$11</f>
        <v>395</v>
      </c>
      <c r="Q15" s="44">
        <v>4</v>
      </c>
      <c r="R15" s="44">
        <v>10</v>
      </c>
      <c r="S15" s="44">
        <v>9</v>
      </c>
      <c r="T15" s="44">
        <v>11</v>
      </c>
      <c r="U15" s="44">
        <v>13</v>
      </c>
      <c r="V15" s="60"/>
    </row>
    <row r="16" spans="2:24" x14ac:dyDescent="0.25">
      <c r="B16" s="57" t="s">
        <v>269</v>
      </c>
      <c r="C16" s="49" t="str">
        <f t="shared" si="0"/>
        <v>Julio</v>
      </c>
      <c r="D16" s="49">
        <f t="shared" si="1"/>
        <v>380</v>
      </c>
      <c r="E16" s="49">
        <f t="shared" si="2"/>
        <v>3</v>
      </c>
      <c r="F16" s="49">
        <f t="shared" si="3"/>
        <v>9</v>
      </c>
      <c r="G16" s="49">
        <f t="shared" si="4"/>
        <v>14</v>
      </c>
      <c r="H16" s="49">
        <f t="shared" si="5"/>
        <v>6</v>
      </c>
      <c r="I16" s="50">
        <f t="shared" si="6"/>
        <v>15</v>
      </c>
      <c r="K16" s="58" t="s">
        <v>247</v>
      </c>
      <c r="L16" s="58">
        <f>Julio!Q$11</f>
        <v>380</v>
      </c>
      <c r="M16" s="58"/>
      <c r="N16" s="58"/>
      <c r="O16" s="59" t="s">
        <v>241</v>
      </c>
      <c r="P16" s="55">
        <f>Roberto!Q$11</f>
        <v>390</v>
      </c>
      <c r="Q16" s="44">
        <v>3</v>
      </c>
      <c r="R16" s="44">
        <v>11</v>
      </c>
      <c r="S16" s="44">
        <v>8</v>
      </c>
      <c r="T16" s="44">
        <v>14</v>
      </c>
      <c r="U16" s="44">
        <v>11</v>
      </c>
      <c r="V16" s="60"/>
    </row>
    <row r="17" spans="2:22" x14ac:dyDescent="0.25">
      <c r="B17" s="57" t="s">
        <v>270</v>
      </c>
      <c r="C17" s="49" t="str">
        <f t="shared" si="0"/>
        <v>Juninho_2</v>
      </c>
      <c r="D17" s="49">
        <f t="shared" si="1"/>
        <v>380</v>
      </c>
      <c r="E17" s="49">
        <f t="shared" si="2"/>
        <v>4</v>
      </c>
      <c r="F17" s="49">
        <f t="shared" si="3"/>
        <v>11</v>
      </c>
      <c r="G17" s="49">
        <f t="shared" si="4"/>
        <v>6</v>
      </c>
      <c r="H17" s="49">
        <f t="shared" si="5"/>
        <v>11</v>
      </c>
      <c r="I17" s="50">
        <f t="shared" si="6"/>
        <v>16</v>
      </c>
      <c r="K17" s="58" t="s">
        <v>235</v>
      </c>
      <c r="L17" s="58">
        <f>Juninho_2!Q$11</f>
        <v>380</v>
      </c>
      <c r="M17" s="58"/>
      <c r="N17" s="58"/>
      <c r="O17" s="59" t="s">
        <v>242</v>
      </c>
      <c r="P17" s="55">
        <f>Andréia!Q$11</f>
        <v>245</v>
      </c>
      <c r="Q17" s="44"/>
      <c r="R17" s="44">
        <v>3</v>
      </c>
      <c r="S17" s="44">
        <v>15</v>
      </c>
      <c r="T17" s="44">
        <v>10</v>
      </c>
      <c r="U17" s="44">
        <v>19</v>
      </c>
      <c r="V17" s="60"/>
    </row>
    <row r="18" spans="2:22" x14ac:dyDescent="0.25">
      <c r="B18" s="57" t="s">
        <v>271</v>
      </c>
      <c r="C18" s="49" t="str">
        <f t="shared" si="0"/>
        <v>Anderson</v>
      </c>
      <c r="D18" s="49">
        <f t="shared" si="1"/>
        <v>380</v>
      </c>
      <c r="E18" s="49">
        <f t="shared" si="2"/>
        <v>3</v>
      </c>
      <c r="F18" s="49">
        <f t="shared" si="3"/>
        <v>10</v>
      </c>
      <c r="G18" s="49">
        <f t="shared" si="4"/>
        <v>11</v>
      </c>
      <c r="H18" s="49">
        <f t="shared" si="5"/>
        <v>9</v>
      </c>
      <c r="I18" s="50">
        <f t="shared" si="6"/>
        <v>14</v>
      </c>
      <c r="K18" s="58" t="s">
        <v>249</v>
      </c>
      <c r="L18" s="58">
        <f>Anderson!Q$11</f>
        <v>380</v>
      </c>
      <c r="M18" s="58"/>
      <c r="N18" s="58"/>
      <c r="O18" s="59" t="s">
        <v>243</v>
      </c>
      <c r="P18" s="55">
        <f>Joseir_1!Q$11</f>
        <v>325</v>
      </c>
      <c r="Q18" s="44">
        <v>3</v>
      </c>
      <c r="R18" s="44">
        <v>6</v>
      </c>
      <c r="S18" s="44">
        <v>9</v>
      </c>
      <c r="T18" s="44">
        <v>14</v>
      </c>
      <c r="U18" s="44">
        <v>15</v>
      </c>
      <c r="V18" s="60"/>
    </row>
    <row r="19" spans="2:22" x14ac:dyDescent="0.25">
      <c r="B19" s="57" t="s">
        <v>272</v>
      </c>
      <c r="C19" s="49" t="str">
        <f t="shared" si="0"/>
        <v>Ivan Alex_2</v>
      </c>
      <c r="D19" s="49">
        <f t="shared" si="1"/>
        <v>375</v>
      </c>
      <c r="E19" s="49">
        <f t="shared" si="2"/>
        <v>2</v>
      </c>
      <c r="F19" s="49">
        <f t="shared" si="3"/>
        <v>9</v>
      </c>
      <c r="G19" s="49">
        <f t="shared" si="4"/>
        <v>14</v>
      </c>
      <c r="H19" s="49">
        <f t="shared" si="5"/>
        <v>10</v>
      </c>
      <c r="I19" s="50">
        <f t="shared" si="6"/>
        <v>13</v>
      </c>
      <c r="K19" s="58" t="s">
        <v>229</v>
      </c>
      <c r="L19" s="58">
        <f>'Ivan Alex_2'!Q$11</f>
        <v>375</v>
      </c>
      <c r="M19" s="58"/>
      <c r="N19" s="58"/>
      <c r="O19" s="59" t="s">
        <v>244</v>
      </c>
      <c r="P19" s="55">
        <f>Joseir_2!Q$11</f>
        <v>400</v>
      </c>
      <c r="Q19" s="44">
        <v>6</v>
      </c>
      <c r="R19" s="44">
        <v>7</v>
      </c>
      <c r="S19" s="44">
        <v>7</v>
      </c>
      <c r="T19" s="44">
        <v>15</v>
      </c>
      <c r="U19" s="44">
        <v>12</v>
      </c>
      <c r="V19" s="60"/>
    </row>
    <row r="20" spans="2:22" x14ac:dyDescent="0.25">
      <c r="B20" s="57" t="s">
        <v>273</v>
      </c>
      <c r="C20" s="49" t="str">
        <f t="shared" si="0"/>
        <v>Luis</v>
      </c>
      <c r="D20" s="49">
        <f t="shared" si="1"/>
        <v>345</v>
      </c>
      <c r="E20" s="49">
        <f t="shared" si="2"/>
        <v>6</v>
      </c>
      <c r="F20" s="49">
        <f t="shared" si="3"/>
        <v>4</v>
      </c>
      <c r="G20" s="49">
        <f t="shared" si="4"/>
        <v>9</v>
      </c>
      <c r="H20" s="49">
        <f t="shared" si="5"/>
        <v>9</v>
      </c>
      <c r="I20" s="50">
        <f t="shared" si="6"/>
        <v>19</v>
      </c>
      <c r="K20" s="58" t="s">
        <v>231</v>
      </c>
      <c r="L20" s="58">
        <f>Luis!Q$11</f>
        <v>345</v>
      </c>
      <c r="M20" s="58"/>
      <c r="N20" s="58"/>
      <c r="O20" s="59" t="s">
        <v>245</v>
      </c>
      <c r="P20" s="55">
        <f>Ivani!Q$11</f>
        <v>335</v>
      </c>
      <c r="Q20" s="44">
        <v>4</v>
      </c>
      <c r="R20" s="44">
        <v>6</v>
      </c>
      <c r="S20" s="44">
        <v>11</v>
      </c>
      <c r="T20" s="44">
        <v>7</v>
      </c>
      <c r="U20" s="44">
        <v>20</v>
      </c>
      <c r="V20" s="60"/>
    </row>
    <row r="21" spans="2:22" x14ac:dyDescent="0.25">
      <c r="B21" s="57" t="s">
        <v>274</v>
      </c>
      <c r="C21" s="49" t="str">
        <f t="shared" si="0"/>
        <v>Gabriel</v>
      </c>
      <c r="D21" s="49">
        <f t="shared" si="1"/>
        <v>345</v>
      </c>
      <c r="E21" s="49">
        <f t="shared" si="2"/>
        <v>2</v>
      </c>
      <c r="F21" s="49">
        <f t="shared" si="3"/>
        <v>8</v>
      </c>
      <c r="G21" s="49">
        <f t="shared" si="4"/>
        <v>12</v>
      </c>
      <c r="H21" s="49">
        <f t="shared" si="5"/>
        <v>11</v>
      </c>
      <c r="I21" s="50">
        <f t="shared" si="6"/>
        <v>14</v>
      </c>
      <c r="K21" s="58" t="s">
        <v>232</v>
      </c>
      <c r="L21" s="58">
        <f>Gabriel!Q$11</f>
        <v>345</v>
      </c>
      <c r="M21" s="58"/>
      <c r="N21" s="58"/>
      <c r="O21" s="59" t="s">
        <v>246</v>
      </c>
      <c r="P21" s="55">
        <f>Josimar!Q$11</f>
        <v>295</v>
      </c>
      <c r="Q21" s="44">
        <v>2</v>
      </c>
      <c r="R21" s="44">
        <v>9</v>
      </c>
      <c r="S21" s="44">
        <v>5</v>
      </c>
      <c r="T21" s="44">
        <v>12</v>
      </c>
      <c r="U21" s="44">
        <v>19</v>
      </c>
      <c r="V21" s="60"/>
    </row>
    <row r="22" spans="2:22" x14ac:dyDescent="0.25">
      <c r="B22" s="57" t="s">
        <v>275</v>
      </c>
      <c r="C22" s="49" t="str">
        <f t="shared" si="0"/>
        <v>Ivani</v>
      </c>
      <c r="D22" s="49">
        <f t="shared" si="1"/>
        <v>335</v>
      </c>
      <c r="E22" s="49">
        <f t="shared" si="2"/>
        <v>4</v>
      </c>
      <c r="F22" s="49">
        <f t="shared" si="3"/>
        <v>6</v>
      </c>
      <c r="G22" s="49">
        <f t="shared" si="4"/>
        <v>11</v>
      </c>
      <c r="H22" s="49">
        <f t="shared" si="5"/>
        <v>7</v>
      </c>
      <c r="I22" s="50">
        <f t="shared" si="6"/>
        <v>20</v>
      </c>
      <c r="K22" s="58" t="s">
        <v>245</v>
      </c>
      <c r="L22" s="58">
        <f>Ivani!Q$11</f>
        <v>335</v>
      </c>
      <c r="M22" s="58"/>
      <c r="N22" s="58"/>
      <c r="O22" s="59" t="s">
        <v>247</v>
      </c>
      <c r="P22" s="55">
        <f>Julio!Q$11</f>
        <v>380</v>
      </c>
      <c r="Q22" s="44">
        <v>3</v>
      </c>
      <c r="R22" s="44">
        <v>9</v>
      </c>
      <c r="S22" s="44">
        <v>14</v>
      </c>
      <c r="T22" s="44">
        <v>6</v>
      </c>
      <c r="U22" s="44">
        <v>15</v>
      </c>
      <c r="V22" s="60"/>
    </row>
    <row r="23" spans="2:22" x14ac:dyDescent="0.25">
      <c r="B23" s="57" t="s">
        <v>276</v>
      </c>
      <c r="C23" s="49" t="str">
        <f t="shared" si="0"/>
        <v>Joseir_1</v>
      </c>
      <c r="D23" s="49">
        <f t="shared" si="1"/>
        <v>325</v>
      </c>
      <c r="E23" s="49">
        <f t="shared" si="2"/>
        <v>3</v>
      </c>
      <c r="F23" s="49">
        <f t="shared" si="3"/>
        <v>6</v>
      </c>
      <c r="G23" s="49">
        <f t="shared" si="4"/>
        <v>9</v>
      </c>
      <c r="H23" s="49">
        <f t="shared" si="5"/>
        <v>14</v>
      </c>
      <c r="I23" s="50">
        <f t="shared" si="6"/>
        <v>15</v>
      </c>
      <c r="K23" s="58" t="s">
        <v>243</v>
      </c>
      <c r="L23" s="58">
        <f>Joseir_1!Q$11</f>
        <v>325</v>
      </c>
      <c r="M23" s="58"/>
      <c r="N23" s="58"/>
      <c r="O23" s="59" t="s">
        <v>248</v>
      </c>
      <c r="P23" s="55">
        <f>Talita!Q$11</f>
        <v>395</v>
      </c>
      <c r="Q23" s="44">
        <v>5</v>
      </c>
      <c r="R23" s="44">
        <v>8</v>
      </c>
      <c r="S23" s="44">
        <v>8</v>
      </c>
      <c r="T23" s="44">
        <v>14</v>
      </c>
      <c r="U23" s="44">
        <v>12</v>
      </c>
      <c r="V23" s="60"/>
    </row>
    <row r="24" spans="2:22" x14ac:dyDescent="0.25">
      <c r="B24" s="57" t="s">
        <v>277</v>
      </c>
      <c r="C24" s="49" t="str">
        <f t="shared" si="0"/>
        <v>Josimar</v>
      </c>
      <c r="D24" s="49">
        <f t="shared" si="1"/>
        <v>295</v>
      </c>
      <c r="E24" s="49">
        <f t="shared" si="2"/>
        <v>2</v>
      </c>
      <c r="F24" s="49">
        <f t="shared" si="3"/>
        <v>9</v>
      </c>
      <c r="G24" s="49">
        <f t="shared" si="4"/>
        <v>5</v>
      </c>
      <c r="H24" s="49">
        <f t="shared" si="5"/>
        <v>12</v>
      </c>
      <c r="I24" s="50">
        <f t="shared" si="6"/>
        <v>19</v>
      </c>
      <c r="K24" s="58" t="s">
        <v>246</v>
      </c>
      <c r="L24" s="58">
        <f>Josimar!Q$11</f>
        <v>295</v>
      </c>
      <c r="M24" s="58"/>
      <c r="N24" s="58"/>
      <c r="O24" s="59" t="s">
        <v>249</v>
      </c>
      <c r="P24" s="55">
        <f>Anderson!Q$11</f>
        <v>380</v>
      </c>
      <c r="Q24" s="44">
        <v>3</v>
      </c>
      <c r="R24" s="44">
        <v>10</v>
      </c>
      <c r="S24" s="44">
        <v>11</v>
      </c>
      <c r="T24" s="44">
        <v>9</v>
      </c>
      <c r="U24" s="44">
        <v>14</v>
      </c>
      <c r="V24" s="60"/>
    </row>
    <row r="25" spans="2:22" ht="15.75" thickBot="1" x14ac:dyDescent="0.3">
      <c r="B25" s="61" t="s">
        <v>278</v>
      </c>
      <c r="C25" s="51" t="str">
        <f t="shared" si="0"/>
        <v>Andréia</v>
      </c>
      <c r="D25" s="51">
        <f t="shared" si="1"/>
        <v>245</v>
      </c>
      <c r="E25" s="51">
        <f t="shared" si="2"/>
        <v>0</v>
      </c>
      <c r="F25" s="51">
        <f t="shared" si="3"/>
        <v>3</v>
      </c>
      <c r="G25" s="51">
        <f t="shared" si="4"/>
        <v>15</v>
      </c>
      <c r="H25" s="51">
        <f t="shared" si="5"/>
        <v>10</v>
      </c>
      <c r="I25" s="52">
        <f t="shared" si="6"/>
        <v>19</v>
      </c>
      <c r="K25" s="58" t="s">
        <v>242</v>
      </c>
      <c r="L25" s="58">
        <f>Andréia!Q$11</f>
        <v>245</v>
      </c>
      <c r="M25" s="58"/>
      <c r="N25" s="58"/>
      <c r="O25" s="59" t="s">
        <v>250</v>
      </c>
      <c r="P25" s="55">
        <f>Cléofaz!Q$11</f>
        <v>390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V25" s="60"/>
    </row>
    <row r="26" spans="2:22" ht="15.75" thickTop="1" x14ac:dyDescent="0.25">
      <c r="N26" s="58"/>
      <c r="P26" s="56"/>
    </row>
    <row r="28" spans="2:22" ht="15.75" x14ac:dyDescent="0.25">
      <c r="B28" s="6" t="s">
        <v>66</v>
      </c>
      <c r="C28" s="7">
        <v>2</v>
      </c>
      <c r="D28" s="7" t="s">
        <v>70</v>
      </c>
      <c r="E28" s="7">
        <v>3</v>
      </c>
      <c r="F28" s="11" t="s">
        <v>67</v>
      </c>
    </row>
    <row r="36" spans="2:10" x14ac:dyDescent="0.25">
      <c r="B36" s="128"/>
      <c r="C36" s="128"/>
      <c r="D36" s="128"/>
      <c r="E36" s="77"/>
      <c r="F36" s="77"/>
      <c r="G36" s="77"/>
      <c r="H36" s="128"/>
      <c r="I36" s="128"/>
      <c r="J36" s="128"/>
    </row>
    <row r="42" spans="2:10" x14ac:dyDescent="0.25">
      <c r="B42" s="128"/>
      <c r="C42" s="128"/>
      <c r="D42" s="128"/>
      <c r="E42" s="77"/>
      <c r="F42" s="77"/>
      <c r="G42" s="77"/>
      <c r="H42" s="128"/>
      <c r="I42" s="128"/>
      <c r="J42" s="128"/>
    </row>
    <row r="48" spans="2:10" x14ac:dyDescent="0.25">
      <c r="B48" s="128"/>
      <c r="C48" s="128"/>
      <c r="D48" s="128"/>
      <c r="E48" s="77"/>
      <c r="F48" s="77"/>
      <c r="G48" s="77"/>
      <c r="H48" s="128"/>
      <c r="I48" s="128"/>
      <c r="J48" s="128"/>
    </row>
    <row r="54" spans="2:10" x14ac:dyDescent="0.25">
      <c r="B54" s="128"/>
      <c r="C54" s="128"/>
      <c r="D54" s="128"/>
      <c r="E54" s="77"/>
      <c r="F54" s="77"/>
      <c r="G54" s="77"/>
      <c r="H54" s="128"/>
      <c r="I54" s="128"/>
      <c r="J54" s="128"/>
    </row>
    <row r="55" spans="2:10" x14ac:dyDescent="0.25">
      <c r="B55" s="128"/>
      <c r="C55" s="128"/>
      <c r="D55" s="128"/>
      <c r="E55" s="77"/>
      <c r="F55" s="77"/>
      <c r="G55" s="77"/>
      <c r="H55" s="128"/>
      <c r="I55" s="128"/>
      <c r="J55" s="128"/>
    </row>
    <row r="60" spans="2:10" x14ac:dyDescent="0.25">
      <c r="B60" s="128"/>
      <c r="C60" s="128"/>
      <c r="D60" s="128"/>
      <c r="E60" s="77"/>
      <c r="F60" s="77"/>
      <c r="G60" s="77"/>
      <c r="H60" s="128"/>
      <c r="I60" s="128"/>
      <c r="J60" s="128"/>
    </row>
    <row r="61" spans="2:10" x14ac:dyDescent="0.25">
      <c r="B61" s="128"/>
      <c r="C61" s="128"/>
      <c r="D61" s="128"/>
      <c r="E61" s="77"/>
      <c r="F61" s="77"/>
      <c r="G61" s="77"/>
      <c r="H61" s="128"/>
      <c r="I61" s="128"/>
      <c r="J61" s="128"/>
    </row>
    <row r="66" spans="2:10" x14ac:dyDescent="0.25">
      <c r="B66" s="128"/>
      <c r="C66" s="128"/>
      <c r="D66" s="128"/>
      <c r="E66" s="77"/>
      <c r="F66" s="77"/>
      <c r="G66" s="77"/>
      <c r="H66" s="128"/>
      <c r="I66" s="128"/>
      <c r="J66" s="128"/>
    </row>
    <row r="72" spans="2:10" x14ac:dyDescent="0.25">
      <c r="B72" s="128"/>
      <c r="C72" s="128"/>
      <c r="D72" s="128"/>
      <c r="E72" s="77"/>
      <c r="F72" s="77"/>
      <c r="G72" s="77"/>
      <c r="H72" s="128"/>
      <c r="I72" s="128"/>
      <c r="J72" s="128"/>
    </row>
    <row r="78" spans="2:10" x14ac:dyDescent="0.25">
      <c r="B78" s="128"/>
      <c r="C78" s="128"/>
      <c r="D78" s="128"/>
      <c r="E78" s="77"/>
      <c r="F78" s="77"/>
      <c r="G78" s="77"/>
      <c r="H78" s="128"/>
      <c r="I78" s="128"/>
      <c r="J78" s="128"/>
    </row>
    <row r="79" spans="2:10" x14ac:dyDescent="0.25">
      <c r="B79" s="128"/>
      <c r="C79" s="128"/>
      <c r="D79" s="128"/>
      <c r="E79" s="77"/>
      <c r="F79" s="77"/>
      <c r="G79" s="77"/>
      <c r="H79" s="128"/>
      <c r="I79" s="128"/>
      <c r="J79" s="128"/>
    </row>
    <row r="84" spans="2:10" x14ac:dyDescent="0.25">
      <c r="B84" s="128"/>
      <c r="C84" s="128"/>
      <c r="D84" s="128"/>
      <c r="E84" s="77"/>
      <c r="F84" s="77"/>
      <c r="G84" s="77"/>
      <c r="H84" s="128"/>
      <c r="I84" s="128"/>
      <c r="J84" s="128"/>
    </row>
    <row r="85" spans="2:10" x14ac:dyDescent="0.25">
      <c r="B85" s="128"/>
      <c r="C85" s="128"/>
      <c r="D85" s="128"/>
      <c r="E85" s="77"/>
      <c r="F85" s="77"/>
      <c r="G85" s="77"/>
      <c r="H85" s="128"/>
      <c r="I85" s="128"/>
      <c r="J85" s="128"/>
    </row>
    <row r="86" spans="2:10" x14ac:dyDescent="0.25">
      <c r="B86" s="128"/>
      <c r="C86" s="128"/>
      <c r="D86" s="128"/>
      <c r="E86" s="77"/>
      <c r="F86" s="77"/>
      <c r="G86" s="77"/>
      <c r="H86" s="128"/>
      <c r="I86" s="128"/>
      <c r="J86" s="128"/>
    </row>
    <row r="90" spans="2:10" x14ac:dyDescent="0.25">
      <c r="B90" s="128"/>
      <c r="C90" s="128"/>
      <c r="D90" s="128"/>
      <c r="E90" s="77"/>
      <c r="F90" s="77"/>
      <c r="G90" s="77"/>
      <c r="H90" s="128"/>
      <c r="I90" s="128"/>
      <c r="J90" s="128"/>
    </row>
    <row r="91" spans="2:10" x14ac:dyDescent="0.25">
      <c r="B91" s="128"/>
      <c r="C91" s="128"/>
      <c r="D91" s="128"/>
      <c r="E91" s="77"/>
      <c r="F91" s="77"/>
      <c r="G91" s="77"/>
      <c r="H91" s="128"/>
      <c r="I91" s="128"/>
      <c r="J91" s="128"/>
    </row>
    <row r="96" spans="2:10" x14ac:dyDescent="0.25">
      <c r="B96" s="128"/>
      <c r="C96" s="128"/>
      <c r="D96" s="128"/>
      <c r="E96" s="77"/>
      <c r="F96" s="77"/>
      <c r="G96" s="77"/>
      <c r="H96" s="128"/>
      <c r="I96" s="128"/>
      <c r="J96" s="128"/>
    </row>
    <row r="102" spans="2:10" x14ac:dyDescent="0.25">
      <c r="B102" s="128"/>
      <c r="C102" s="128"/>
      <c r="D102" s="128"/>
      <c r="E102" s="77"/>
      <c r="F102" s="77"/>
      <c r="G102" s="77"/>
      <c r="H102" s="128"/>
      <c r="I102" s="128"/>
      <c r="J102" s="128"/>
    </row>
    <row r="103" spans="2:10" x14ac:dyDescent="0.25">
      <c r="B103" s="128"/>
      <c r="C103" s="128"/>
      <c r="D103" s="128"/>
      <c r="E103" s="77"/>
      <c r="F103" s="77"/>
      <c r="G103" s="77"/>
      <c r="H103" s="128"/>
      <c r="I103" s="128"/>
      <c r="J103" s="128"/>
    </row>
    <row r="104" spans="2:10" x14ac:dyDescent="0.25">
      <c r="B104" s="128"/>
      <c r="C104" s="128"/>
      <c r="D104" s="128"/>
      <c r="E104" s="77"/>
      <c r="F104" s="77"/>
      <c r="G104" s="77"/>
      <c r="H104" s="128"/>
      <c r="I104" s="128"/>
      <c r="J104" s="128"/>
    </row>
    <row r="108" spans="2:10" x14ac:dyDescent="0.25">
      <c r="B108" s="128"/>
      <c r="C108" s="128"/>
      <c r="D108" s="128"/>
      <c r="E108" s="77"/>
      <c r="F108" s="77"/>
      <c r="G108" s="77"/>
      <c r="H108" s="128"/>
      <c r="I108" s="128"/>
      <c r="J108" s="128"/>
    </row>
    <row r="109" spans="2:10" x14ac:dyDescent="0.25">
      <c r="B109" s="128"/>
      <c r="C109" s="128"/>
      <c r="D109" s="128"/>
      <c r="E109" s="77"/>
      <c r="F109" s="77"/>
      <c r="G109" s="77"/>
      <c r="H109" s="128"/>
      <c r="I109" s="128"/>
      <c r="J109" s="128"/>
    </row>
    <row r="114" spans="2:10" x14ac:dyDescent="0.25">
      <c r="B114" s="128"/>
      <c r="C114" s="128"/>
      <c r="D114" s="128"/>
      <c r="E114" s="77"/>
      <c r="F114" s="77"/>
      <c r="G114" s="77"/>
      <c r="H114" s="128"/>
      <c r="I114" s="128"/>
      <c r="J114" s="128"/>
    </row>
    <row r="120" spans="2:10" x14ac:dyDescent="0.25">
      <c r="B120" s="128"/>
      <c r="C120" s="128"/>
      <c r="D120" s="128"/>
      <c r="E120" s="77"/>
      <c r="F120" s="77"/>
      <c r="G120" s="77"/>
      <c r="H120" s="128"/>
      <c r="I120" s="128"/>
      <c r="J120" s="128"/>
    </row>
    <row r="121" spans="2:10" x14ac:dyDescent="0.25">
      <c r="B121" s="128"/>
      <c r="C121" s="128"/>
      <c r="D121" s="128"/>
      <c r="E121" s="77"/>
      <c r="F121" s="77"/>
      <c r="G121" s="77"/>
      <c r="H121" s="128"/>
      <c r="I121" s="128"/>
      <c r="J121" s="128"/>
    </row>
    <row r="122" spans="2:10" x14ac:dyDescent="0.25">
      <c r="B122" s="128"/>
      <c r="C122" s="128"/>
      <c r="D122" s="128"/>
      <c r="E122" s="77"/>
      <c r="F122" s="77"/>
      <c r="G122" s="77"/>
      <c r="H122" s="128"/>
      <c r="I122" s="128"/>
      <c r="J122" s="128"/>
    </row>
    <row r="123" spans="2:10" x14ac:dyDescent="0.25">
      <c r="B123" s="128"/>
      <c r="C123" s="128"/>
      <c r="D123" s="128"/>
      <c r="E123" s="77"/>
      <c r="F123" s="77"/>
      <c r="G123" s="77"/>
      <c r="H123" s="128"/>
      <c r="I123" s="128"/>
      <c r="J123" s="128"/>
    </row>
    <row r="126" spans="2:10" x14ac:dyDescent="0.25">
      <c r="B126" s="128"/>
      <c r="C126" s="128"/>
      <c r="D126" s="128"/>
      <c r="E126" s="77"/>
      <c r="F126" s="77"/>
      <c r="G126" s="77"/>
      <c r="H126" s="128"/>
      <c r="I126" s="128"/>
      <c r="J126" s="128"/>
    </row>
    <row r="132" spans="2:10" x14ac:dyDescent="0.25">
      <c r="B132" s="128"/>
      <c r="C132" s="128"/>
      <c r="D132" s="128"/>
      <c r="E132" s="77"/>
      <c r="F132" s="77"/>
      <c r="G132" s="77"/>
      <c r="H132" s="128"/>
      <c r="I132" s="128"/>
      <c r="J132" s="128"/>
    </row>
    <row r="133" spans="2:10" x14ac:dyDescent="0.25">
      <c r="B133" s="128"/>
      <c r="C133" s="128"/>
      <c r="D133" s="128"/>
      <c r="E133" s="77"/>
      <c r="F133" s="77"/>
      <c r="G133" s="77"/>
      <c r="H133" s="128"/>
      <c r="I133" s="128"/>
      <c r="J133" s="128"/>
    </row>
    <row r="136" spans="2:10" x14ac:dyDescent="0.25">
      <c r="B136" s="128"/>
      <c r="C136" s="128"/>
      <c r="D136" s="128"/>
      <c r="E136" s="77"/>
      <c r="F136" s="77"/>
      <c r="G136" s="77"/>
      <c r="H136" s="128"/>
      <c r="I136" s="128"/>
      <c r="J136" s="128"/>
    </row>
    <row r="142" spans="2:10" x14ac:dyDescent="0.25">
      <c r="B142" s="128"/>
      <c r="C142" s="128"/>
      <c r="D142" s="128"/>
      <c r="E142" s="77"/>
      <c r="F142" s="77"/>
      <c r="G142" s="77"/>
      <c r="H142" s="128"/>
      <c r="I142" s="128"/>
      <c r="J142" s="128"/>
    </row>
    <row r="148" spans="2:10" x14ac:dyDescent="0.25">
      <c r="B148" s="128"/>
      <c r="C148" s="128"/>
      <c r="D148" s="128"/>
      <c r="E148" s="77"/>
      <c r="F148" s="77"/>
      <c r="G148" s="77"/>
      <c r="H148" s="128"/>
      <c r="I148" s="128"/>
      <c r="J148" s="128"/>
    </row>
    <row r="154" spans="2:10" x14ac:dyDescent="0.25">
      <c r="B154" s="128"/>
      <c r="C154" s="128"/>
      <c r="D154" s="128"/>
      <c r="E154" s="77"/>
      <c r="F154" s="77"/>
      <c r="G154" s="77"/>
      <c r="H154" s="128"/>
      <c r="I154" s="128"/>
      <c r="J154" s="128"/>
    </row>
    <row r="160" spans="2:10" x14ac:dyDescent="0.25">
      <c r="B160" s="128"/>
      <c r="C160" s="128"/>
      <c r="D160" s="128"/>
      <c r="E160" s="77"/>
      <c r="F160" s="77"/>
      <c r="G160" s="77"/>
      <c r="H160" s="128"/>
      <c r="I160" s="128"/>
      <c r="J160" s="128"/>
    </row>
    <row r="161" spans="2:10" x14ac:dyDescent="0.25">
      <c r="B161" s="128"/>
      <c r="C161" s="128"/>
      <c r="D161" s="128"/>
      <c r="E161" s="77"/>
      <c r="F161" s="77"/>
      <c r="G161" s="77"/>
      <c r="H161" s="128"/>
      <c r="I161" s="128"/>
      <c r="J161" s="128"/>
    </row>
    <row r="166" spans="2:10" x14ac:dyDescent="0.25">
      <c r="B166" s="128"/>
      <c r="C166" s="128"/>
      <c r="D166" s="128"/>
      <c r="E166" s="77"/>
      <c r="F166" s="77"/>
      <c r="G166" s="77"/>
      <c r="H166" s="128"/>
      <c r="I166" s="128"/>
      <c r="J166" s="128"/>
    </row>
    <row r="167" spans="2:10" x14ac:dyDescent="0.25">
      <c r="B167" s="128"/>
      <c r="C167" s="128"/>
      <c r="D167" s="128"/>
      <c r="E167" s="77"/>
      <c r="F167" s="77"/>
      <c r="G167" s="77"/>
      <c r="H167" s="128"/>
      <c r="I167" s="128"/>
      <c r="J167" s="128"/>
    </row>
    <row r="172" spans="2:10" x14ac:dyDescent="0.25">
      <c r="B172" s="128"/>
      <c r="C172" s="128"/>
      <c r="D172" s="128"/>
      <c r="E172" s="77"/>
      <c r="F172" s="77"/>
      <c r="G172" s="77"/>
      <c r="H172" s="128"/>
      <c r="I172" s="128"/>
      <c r="J172" s="128"/>
    </row>
    <row r="178" spans="2:10" x14ac:dyDescent="0.25">
      <c r="B178" s="128"/>
      <c r="C178" s="128"/>
      <c r="D178" s="128"/>
      <c r="E178" s="77"/>
      <c r="F178" s="77"/>
      <c r="G178" s="77"/>
      <c r="H178" s="128"/>
      <c r="I178" s="128"/>
      <c r="J178" s="128"/>
    </row>
    <row r="184" spans="2:10" x14ac:dyDescent="0.25">
      <c r="B184" s="128"/>
      <c r="C184" s="128"/>
      <c r="D184" s="128"/>
      <c r="E184" s="77"/>
      <c r="F184" s="77"/>
      <c r="G184" s="77"/>
      <c r="H184" s="128"/>
      <c r="I184" s="128"/>
      <c r="J184" s="128"/>
    </row>
    <row r="185" spans="2:10" x14ac:dyDescent="0.25">
      <c r="B185" s="128"/>
      <c r="C185" s="128"/>
      <c r="D185" s="128"/>
      <c r="E185" s="77"/>
      <c r="F185" s="77"/>
      <c r="G185" s="77"/>
      <c r="H185" s="128"/>
      <c r="I185" s="128"/>
      <c r="J185" s="128"/>
    </row>
    <row r="190" spans="2:10" x14ac:dyDescent="0.25">
      <c r="B190" s="128"/>
      <c r="C190" s="128"/>
      <c r="D190" s="128"/>
      <c r="E190" s="77"/>
      <c r="F190" s="77"/>
      <c r="G190" s="77"/>
      <c r="H190" s="128"/>
      <c r="I190" s="128"/>
      <c r="J190" s="128"/>
    </row>
    <row r="191" spans="2:10" x14ac:dyDescent="0.25">
      <c r="B191" s="128"/>
      <c r="C191" s="128"/>
      <c r="D191" s="128"/>
      <c r="E191" s="77"/>
      <c r="F191" s="77"/>
      <c r="G191" s="77"/>
      <c r="H191" s="128"/>
      <c r="I191" s="128"/>
      <c r="J191" s="128"/>
    </row>
    <row r="192" spans="2:10" x14ac:dyDescent="0.25">
      <c r="B192" s="128"/>
      <c r="C192" s="128"/>
      <c r="D192" s="128"/>
      <c r="E192" s="77"/>
      <c r="F192" s="77"/>
      <c r="G192" s="77"/>
      <c r="H192" s="128"/>
      <c r="I192" s="128"/>
      <c r="J192" s="128"/>
    </row>
    <row r="196" spans="2:10" x14ac:dyDescent="0.25">
      <c r="B196" s="128"/>
      <c r="C196" s="128"/>
      <c r="D196" s="128"/>
      <c r="E196" s="77"/>
      <c r="F196" s="77"/>
      <c r="G196" s="77"/>
      <c r="H196" s="128"/>
      <c r="I196" s="128"/>
      <c r="J196" s="128"/>
    </row>
    <row r="197" spans="2:10" x14ac:dyDescent="0.25">
      <c r="B197" s="128"/>
      <c r="C197" s="128"/>
      <c r="D197" s="128"/>
      <c r="E197" s="77"/>
      <c r="F197" s="77"/>
      <c r="G197" s="77"/>
      <c r="H197" s="128"/>
      <c r="I197" s="128"/>
      <c r="J197" s="128"/>
    </row>
    <row r="202" spans="2:10" x14ac:dyDescent="0.25">
      <c r="B202" s="128"/>
      <c r="C202" s="128"/>
      <c r="D202" s="128"/>
      <c r="E202" s="77"/>
      <c r="F202" s="77"/>
      <c r="G202" s="77"/>
      <c r="H202" s="128"/>
      <c r="I202" s="128"/>
      <c r="J202" s="128"/>
    </row>
    <row r="208" spans="2:10" x14ac:dyDescent="0.25">
      <c r="B208" s="128"/>
      <c r="C208" s="128"/>
      <c r="D208" s="128"/>
      <c r="E208" s="77"/>
      <c r="F208" s="77"/>
      <c r="G208" s="77"/>
      <c r="H208" s="128"/>
      <c r="I208" s="128"/>
      <c r="J208" s="128"/>
    </row>
    <row r="209" spans="2:10" x14ac:dyDescent="0.25">
      <c r="B209" s="128"/>
      <c r="C209" s="128"/>
      <c r="D209" s="128"/>
      <c r="E209" s="77"/>
      <c r="F209" s="77"/>
      <c r="G209" s="77"/>
      <c r="H209" s="128"/>
      <c r="I209" s="128"/>
      <c r="J209" s="128"/>
    </row>
    <row r="210" spans="2:10" x14ac:dyDescent="0.25">
      <c r="B210" s="128"/>
      <c r="C210" s="128"/>
      <c r="D210" s="128"/>
      <c r="E210" s="77"/>
      <c r="F210" s="77"/>
      <c r="G210" s="77"/>
      <c r="H210" s="128"/>
      <c r="I210" s="128"/>
      <c r="J210" s="128"/>
    </row>
    <row r="214" spans="2:10" x14ac:dyDescent="0.25">
      <c r="B214" s="128"/>
      <c r="C214" s="128"/>
      <c r="D214" s="128"/>
      <c r="E214" s="77"/>
      <c r="F214" s="77"/>
      <c r="G214" s="77"/>
      <c r="H214" s="128"/>
      <c r="I214" s="128"/>
      <c r="J214" s="128"/>
    </row>
    <row r="215" spans="2:10" x14ac:dyDescent="0.25">
      <c r="B215" s="128"/>
      <c r="C215" s="128"/>
      <c r="D215" s="128"/>
      <c r="E215" s="77"/>
      <c r="F215" s="77"/>
      <c r="G215" s="77"/>
      <c r="H215" s="128"/>
      <c r="I215" s="128"/>
      <c r="J215" s="128"/>
    </row>
    <row r="220" spans="2:10" x14ac:dyDescent="0.25">
      <c r="B220" s="128"/>
      <c r="C220" s="128"/>
      <c r="D220" s="128"/>
      <c r="E220" s="77"/>
      <c r="F220" s="77"/>
      <c r="G220" s="77"/>
      <c r="H220" s="128"/>
      <c r="I220" s="128"/>
      <c r="J220" s="128"/>
    </row>
    <row r="226" spans="2:10" x14ac:dyDescent="0.25">
      <c r="B226" s="128"/>
      <c r="C226" s="128"/>
      <c r="D226" s="128"/>
      <c r="E226" s="77"/>
      <c r="F226" s="77"/>
      <c r="G226" s="77"/>
      <c r="H226" s="128"/>
      <c r="I226" s="128"/>
      <c r="J226" s="128"/>
    </row>
    <row r="227" spans="2:10" x14ac:dyDescent="0.25">
      <c r="B227" s="128"/>
      <c r="C227" s="128"/>
      <c r="D227" s="128"/>
      <c r="E227" s="77"/>
      <c r="F227" s="77"/>
      <c r="G227" s="77"/>
      <c r="H227" s="128"/>
      <c r="I227" s="128"/>
      <c r="J227" s="128"/>
    </row>
    <row r="228" spans="2:10" x14ac:dyDescent="0.25">
      <c r="B228" s="128"/>
      <c r="C228" s="128"/>
      <c r="D228" s="128"/>
      <c r="E228" s="77"/>
      <c r="F228" s="77"/>
      <c r="G228" s="77"/>
      <c r="H228" s="128"/>
      <c r="I228" s="128"/>
      <c r="J228" s="128"/>
    </row>
    <row r="229" spans="2:10" x14ac:dyDescent="0.25">
      <c r="B229" s="128"/>
      <c r="C229" s="128"/>
      <c r="D229" s="128"/>
      <c r="E229" s="77"/>
      <c r="F229" s="77"/>
      <c r="G229" s="77"/>
      <c r="H229" s="128"/>
      <c r="I229" s="128"/>
      <c r="J229" s="128"/>
    </row>
    <row r="232" spans="2:10" x14ac:dyDescent="0.25">
      <c r="B232" s="128"/>
      <c r="C232" s="128"/>
      <c r="D232" s="128"/>
      <c r="E232" s="77"/>
      <c r="F232" s="77"/>
      <c r="G232" s="77"/>
      <c r="H232" s="128"/>
      <c r="I232" s="128"/>
      <c r="J232" s="128"/>
    </row>
    <row r="238" spans="2:10" x14ac:dyDescent="0.25">
      <c r="B238" s="128"/>
      <c r="C238" s="128"/>
      <c r="D238" s="128"/>
      <c r="E238" s="77"/>
      <c r="F238" s="77"/>
      <c r="G238" s="77"/>
      <c r="H238" s="128"/>
      <c r="I238" s="128"/>
      <c r="J238" s="128"/>
    </row>
    <row r="239" spans="2:10" x14ac:dyDescent="0.25">
      <c r="B239" s="128"/>
      <c r="C239" s="128"/>
      <c r="D239" s="128"/>
      <c r="E239" s="77"/>
      <c r="F239" s="77"/>
      <c r="G239" s="77"/>
      <c r="H239" s="128"/>
      <c r="I239" s="128"/>
      <c r="J239" s="128"/>
    </row>
    <row r="244" spans="2:10" x14ac:dyDescent="0.25">
      <c r="B244" s="128"/>
      <c r="C244" s="128"/>
      <c r="D244" s="128"/>
      <c r="E244" s="77"/>
      <c r="F244" s="77"/>
      <c r="G244" s="77"/>
      <c r="H244" s="128"/>
      <c r="I244" s="128"/>
      <c r="J244" s="128"/>
    </row>
    <row r="245" spans="2:10" x14ac:dyDescent="0.25">
      <c r="B245" s="128"/>
      <c r="C245" s="128"/>
      <c r="D245" s="128"/>
      <c r="E245" s="77"/>
      <c r="F245" s="77"/>
      <c r="G245" s="77"/>
      <c r="H245" s="128"/>
      <c r="I245" s="128"/>
      <c r="J245" s="128"/>
    </row>
    <row r="246" spans="2:10" x14ac:dyDescent="0.25">
      <c r="B246" s="128"/>
      <c r="C246" s="128"/>
      <c r="D246" s="128"/>
      <c r="E246" s="77"/>
      <c r="F246" s="77"/>
      <c r="G246" s="77"/>
      <c r="H246" s="128"/>
      <c r="I246" s="128"/>
      <c r="J246" s="128"/>
    </row>
    <row r="247" spans="2:10" x14ac:dyDescent="0.25">
      <c r="B247" s="128"/>
      <c r="C247" s="128"/>
      <c r="D247" s="128"/>
      <c r="E247" s="77"/>
      <c r="F247" s="77"/>
      <c r="G247" s="77"/>
      <c r="H247" s="128"/>
      <c r="I247" s="128"/>
      <c r="J247" s="128"/>
    </row>
    <row r="250" spans="2:10" x14ac:dyDescent="0.25">
      <c r="B250" s="128"/>
      <c r="C250" s="128"/>
      <c r="D250" s="128"/>
      <c r="E250" s="76"/>
      <c r="F250" s="76"/>
      <c r="G250" s="76"/>
      <c r="H250" s="128"/>
      <c r="I250" s="128"/>
      <c r="J250" s="128"/>
    </row>
    <row r="256" spans="2:10" x14ac:dyDescent="0.25">
      <c r="B256" s="128"/>
      <c r="C256" s="128"/>
      <c r="D256" s="128"/>
      <c r="E256" s="76"/>
      <c r="F256" s="76"/>
      <c r="G256" s="76"/>
      <c r="H256" s="128"/>
      <c r="I256" s="128"/>
      <c r="J256" s="128"/>
    </row>
    <row r="262" spans="2:10" x14ac:dyDescent="0.25">
      <c r="B262" s="128"/>
      <c r="C262" s="128"/>
      <c r="D262" s="128"/>
      <c r="E262" s="76"/>
      <c r="F262" s="76"/>
      <c r="G262" s="76"/>
      <c r="H262" s="128"/>
      <c r="I262" s="128"/>
      <c r="J262" s="128"/>
    </row>
    <row r="268" spans="2:10" x14ac:dyDescent="0.25">
      <c r="B268" s="128"/>
      <c r="C268" s="128"/>
      <c r="D268" s="128"/>
      <c r="E268" s="76"/>
      <c r="F268" s="76"/>
      <c r="G268" s="76"/>
      <c r="H268" s="128"/>
      <c r="I268" s="128"/>
      <c r="J268" s="128"/>
    </row>
    <row r="274" spans="2:10" x14ac:dyDescent="0.25">
      <c r="B274" s="128"/>
      <c r="C274" s="128"/>
      <c r="D274" s="128"/>
      <c r="E274" s="76"/>
      <c r="F274" s="76"/>
      <c r="G274" s="76"/>
      <c r="H274" s="128"/>
      <c r="I274" s="128"/>
      <c r="J274" s="128"/>
    </row>
    <row r="275" spans="2:10" x14ac:dyDescent="0.25">
      <c r="B275" s="128"/>
      <c r="C275" s="128"/>
      <c r="D275" s="128"/>
      <c r="E275" s="76"/>
      <c r="F275" s="76"/>
      <c r="G275" s="76"/>
      <c r="H275" s="128"/>
      <c r="I275" s="128"/>
      <c r="J275" s="128"/>
    </row>
    <row r="280" spans="2:10" x14ac:dyDescent="0.25">
      <c r="B280" s="128"/>
      <c r="C280" s="128"/>
      <c r="D280" s="128"/>
      <c r="E280" s="76"/>
      <c r="F280" s="76"/>
      <c r="G280" s="76"/>
      <c r="H280" s="128"/>
      <c r="I280" s="128"/>
      <c r="J280" s="128"/>
    </row>
    <row r="281" spans="2:10" x14ac:dyDescent="0.25">
      <c r="B281" s="128"/>
      <c r="C281" s="128"/>
      <c r="D281" s="128"/>
      <c r="E281" s="76"/>
      <c r="F281" s="76"/>
      <c r="G281" s="76"/>
      <c r="H281" s="128"/>
      <c r="I281" s="128"/>
      <c r="J281" s="128"/>
    </row>
    <row r="286" spans="2:10" x14ac:dyDescent="0.25">
      <c r="B286" s="128"/>
      <c r="C286" s="128"/>
      <c r="D286" s="128"/>
      <c r="E286" s="76"/>
      <c r="F286" s="76"/>
      <c r="G286" s="76"/>
      <c r="H286" s="128"/>
      <c r="I286" s="128"/>
      <c r="J286" s="128"/>
    </row>
    <row r="292" spans="2:10" x14ac:dyDescent="0.25">
      <c r="B292" s="128"/>
      <c r="C292" s="128"/>
      <c r="D292" s="128"/>
      <c r="E292" s="76"/>
      <c r="F292" s="76"/>
      <c r="G292" s="76"/>
      <c r="H292" s="128"/>
      <c r="I292" s="128"/>
      <c r="J292" s="128"/>
    </row>
    <row r="298" spans="2:10" x14ac:dyDescent="0.25">
      <c r="B298" s="128"/>
      <c r="C298" s="128"/>
      <c r="D298" s="128"/>
      <c r="E298" s="76"/>
      <c r="F298" s="76"/>
      <c r="G298" s="76"/>
      <c r="H298" s="128"/>
      <c r="I298" s="128"/>
      <c r="J298" s="128"/>
    </row>
    <row r="299" spans="2:10" x14ac:dyDescent="0.25">
      <c r="B299" s="128"/>
      <c r="C299" s="128"/>
      <c r="D299" s="128"/>
      <c r="E299" s="76"/>
      <c r="F299" s="76"/>
      <c r="G299" s="76"/>
      <c r="H299" s="128"/>
      <c r="I299" s="128"/>
      <c r="J299" s="128"/>
    </row>
    <row r="304" spans="2:10" x14ac:dyDescent="0.25">
      <c r="B304" s="128"/>
      <c r="C304" s="128"/>
      <c r="D304" s="128"/>
      <c r="E304" s="76"/>
      <c r="F304" s="76"/>
      <c r="G304" s="76"/>
      <c r="H304" s="128"/>
      <c r="I304" s="128"/>
      <c r="J304" s="128"/>
    </row>
    <row r="305" spans="2:10" x14ac:dyDescent="0.25">
      <c r="B305" s="128"/>
      <c r="C305" s="128"/>
      <c r="D305" s="128"/>
      <c r="E305" s="76"/>
      <c r="F305" s="76"/>
      <c r="G305" s="76"/>
      <c r="H305" s="128"/>
      <c r="I305" s="128"/>
      <c r="J305" s="128"/>
    </row>
    <row r="306" spans="2:10" x14ac:dyDescent="0.25">
      <c r="B306" s="128"/>
      <c r="C306" s="128"/>
      <c r="D306" s="128"/>
      <c r="E306" s="76"/>
      <c r="F306" s="76"/>
      <c r="G306" s="76"/>
      <c r="H306" s="128"/>
      <c r="I306" s="128"/>
      <c r="J306" s="128"/>
    </row>
    <row r="310" spans="2:10" x14ac:dyDescent="0.25">
      <c r="B310" s="128"/>
      <c r="C310" s="128"/>
      <c r="D310" s="128"/>
      <c r="E310" s="76"/>
      <c r="F310" s="76"/>
      <c r="G310" s="76"/>
      <c r="H310" s="128"/>
      <c r="I310" s="128"/>
      <c r="J310" s="128"/>
    </row>
    <row r="311" spans="2:10" x14ac:dyDescent="0.25">
      <c r="B311" s="128"/>
      <c r="C311" s="128"/>
      <c r="D311" s="128"/>
      <c r="E311" s="76"/>
      <c r="F311" s="76"/>
      <c r="G311" s="76"/>
      <c r="H311" s="128"/>
      <c r="I311" s="128"/>
      <c r="J311" s="128"/>
    </row>
    <row r="316" spans="2:10" x14ac:dyDescent="0.25">
      <c r="B316" s="128"/>
      <c r="C316" s="128"/>
      <c r="D316" s="128"/>
      <c r="E316" s="76"/>
      <c r="F316" s="76"/>
      <c r="G316" s="76"/>
      <c r="H316" s="128"/>
      <c r="I316" s="128"/>
      <c r="J316" s="128"/>
    </row>
    <row r="322" spans="2:10" x14ac:dyDescent="0.25">
      <c r="B322" s="128"/>
      <c r="C322" s="128"/>
      <c r="D322" s="128"/>
      <c r="E322" s="76"/>
      <c r="F322" s="76"/>
      <c r="G322" s="76"/>
      <c r="H322" s="128"/>
      <c r="I322" s="128"/>
      <c r="J322" s="128"/>
    </row>
    <row r="323" spans="2:10" x14ac:dyDescent="0.25">
      <c r="B323" s="128"/>
      <c r="C323" s="128"/>
      <c r="D323" s="128"/>
      <c r="E323" s="76"/>
      <c r="F323" s="76"/>
      <c r="G323" s="76"/>
      <c r="H323" s="128"/>
      <c r="I323" s="128"/>
      <c r="J323" s="128"/>
    </row>
    <row r="324" spans="2:10" x14ac:dyDescent="0.25">
      <c r="B324" s="128"/>
      <c r="C324" s="128"/>
      <c r="D324" s="128"/>
      <c r="E324" s="76"/>
      <c r="F324" s="76"/>
      <c r="G324" s="76"/>
      <c r="H324" s="128"/>
      <c r="I324" s="128"/>
      <c r="J324" s="128"/>
    </row>
    <row r="328" spans="2:10" x14ac:dyDescent="0.25">
      <c r="B328" s="128"/>
      <c r="C328" s="128"/>
      <c r="D328" s="128"/>
      <c r="E328" s="76"/>
      <c r="F328" s="76"/>
      <c r="G328" s="76"/>
      <c r="H328" s="128"/>
      <c r="I328" s="128"/>
      <c r="J328" s="128"/>
    </row>
    <row r="329" spans="2:10" x14ac:dyDescent="0.25">
      <c r="B329" s="128"/>
      <c r="C329" s="128"/>
      <c r="D329" s="128"/>
      <c r="E329" s="76"/>
      <c r="F329" s="76"/>
      <c r="G329" s="76"/>
      <c r="H329" s="128"/>
      <c r="I329" s="128"/>
      <c r="J329" s="128"/>
    </row>
    <row r="334" spans="2:10" x14ac:dyDescent="0.25">
      <c r="B334" s="128"/>
      <c r="C334" s="128"/>
      <c r="D334" s="128"/>
      <c r="E334" s="76"/>
      <c r="F334" s="76"/>
      <c r="G334" s="76"/>
      <c r="H334" s="128"/>
      <c r="I334" s="128"/>
      <c r="J334" s="128"/>
    </row>
    <row r="340" spans="2:10" x14ac:dyDescent="0.25">
      <c r="B340" s="128"/>
      <c r="C340" s="128"/>
      <c r="D340" s="128"/>
      <c r="E340" s="76"/>
      <c r="F340" s="76"/>
      <c r="G340" s="76"/>
      <c r="H340" s="128"/>
      <c r="I340" s="128"/>
      <c r="J340" s="128"/>
    </row>
    <row r="341" spans="2:10" x14ac:dyDescent="0.25">
      <c r="B341" s="128"/>
      <c r="C341" s="128"/>
      <c r="D341" s="128"/>
      <c r="E341" s="76"/>
      <c r="F341" s="76"/>
      <c r="G341" s="76"/>
      <c r="H341" s="128"/>
      <c r="I341" s="128"/>
      <c r="J341" s="128"/>
    </row>
    <row r="342" spans="2:10" x14ac:dyDescent="0.25">
      <c r="B342" s="128"/>
      <c r="C342" s="128"/>
      <c r="D342" s="128"/>
      <c r="E342" s="76"/>
      <c r="F342" s="76"/>
      <c r="G342" s="76"/>
      <c r="H342" s="128"/>
      <c r="I342" s="128"/>
      <c r="J342" s="128"/>
    </row>
    <row r="343" spans="2:10" x14ac:dyDescent="0.25">
      <c r="B343" s="128"/>
      <c r="C343" s="128"/>
      <c r="D343" s="128"/>
      <c r="E343" s="76"/>
      <c r="F343" s="76"/>
      <c r="G343" s="76"/>
      <c r="H343" s="128"/>
      <c r="I343" s="128"/>
      <c r="J343" s="128"/>
    </row>
    <row r="346" spans="2:10" x14ac:dyDescent="0.25">
      <c r="B346" s="128"/>
      <c r="C346" s="128"/>
      <c r="D346" s="128"/>
      <c r="E346" s="76"/>
      <c r="F346" s="76"/>
      <c r="G346" s="76"/>
      <c r="H346" s="128"/>
      <c r="I346" s="128"/>
      <c r="J346" s="128"/>
    </row>
    <row r="352" spans="2:10" x14ac:dyDescent="0.25">
      <c r="B352" s="128"/>
      <c r="C352" s="128"/>
      <c r="D352" s="128"/>
      <c r="E352" s="76"/>
      <c r="F352" s="76"/>
      <c r="G352" s="76"/>
      <c r="H352" s="128"/>
      <c r="I352" s="128"/>
      <c r="J352" s="128"/>
    </row>
    <row r="353" spans="2:10" x14ac:dyDescent="0.25">
      <c r="B353" s="128"/>
      <c r="C353" s="128"/>
      <c r="D353" s="128"/>
      <c r="E353" s="76"/>
      <c r="F353" s="76"/>
      <c r="G353" s="76"/>
      <c r="H353" s="128"/>
      <c r="I353" s="128"/>
      <c r="J353" s="128"/>
    </row>
    <row r="355" spans="2:10" x14ac:dyDescent="0.25">
      <c r="B355" s="128"/>
      <c r="C355" s="128"/>
      <c r="D355" s="128"/>
      <c r="E355" s="76"/>
      <c r="F355" s="76"/>
      <c r="G355" s="76"/>
      <c r="H355" s="128"/>
      <c r="I355" s="128"/>
      <c r="J355" s="128"/>
    </row>
    <row r="361" spans="2:10" x14ac:dyDescent="0.25">
      <c r="B361" s="128"/>
      <c r="C361" s="128"/>
      <c r="D361" s="128"/>
      <c r="E361" s="76"/>
      <c r="F361" s="76"/>
      <c r="G361" s="76"/>
      <c r="H361" s="128"/>
      <c r="I361" s="128"/>
      <c r="J361" s="128"/>
    </row>
    <row r="362" spans="2:10" x14ac:dyDescent="0.25">
      <c r="B362" s="128"/>
      <c r="C362" s="128"/>
      <c r="D362" s="128"/>
      <c r="E362" s="76"/>
      <c r="F362" s="76"/>
      <c r="G362" s="76"/>
      <c r="H362" s="128"/>
      <c r="I362" s="128"/>
      <c r="J362" s="128"/>
    </row>
    <row r="367" spans="2:10" x14ac:dyDescent="0.25">
      <c r="B367" s="128"/>
      <c r="C367" s="128"/>
      <c r="D367" s="128"/>
      <c r="E367" s="76"/>
      <c r="F367" s="76"/>
      <c r="G367" s="76"/>
      <c r="H367" s="128"/>
      <c r="I367" s="128"/>
      <c r="J367" s="128"/>
    </row>
    <row r="368" spans="2:10" x14ac:dyDescent="0.25">
      <c r="B368" s="128"/>
      <c r="C368" s="128"/>
      <c r="D368" s="128"/>
      <c r="E368" s="76"/>
      <c r="F368" s="76"/>
      <c r="G368" s="76"/>
      <c r="H368" s="128"/>
      <c r="I368" s="128"/>
      <c r="J368" s="128"/>
    </row>
    <row r="369" spans="2:10" x14ac:dyDescent="0.25">
      <c r="B369" s="128"/>
      <c r="C369" s="128"/>
      <c r="D369" s="128"/>
      <c r="E369" s="76"/>
      <c r="F369" s="76"/>
      <c r="G369" s="76"/>
      <c r="H369" s="128"/>
      <c r="I369" s="128"/>
      <c r="J369" s="128"/>
    </row>
    <row r="370" spans="2:10" x14ac:dyDescent="0.25">
      <c r="B370" s="128"/>
      <c r="C370" s="128"/>
      <c r="D370" s="128"/>
      <c r="E370" s="76"/>
      <c r="F370" s="76"/>
      <c r="G370" s="76"/>
      <c r="H370" s="128"/>
      <c r="I370" s="128"/>
      <c r="J370" s="128"/>
    </row>
    <row r="371" spans="2:10" x14ac:dyDescent="0.25">
      <c r="B371" s="128"/>
      <c r="C371" s="128"/>
      <c r="D371" s="128"/>
      <c r="E371" s="76"/>
      <c r="F371" s="76"/>
      <c r="G371" s="76"/>
      <c r="H371" s="128"/>
      <c r="I371" s="128"/>
      <c r="J371" s="128"/>
    </row>
    <row r="372" spans="2:10" x14ac:dyDescent="0.25">
      <c r="B372" s="128"/>
      <c r="C372" s="128"/>
      <c r="D372" s="128"/>
      <c r="E372" s="76"/>
      <c r="F372" s="76"/>
      <c r="G372" s="76"/>
      <c r="H372" s="128"/>
      <c r="I372" s="128"/>
      <c r="J372" s="128"/>
    </row>
    <row r="373" spans="2:10" x14ac:dyDescent="0.25">
      <c r="B373" s="128"/>
      <c r="C373" s="128"/>
      <c r="D373" s="128"/>
      <c r="E373" s="76"/>
      <c r="F373" s="76"/>
      <c r="G373" s="76"/>
      <c r="H373" s="128"/>
      <c r="I373" s="128"/>
      <c r="J373" s="128"/>
    </row>
    <row r="374" spans="2:10" x14ac:dyDescent="0.25">
      <c r="B374" s="128"/>
      <c r="C374" s="128"/>
      <c r="D374" s="128"/>
      <c r="E374" s="76"/>
      <c r="F374" s="76"/>
      <c r="G374" s="76"/>
      <c r="H374" s="128"/>
      <c r="I374" s="128"/>
      <c r="J374" s="128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121" zoomScale="85" zoomScaleNormal="85" workbookViewId="0">
      <selection activeCell="G138" sqref="G138"/>
    </sheetView>
  </sheetViews>
  <sheetFormatPr defaultRowHeight="15" x14ac:dyDescent="0.25"/>
  <cols>
    <col min="1" max="1" width="15.28515625" style="91" customWidth="1"/>
    <col min="2" max="4" width="6.28515625" style="2" customWidth="1"/>
    <col min="5" max="5" width="15.28515625" style="90" customWidth="1"/>
  </cols>
  <sheetData>
    <row r="1" spans="1:5" x14ac:dyDescent="0.25">
      <c r="A1" s="91" t="s">
        <v>305</v>
      </c>
    </row>
    <row r="2" spans="1:5" x14ac:dyDescent="0.25">
      <c r="A2" s="91" t="s">
        <v>56</v>
      </c>
      <c r="B2" s="2">
        <v>2</v>
      </c>
      <c r="C2" s="2" t="s">
        <v>189</v>
      </c>
      <c r="D2" s="2">
        <v>1</v>
      </c>
      <c r="E2" s="90" t="s">
        <v>328</v>
      </c>
    </row>
    <row r="3" spans="1:5" x14ac:dyDescent="0.25">
      <c r="A3" s="91" t="s">
        <v>40</v>
      </c>
      <c r="B3" s="2">
        <v>2</v>
      </c>
      <c r="C3" s="2" t="s">
        <v>189</v>
      </c>
      <c r="D3" s="2">
        <v>1</v>
      </c>
      <c r="E3" s="90" t="s">
        <v>41</v>
      </c>
    </row>
    <row r="4" spans="1:5" x14ac:dyDescent="0.25">
      <c r="A4" s="91" t="s">
        <v>59</v>
      </c>
      <c r="B4" s="2">
        <v>1</v>
      </c>
      <c r="C4" s="2" t="s">
        <v>189</v>
      </c>
      <c r="D4" s="2">
        <v>2</v>
      </c>
      <c r="E4" s="90" t="s">
        <v>49</v>
      </c>
    </row>
    <row r="5" spans="1:5" x14ac:dyDescent="0.25">
      <c r="A5" s="91" t="s">
        <v>43</v>
      </c>
      <c r="B5" s="2">
        <v>2</v>
      </c>
      <c r="C5" s="2" t="s">
        <v>189</v>
      </c>
      <c r="D5" s="2">
        <v>0</v>
      </c>
      <c r="E5" s="90" t="s">
        <v>329</v>
      </c>
    </row>
    <row r="6" spans="1:5" x14ac:dyDescent="0.25">
      <c r="A6" s="91" t="s">
        <v>57</v>
      </c>
      <c r="B6" s="2">
        <v>2</v>
      </c>
      <c r="C6" s="2" t="s">
        <v>189</v>
      </c>
      <c r="D6" s="2">
        <v>0</v>
      </c>
      <c r="E6" s="90" t="s">
        <v>65</v>
      </c>
    </row>
    <row r="7" spans="1:5" x14ac:dyDescent="0.25">
      <c r="A7" s="91" t="s">
        <v>54</v>
      </c>
      <c r="B7" s="2">
        <v>2</v>
      </c>
      <c r="C7" s="2" t="s">
        <v>189</v>
      </c>
      <c r="D7" s="2">
        <v>1</v>
      </c>
      <c r="E7" s="90" t="s">
        <v>63</v>
      </c>
    </row>
    <row r="8" spans="1:5" x14ac:dyDescent="0.25">
      <c r="A8" s="91" t="s">
        <v>60</v>
      </c>
      <c r="B8" s="2">
        <v>2</v>
      </c>
      <c r="C8" s="2" t="s">
        <v>189</v>
      </c>
      <c r="D8" s="2">
        <v>1</v>
      </c>
      <c r="E8" s="90" t="s">
        <v>52</v>
      </c>
    </row>
    <row r="9" spans="1:5" x14ac:dyDescent="0.25">
      <c r="A9" s="91" t="s">
        <v>64</v>
      </c>
      <c r="B9" s="2">
        <v>2</v>
      </c>
      <c r="C9" s="2" t="s">
        <v>189</v>
      </c>
      <c r="D9" s="2">
        <v>2</v>
      </c>
      <c r="E9" s="90" t="s">
        <v>67</v>
      </c>
    </row>
    <row r="11" spans="1:5" x14ac:dyDescent="0.25">
      <c r="A11" s="91" t="s">
        <v>306</v>
      </c>
    </row>
    <row r="12" spans="1:5" x14ac:dyDescent="0.25">
      <c r="A12" s="91" t="s">
        <v>56</v>
      </c>
      <c r="B12" s="2">
        <v>1</v>
      </c>
      <c r="C12" s="2" t="s">
        <v>189</v>
      </c>
      <c r="D12" s="2">
        <v>1</v>
      </c>
      <c r="E12" s="90" t="s">
        <v>328</v>
      </c>
    </row>
    <row r="13" spans="1:5" x14ac:dyDescent="0.25">
      <c r="A13" s="91" t="s">
        <v>40</v>
      </c>
      <c r="B13" s="2">
        <v>1</v>
      </c>
      <c r="C13" s="2" t="s">
        <v>189</v>
      </c>
      <c r="D13" s="2">
        <v>1</v>
      </c>
      <c r="E13" s="90" t="s">
        <v>41</v>
      </c>
    </row>
    <row r="14" spans="1:5" x14ac:dyDescent="0.25">
      <c r="A14" s="91" t="s">
        <v>59</v>
      </c>
      <c r="B14" s="2">
        <v>1</v>
      </c>
      <c r="C14" s="2" t="s">
        <v>189</v>
      </c>
      <c r="D14" s="2">
        <v>1</v>
      </c>
      <c r="E14" s="90" t="s">
        <v>49</v>
      </c>
    </row>
    <row r="15" spans="1:5" x14ac:dyDescent="0.25">
      <c r="A15" s="91" t="s">
        <v>43</v>
      </c>
      <c r="B15" s="2">
        <v>1</v>
      </c>
      <c r="C15" s="2" t="s">
        <v>189</v>
      </c>
      <c r="D15" s="2">
        <v>1</v>
      </c>
      <c r="E15" s="90" t="s">
        <v>329</v>
      </c>
    </row>
    <row r="16" spans="1:5" x14ac:dyDescent="0.25">
      <c r="A16" s="91" t="s">
        <v>57</v>
      </c>
      <c r="B16" s="2">
        <v>1</v>
      </c>
      <c r="C16" s="2" t="s">
        <v>189</v>
      </c>
      <c r="D16" s="2">
        <v>1</v>
      </c>
      <c r="E16" s="90" t="s">
        <v>65</v>
      </c>
    </row>
    <row r="17" spans="1:5" x14ac:dyDescent="0.25">
      <c r="A17" s="91" t="s">
        <v>54</v>
      </c>
      <c r="B17" s="2">
        <v>1</v>
      </c>
      <c r="C17" s="2" t="s">
        <v>189</v>
      </c>
      <c r="D17" s="2">
        <v>1</v>
      </c>
      <c r="E17" s="90" t="s">
        <v>63</v>
      </c>
    </row>
    <row r="18" spans="1:5" x14ac:dyDescent="0.25">
      <c r="A18" s="91" t="s">
        <v>60</v>
      </c>
      <c r="B18" s="2">
        <v>1</v>
      </c>
      <c r="C18" s="2" t="s">
        <v>189</v>
      </c>
      <c r="D18" s="2">
        <v>1</v>
      </c>
      <c r="E18" s="90" t="s">
        <v>52</v>
      </c>
    </row>
    <row r="19" spans="1:5" x14ac:dyDescent="0.25">
      <c r="A19" s="91" t="s">
        <v>64</v>
      </c>
      <c r="B19" s="2">
        <v>1</v>
      </c>
      <c r="C19" s="2" t="s">
        <v>189</v>
      </c>
      <c r="D19" s="2">
        <v>1</v>
      </c>
      <c r="E19" s="90" t="s">
        <v>67</v>
      </c>
    </row>
    <row r="21" spans="1:5" x14ac:dyDescent="0.25">
      <c r="A21" s="91" t="s">
        <v>307</v>
      </c>
    </row>
    <row r="22" spans="1:5" x14ac:dyDescent="0.25">
      <c r="A22" s="91" t="s">
        <v>56</v>
      </c>
      <c r="B22" s="2">
        <v>2</v>
      </c>
      <c r="C22" s="2" t="s">
        <v>189</v>
      </c>
      <c r="D22" s="2">
        <v>1</v>
      </c>
      <c r="E22" s="90" t="s">
        <v>328</v>
      </c>
    </row>
    <row r="23" spans="1:5" x14ac:dyDescent="0.25">
      <c r="A23" s="91" t="s">
        <v>40</v>
      </c>
      <c r="B23" s="2">
        <v>2</v>
      </c>
      <c r="C23" s="2" t="s">
        <v>189</v>
      </c>
      <c r="D23" s="2">
        <v>0</v>
      </c>
      <c r="E23" s="90" t="s">
        <v>41</v>
      </c>
    </row>
    <row r="24" spans="1:5" x14ac:dyDescent="0.25">
      <c r="A24" s="91" t="s">
        <v>59</v>
      </c>
      <c r="B24" s="2">
        <v>1</v>
      </c>
      <c r="C24" s="2" t="s">
        <v>189</v>
      </c>
      <c r="D24" s="2">
        <v>2</v>
      </c>
      <c r="E24" s="90" t="s">
        <v>49</v>
      </c>
    </row>
    <row r="25" spans="1:5" x14ac:dyDescent="0.25">
      <c r="A25" s="91" t="s">
        <v>43</v>
      </c>
      <c r="B25" s="2">
        <v>2</v>
      </c>
      <c r="C25" s="2" t="s">
        <v>189</v>
      </c>
      <c r="D25" s="2">
        <v>0</v>
      </c>
      <c r="E25" s="90" t="s">
        <v>329</v>
      </c>
    </row>
    <row r="26" spans="1:5" x14ac:dyDescent="0.25">
      <c r="A26" s="91" t="s">
        <v>57</v>
      </c>
      <c r="B26" s="2">
        <v>1</v>
      </c>
      <c r="C26" s="2" t="s">
        <v>189</v>
      </c>
      <c r="D26" s="2">
        <v>2</v>
      </c>
      <c r="E26" s="90" t="s">
        <v>65</v>
      </c>
    </row>
    <row r="27" spans="1:5" x14ac:dyDescent="0.25">
      <c r="A27" s="91" t="s">
        <v>54</v>
      </c>
      <c r="B27" s="2">
        <v>2</v>
      </c>
      <c r="C27" s="2" t="s">
        <v>189</v>
      </c>
      <c r="D27" s="2">
        <v>0</v>
      </c>
      <c r="E27" s="90" t="s">
        <v>63</v>
      </c>
    </row>
    <row r="28" spans="1:5" x14ac:dyDescent="0.25">
      <c r="A28" s="91" t="s">
        <v>60</v>
      </c>
      <c r="B28" s="2">
        <v>1</v>
      </c>
      <c r="C28" s="2" t="s">
        <v>189</v>
      </c>
      <c r="D28" s="2">
        <v>3</v>
      </c>
      <c r="E28" s="90" t="s">
        <v>52</v>
      </c>
    </row>
    <row r="29" spans="1:5" x14ac:dyDescent="0.25">
      <c r="A29" s="91" t="s">
        <v>64</v>
      </c>
      <c r="B29" s="2">
        <v>1</v>
      </c>
      <c r="C29" s="2" t="s">
        <v>189</v>
      </c>
      <c r="D29" s="2">
        <v>0</v>
      </c>
      <c r="E29" s="90" t="s">
        <v>67</v>
      </c>
    </row>
    <row r="31" spans="1:5" x14ac:dyDescent="0.25">
      <c r="A31" s="91" t="s">
        <v>308</v>
      </c>
    </row>
    <row r="32" spans="1:5" x14ac:dyDescent="0.25">
      <c r="A32" s="91" t="s">
        <v>56</v>
      </c>
      <c r="B32" s="2">
        <v>3</v>
      </c>
      <c r="C32" s="2" t="s">
        <v>189</v>
      </c>
      <c r="D32" s="2">
        <v>2</v>
      </c>
      <c r="E32" s="90" t="s">
        <v>328</v>
      </c>
    </row>
    <row r="33" spans="1:5" x14ac:dyDescent="0.25">
      <c r="A33" s="91" t="s">
        <v>40</v>
      </c>
      <c r="B33" s="2">
        <v>3</v>
      </c>
      <c r="C33" s="2" t="s">
        <v>189</v>
      </c>
      <c r="D33" s="2">
        <v>1</v>
      </c>
      <c r="E33" s="90" t="s">
        <v>41</v>
      </c>
    </row>
    <row r="34" spans="1:5" x14ac:dyDescent="0.25">
      <c r="A34" s="91" t="s">
        <v>59</v>
      </c>
      <c r="B34" s="2">
        <v>2</v>
      </c>
      <c r="C34" s="2" t="s">
        <v>189</v>
      </c>
      <c r="D34" s="2">
        <v>3</v>
      </c>
      <c r="E34" s="90" t="s">
        <v>49</v>
      </c>
    </row>
    <row r="35" spans="1:5" x14ac:dyDescent="0.25">
      <c r="A35" s="91" t="s">
        <v>43</v>
      </c>
      <c r="B35" s="2">
        <v>3</v>
      </c>
      <c r="C35" s="2" t="s">
        <v>189</v>
      </c>
      <c r="D35" s="2">
        <v>2</v>
      </c>
      <c r="E35" s="90" t="s">
        <v>329</v>
      </c>
    </row>
    <row r="36" spans="1:5" x14ac:dyDescent="0.25">
      <c r="A36" s="91" t="s">
        <v>57</v>
      </c>
      <c r="B36" s="2">
        <v>3</v>
      </c>
      <c r="C36" s="2" t="s">
        <v>189</v>
      </c>
      <c r="D36" s="2">
        <v>2</v>
      </c>
      <c r="E36" s="90" t="s">
        <v>65</v>
      </c>
    </row>
    <row r="37" spans="1:5" x14ac:dyDescent="0.25">
      <c r="A37" s="91" t="s">
        <v>54</v>
      </c>
      <c r="B37" s="2">
        <v>3</v>
      </c>
      <c r="C37" s="2" t="s">
        <v>189</v>
      </c>
      <c r="D37" s="2">
        <v>2</v>
      </c>
      <c r="E37" s="90" t="s">
        <v>63</v>
      </c>
    </row>
    <row r="38" spans="1:5" x14ac:dyDescent="0.25">
      <c r="A38" s="91" t="s">
        <v>60</v>
      </c>
      <c r="B38" s="2">
        <v>1</v>
      </c>
      <c r="C38" s="2" t="s">
        <v>189</v>
      </c>
      <c r="D38" s="2">
        <v>3</v>
      </c>
      <c r="E38" s="90" t="s">
        <v>52</v>
      </c>
    </row>
    <row r="39" spans="1:5" x14ac:dyDescent="0.25">
      <c r="A39" s="91" t="s">
        <v>64</v>
      </c>
      <c r="B39" s="2">
        <v>3</v>
      </c>
      <c r="C39" s="2" t="s">
        <v>189</v>
      </c>
      <c r="D39" s="2">
        <v>1</v>
      </c>
      <c r="E39" s="90" t="s">
        <v>67</v>
      </c>
    </row>
    <row r="41" spans="1:5" x14ac:dyDescent="0.25">
      <c r="A41" s="91" t="s">
        <v>309</v>
      </c>
    </row>
    <row r="42" spans="1:5" x14ac:dyDescent="0.25">
      <c r="A42" s="91" t="s">
        <v>56</v>
      </c>
      <c r="B42" s="2">
        <v>1</v>
      </c>
      <c r="C42" s="2" t="s">
        <v>189</v>
      </c>
      <c r="D42" s="2">
        <v>0</v>
      </c>
      <c r="E42" s="90" t="s">
        <v>328</v>
      </c>
    </row>
    <row r="43" spans="1:5" x14ac:dyDescent="0.25">
      <c r="A43" s="91" t="s">
        <v>40</v>
      </c>
      <c r="B43" s="2">
        <v>2</v>
      </c>
      <c r="C43" s="2" t="s">
        <v>189</v>
      </c>
      <c r="D43" s="2">
        <v>0</v>
      </c>
      <c r="E43" s="90" t="s">
        <v>41</v>
      </c>
    </row>
    <row r="44" spans="1:5" x14ac:dyDescent="0.25">
      <c r="A44" s="91" t="s">
        <v>59</v>
      </c>
      <c r="B44" s="2">
        <v>2</v>
      </c>
      <c r="C44" s="2" t="s">
        <v>189</v>
      </c>
      <c r="D44" s="2">
        <v>1</v>
      </c>
      <c r="E44" s="90" t="s">
        <v>49</v>
      </c>
    </row>
    <row r="45" spans="1:5" x14ac:dyDescent="0.25">
      <c r="A45" s="91" t="s">
        <v>43</v>
      </c>
      <c r="B45" s="2">
        <v>2</v>
      </c>
      <c r="C45" s="2" t="s">
        <v>189</v>
      </c>
      <c r="D45" s="2">
        <v>1</v>
      </c>
      <c r="E45" s="90" t="s">
        <v>329</v>
      </c>
    </row>
    <row r="46" spans="1:5" x14ac:dyDescent="0.25">
      <c r="A46" s="91" t="s">
        <v>57</v>
      </c>
      <c r="B46" s="2">
        <v>1</v>
      </c>
      <c r="C46" s="2" t="s">
        <v>189</v>
      </c>
      <c r="D46" s="2">
        <v>1</v>
      </c>
      <c r="E46" s="90" t="s">
        <v>65</v>
      </c>
    </row>
    <row r="47" spans="1:5" x14ac:dyDescent="0.25">
      <c r="A47" s="91" t="s">
        <v>54</v>
      </c>
      <c r="B47" s="2">
        <v>1</v>
      </c>
      <c r="C47" s="2" t="s">
        <v>189</v>
      </c>
      <c r="D47" s="2">
        <v>0</v>
      </c>
      <c r="E47" s="90" t="s">
        <v>63</v>
      </c>
    </row>
    <row r="48" spans="1:5" x14ac:dyDescent="0.25">
      <c r="A48" s="91" t="s">
        <v>60</v>
      </c>
      <c r="B48" s="2">
        <v>1</v>
      </c>
      <c r="C48" s="2" t="s">
        <v>189</v>
      </c>
      <c r="D48" s="2">
        <v>1</v>
      </c>
      <c r="E48" s="90" t="s">
        <v>52</v>
      </c>
    </row>
    <row r="49" spans="1:5" x14ac:dyDescent="0.25">
      <c r="A49" s="91" t="s">
        <v>64</v>
      </c>
      <c r="B49" s="2">
        <v>2</v>
      </c>
      <c r="C49" s="2" t="s">
        <v>189</v>
      </c>
      <c r="D49" s="2">
        <v>2</v>
      </c>
      <c r="E49" s="90" t="s">
        <v>67</v>
      </c>
    </row>
    <row r="51" spans="1:5" x14ac:dyDescent="0.25">
      <c r="A51" s="91" t="s">
        <v>310</v>
      </c>
    </row>
    <row r="52" spans="1:5" x14ac:dyDescent="0.25">
      <c r="A52" s="91" t="s">
        <v>56</v>
      </c>
      <c r="B52" s="2">
        <v>2</v>
      </c>
      <c r="C52" s="2" t="s">
        <v>189</v>
      </c>
      <c r="D52" s="2">
        <v>0</v>
      </c>
      <c r="E52" s="90" t="s">
        <v>328</v>
      </c>
    </row>
    <row r="53" spans="1:5" x14ac:dyDescent="0.25">
      <c r="A53" s="91" t="s">
        <v>40</v>
      </c>
      <c r="B53" s="2">
        <v>2</v>
      </c>
      <c r="C53" s="2" t="s">
        <v>189</v>
      </c>
      <c r="D53" s="2">
        <v>1</v>
      </c>
      <c r="E53" s="90" t="s">
        <v>41</v>
      </c>
    </row>
    <row r="54" spans="1:5" x14ac:dyDescent="0.25">
      <c r="A54" s="91" t="s">
        <v>59</v>
      </c>
      <c r="B54" s="2">
        <v>1</v>
      </c>
      <c r="C54" s="2" t="s">
        <v>189</v>
      </c>
      <c r="D54" s="2">
        <v>0</v>
      </c>
      <c r="E54" s="90" t="s">
        <v>49</v>
      </c>
    </row>
    <row r="55" spans="1:5" x14ac:dyDescent="0.25">
      <c r="A55" s="91" t="s">
        <v>43</v>
      </c>
      <c r="B55" s="2">
        <v>2</v>
      </c>
      <c r="C55" s="2" t="s">
        <v>189</v>
      </c>
      <c r="D55" s="2">
        <v>0</v>
      </c>
      <c r="E55" s="90" t="s">
        <v>329</v>
      </c>
    </row>
    <row r="56" spans="1:5" x14ac:dyDescent="0.25">
      <c r="A56" s="91" t="s">
        <v>57</v>
      </c>
      <c r="B56" s="2">
        <v>3</v>
      </c>
      <c r="C56" s="2" t="s">
        <v>189</v>
      </c>
      <c r="D56" s="2">
        <v>1</v>
      </c>
      <c r="E56" s="90" t="s">
        <v>65</v>
      </c>
    </row>
    <row r="57" spans="1:5" x14ac:dyDescent="0.25">
      <c r="A57" s="91" t="s">
        <v>54</v>
      </c>
      <c r="B57" s="2">
        <v>2</v>
      </c>
      <c r="C57" s="2" t="s">
        <v>189</v>
      </c>
      <c r="D57" s="2">
        <v>0</v>
      </c>
      <c r="E57" s="90" t="s">
        <v>63</v>
      </c>
    </row>
    <row r="58" spans="1:5" x14ac:dyDescent="0.25">
      <c r="A58" s="91" t="s">
        <v>60</v>
      </c>
      <c r="B58" s="2">
        <v>1</v>
      </c>
      <c r="C58" s="2" t="s">
        <v>189</v>
      </c>
      <c r="D58" s="2">
        <v>2</v>
      </c>
      <c r="E58" s="90" t="s">
        <v>52</v>
      </c>
    </row>
    <row r="59" spans="1:5" x14ac:dyDescent="0.25">
      <c r="A59" s="91" t="s">
        <v>64</v>
      </c>
      <c r="B59" s="2">
        <v>1</v>
      </c>
      <c r="C59" s="2" t="s">
        <v>189</v>
      </c>
      <c r="D59" s="2">
        <v>0</v>
      </c>
      <c r="E59" s="90" t="s">
        <v>67</v>
      </c>
    </row>
    <row r="61" spans="1:5" x14ac:dyDescent="0.25">
      <c r="A61" s="91" t="s">
        <v>311</v>
      </c>
    </row>
    <row r="62" spans="1:5" x14ac:dyDescent="0.25">
      <c r="A62" s="91" t="s">
        <v>56</v>
      </c>
      <c r="B62" s="2">
        <v>2</v>
      </c>
      <c r="C62" s="2" t="s">
        <v>189</v>
      </c>
      <c r="D62" s="2">
        <v>0</v>
      </c>
      <c r="E62" s="90" t="s">
        <v>328</v>
      </c>
    </row>
    <row r="63" spans="1:5" x14ac:dyDescent="0.25">
      <c r="A63" s="91" t="s">
        <v>40</v>
      </c>
      <c r="B63" s="2">
        <v>2</v>
      </c>
      <c r="C63" s="2" t="s">
        <v>189</v>
      </c>
      <c r="D63" s="2">
        <v>1</v>
      </c>
      <c r="E63" s="90" t="s">
        <v>41</v>
      </c>
    </row>
    <row r="64" spans="1:5" x14ac:dyDescent="0.25">
      <c r="A64" s="91" t="s">
        <v>59</v>
      </c>
      <c r="B64" s="2">
        <v>1</v>
      </c>
      <c r="C64" s="2" t="s">
        <v>189</v>
      </c>
      <c r="D64" s="2">
        <v>0</v>
      </c>
      <c r="E64" s="90" t="s">
        <v>49</v>
      </c>
    </row>
    <row r="65" spans="1:5" x14ac:dyDescent="0.25">
      <c r="A65" s="91" t="s">
        <v>43</v>
      </c>
      <c r="B65" s="2">
        <v>2</v>
      </c>
      <c r="C65" s="2" t="s">
        <v>189</v>
      </c>
      <c r="D65" s="2">
        <v>0</v>
      </c>
      <c r="E65" s="90" t="s">
        <v>329</v>
      </c>
    </row>
    <row r="66" spans="1:5" x14ac:dyDescent="0.25">
      <c r="A66" s="91" t="s">
        <v>57</v>
      </c>
      <c r="B66" s="2">
        <v>3</v>
      </c>
      <c r="C66" s="2" t="s">
        <v>189</v>
      </c>
      <c r="D66" s="2">
        <v>1</v>
      </c>
      <c r="E66" s="90" t="s">
        <v>65</v>
      </c>
    </row>
    <row r="67" spans="1:5" x14ac:dyDescent="0.25">
      <c r="A67" s="91" t="s">
        <v>54</v>
      </c>
      <c r="B67" s="2">
        <v>2</v>
      </c>
      <c r="C67" s="2" t="s">
        <v>189</v>
      </c>
      <c r="D67" s="2">
        <v>0</v>
      </c>
      <c r="E67" s="90" t="s">
        <v>63</v>
      </c>
    </row>
    <row r="68" spans="1:5" x14ac:dyDescent="0.25">
      <c r="A68" s="91" t="s">
        <v>60</v>
      </c>
      <c r="B68" s="2">
        <v>1</v>
      </c>
      <c r="C68" s="2" t="s">
        <v>189</v>
      </c>
      <c r="D68" s="2">
        <v>2</v>
      </c>
      <c r="E68" s="90" t="s">
        <v>52</v>
      </c>
    </row>
    <row r="69" spans="1:5" x14ac:dyDescent="0.25">
      <c r="A69" s="91" t="s">
        <v>64</v>
      </c>
      <c r="B69" s="2">
        <v>1</v>
      </c>
      <c r="C69" s="2" t="s">
        <v>189</v>
      </c>
      <c r="D69" s="2">
        <v>0</v>
      </c>
      <c r="E69" s="90" t="s">
        <v>67</v>
      </c>
    </row>
    <row r="71" spans="1:5" x14ac:dyDescent="0.25">
      <c r="A71" s="91" t="s">
        <v>312</v>
      </c>
    </row>
    <row r="72" spans="1:5" x14ac:dyDescent="0.25">
      <c r="A72" s="91" t="s">
        <v>56</v>
      </c>
      <c r="B72" s="2">
        <v>2</v>
      </c>
      <c r="C72" s="2" t="s">
        <v>189</v>
      </c>
      <c r="D72" s="2">
        <v>0</v>
      </c>
      <c r="E72" s="90" t="s">
        <v>328</v>
      </c>
    </row>
    <row r="73" spans="1:5" x14ac:dyDescent="0.25">
      <c r="A73" s="91" t="s">
        <v>40</v>
      </c>
      <c r="B73" s="2">
        <v>2</v>
      </c>
      <c r="C73" s="2" t="s">
        <v>189</v>
      </c>
      <c r="D73" s="2">
        <v>1</v>
      </c>
      <c r="E73" s="90" t="s">
        <v>41</v>
      </c>
    </row>
    <row r="74" spans="1:5" x14ac:dyDescent="0.25">
      <c r="A74" s="91" t="s">
        <v>59</v>
      </c>
      <c r="B74" s="2">
        <v>2</v>
      </c>
      <c r="C74" s="2" t="s">
        <v>189</v>
      </c>
      <c r="D74" s="2">
        <v>2</v>
      </c>
      <c r="E74" s="90" t="s">
        <v>49</v>
      </c>
    </row>
    <row r="75" spans="1:5" x14ac:dyDescent="0.25">
      <c r="A75" s="91" t="s">
        <v>43</v>
      </c>
      <c r="B75" s="2">
        <v>2</v>
      </c>
      <c r="C75" s="2" t="s">
        <v>189</v>
      </c>
      <c r="D75" s="2">
        <v>1</v>
      </c>
      <c r="E75" s="90" t="s">
        <v>329</v>
      </c>
    </row>
    <row r="76" spans="1:5" x14ac:dyDescent="0.25">
      <c r="A76" s="91" t="s">
        <v>57</v>
      </c>
      <c r="B76" s="2">
        <v>2</v>
      </c>
      <c r="C76" s="2" t="s">
        <v>189</v>
      </c>
      <c r="D76" s="2">
        <v>0</v>
      </c>
      <c r="E76" s="90" t="s">
        <v>65</v>
      </c>
    </row>
    <row r="77" spans="1:5" x14ac:dyDescent="0.25">
      <c r="A77" s="91" t="s">
        <v>54</v>
      </c>
      <c r="B77" s="2">
        <v>2</v>
      </c>
      <c r="C77" s="2" t="s">
        <v>189</v>
      </c>
      <c r="D77" s="2">
        <v>0</v>
      </c>
      <c r="E77" s="90" t="s">
        <v>63</v>
      </c>
    </row>
    <row r="78" spans="1:5" x14ac:dyDescent="0.25">
      <c r="A78" s="91" t="s">
        <v>60</v>
      </c>
      <c r="B78" s="2">
        <v>1</v>
      </c>
      <c r="C78" s="2" t="s">
        <v>189</v>
      </c>
      <c r="D78" s="2">
        <v>0</v>
      </c>
      <c r="E78" s="90" t="s">
        <v>52</v>
      </c>
    </row>
    <row r="79" spans="1:5" x14ac:dyDescent="0.25">
      <c r="A79" s="91" t="s">
        <v>64</v>
      </c>
      <c r="B79" s="2">
        <v>0</v>
      </c>
      <c r="C79" s="2" t="s">
        <v>189</v>
      </c>
      <c r="D79" s="2">
        <v>0</v>
      </c>
      <c r="E79" s="90" t="s">
        <v>67</v>
      </c>
    </row>
    <row r="81" spans="1:5" x14ac:dyDescent="0.25">
      <c r="A81" s="91" t="s">
        <v>313</v>
      </c>
    </row>
    <row r="82" spans="1:5" x14ac:dyDescent="0.25">
      <c r="A82" s="91" t="s">
        <v>56</v>
      </c>
      <c r="B82" s="2">
        <v>1</v>
      </c>
      <c r="C82" s="2" t="s">
        <v>189</v>
      </c>
      <c r="D82" s="2">
        <v>0</v>
      </c>
      <c r="E82" s="90" t="s">
        <v>328</v>
      </c>
    </row>
    <row r="83" spans="1:5" x14ac:dyDescent="0.25">
      <c r="A83" s="91" t="s">
        <v>40</v>
      </c>
      <c r="B83" s="2">
        <v>2</v>
      </c>
      <c r="C83" s="2" t="s">
        <v>189</v>
      </c>
      <c r="D83" s="2">
        <v>0</v>
      </c>
      <c r="E83" s="90" t="s">
        <v>41</v>
      </c>
    </row>
    <row r="84" spans="1:5" x14ac:dyDescent="0.25">
      <c r="A84" s="91" t="s">
        <v>59</v>
      </c>
      <c r="B84" s="2">
        <v>1</v>
      </c>
      <c r="C84" s="2" t="s">
        <v>189</v>
      </c>
      <c r="D84" s="2">
        <v>1</v>
      </c>
      <c r="E84" s="90" t="s">
        <v>49</v>
      </c>
    </row>
    <row r="85" spans="1:5" x14ac:dyDescent="0.25">
      <c r="A85" s="91" t="s">
        <v>43</v>
      </c>
      <c r="B85" s="2">
        <v>2</v>
      </c>
      <c r="C85" s="2" t="s">
        <v>189</v>
      </c>
      <c r="D85" s="2">
        <v>0</v>
      </c>
      <c r="E85" s="90" t="s">
        <v>329</v>
      </c>
    </row>
    <row r="86" spans="1:5" x14ac:dyDescent="0.25">
      <c r="A86" s="91" t="s">
        <v>57</v>
      </c>
      <c r="B86" s="2">
        <v>1</v>
      </c>
      <c r="C86" s="2" t="s">
        <v>189</v>
      </c>
      <c r="D86" s="2">
        <v>0</v>
      </c>
      <c r="E86" s="90" t="s">
        <v>65</v>
      </c>
    </row>
    <row r="87" spans="1:5" x14ac:dyDescent="0.25">
      <c r="A87" s="91" t="s">
        <v>54</v>
      </c>
      <c r="B87" s="2">
        <v>3</v>
      </c>
      <c r="C87" s="2" t="s">
        <v>189</v>
      </c>
      <c r="D87" s="2">
        <v>0</v>
      </c>
      <c r="E87" s="90" t="s">
        <v>63</v>
      </c>
    </row>
    <row r="88" spans="1:5" x14ac:dyDescent="0.25">
      <c r="A88" s="91" t="s">
        <v>60</v>
      </c>
      <c r="B88" s="2">
        <v>0</v>
      </c>
      <c r="C88" s="2" t="s">
        <v>189</v>
      </c>
      <c r="D88" s="2">
        <v>1</v>
      </c>
      <c r="E88" s="90" t="s">
        <v>52</v>
      </c>
    </row>
    <row r="89" spans="1:5" x14ac:dyDescent="0.25">
      <c r="A89" s="91" t="s">
        <v>64</v>
      </c>
      <c r="B89" s="2">
        <v>1</v>
      </c>
      <c r="C89" s="2" t="s">
        <v>189</v>
      </c>
      <c r="D89" s="2">
        <v>1</v>
      </c>
      <c r="E89" s="90" t="s">
        <v>67</v>
      </c>
    </row>
    <row r="91" spans="1:5" x14ac:dyDescent="0.25">
      <c r="A91" s="91" t="s">
        <v>314</v>
      </c>
    </row>
    <row r="92" spans="1:5" x14ac:dyDescent="0.25">
      <c r="A92" s="91" t="s">
        <v>56</v>
      </c>
      <c r="B92" s="2">
        <v>1</v>
      </c>
      <c r="C92" s="2" t="s">
        <v>189</v>
      </c>
      <c r="D92" s="2">
        <v>2</v>
      </c>
      <c r="E92" s="90" t="s">
        <v>328</v>
      </c>
    </row>
    <row r="93" spans="1:5" x14ac:dyDescent="0.25">
      <c r="A93" s="91" t="s">
        <v>40</v>
      </c>
      <c r="B93" s="2">
        <v>1</v>
      </c>
      <c r="C93" s="2" t="s">
        <v>189</v>
      </c>
      <c r="D93" s="2">
        <v>0</v>
      </c>
      <c r="E93" s="90" t="s">
        <v>41</v>
      </c>
    </row>
    <row r="94" spans="1:5" x14ac:dyDescent="0.25">
      <c r="A94" s="91" t="s">
        <v>59</v>
      </c>
      <c r="B94" s="2">
        <v>2</v>
      </c>
      <c r="C94" s="2" t="s">
        <v>189</v>
      </c>
      <c r="D94" s="2">
        <v>1</v>
      </c>
      <c r="E94" s="90" t="s">
        <v>49</v>
      </c>
    </row>
    <row r="95" spans="1:5" x14ac:dyDescent="0.25">
      <c r="A95" s="91" t="s">
        <v>43</v>
      </c>
      <c r="B95" s="2">
        <v>2</v>
      </c>
      <c r="C95" s="2" t="s">
        <v>189</v>
      </c>
      <c r="D95" s="2">
        <v>1</v>
      </c>
      <c r="E95" s="90" t="s">
        <v>329</v>
      </c>
    </row>
    <row r="96" spans="1:5" x14ac:dyDescent="0.25">
      <c r="A96" s="91" t="s">
        <v>57</v>
      </c>
      <c r="B96" s="2">
        <v>2</v>
      </c>
      <c r="C96" s="2" t="s">
        <v>189</v>
      </c>
      <c r="D96" s="2">
        <v>0</v>
      </c>
      <c r="E96" s="90" t="s">
        <v>65</v>
      </c>
    </row>
    <row r="97" spans="1:5" x14ac:dyDescent="0.25">
      <c r="A97" s="91" t="s">
        <v>54</v>
      </c>
      <c r="B97" s="2">
        <v>3</v>
      </c>
      <c r="C97" s="2" t="s">
        <v>189</v>
      </c>
      <c r="D97" s="2">
        <v>1</v>
      </c>
      <c r="E97" s="90" t="s">
        <v>63</v>
      </c>
    </row>
    <row r="98" spans="1:5" x14ac:dyDescent="0.25">
      <c r="A98" s="91" t="s">
        <v>60</v>
      </c>
      <c r="B98" s="2">
        <v>0</v>
      </c>
      <c r="C98" s="2" t="s">
        <v>189</v>
      </c>
      <c r="D98" s="2">
        <v>1</v>
      </c>
      <c r="E98" s="90" t="s">
        <v>52</v>
      </c>
    </row>
    <row r="99" spans="1:5" x14ac:dyDescent="0.25">
      <c r="A99" s="91" t="s">
        <v>64</v>
      </c>
      <c r="B99" s="2">
        <v>2</v>
      </c>
      <c r="C99" s="2" t="s">
        <v>189</v>
      </c>
      <c r="D99" s="2">
        <v>2</v>
      </c>
      <c r="E99" s="90" t="s">
        <v>67</v>
      </c>
    </row>
    <row r="101" spans="1:5" x14ac:dyDescent="0.25">
      <c r="A101" s="91" t="s">
        <v>315</v>
      </c>
    </row>
    <row r="102" spans="1:5" x14ac:dyDescent="0.25">
      <c r="A102" s="91" t="s">
        <v>56</v>
      </c>
      <c r="B102" s="2">
        <v>2</v>
      </c>
      <c r="C102" s="2" t="s">
        <v>189</v>
      </c>
      <c r="D102" s="2">
        <v>1</v>
      </c>
      <c r="E102" s="90" t="s">
        <v>328</v>
      </c>
    </row>
    <row r="103" spans="1:5" x14ac:dyDescent="0.25">
      <c r="A103" s="91" t="s">
        <v>40</v>
      </c>
      <c r="B103" s="2">
        <v>2</v>
      </c>
      <c r="C103" s="2" t="s">
        <v>189</v>
      </c>
      <c r="D103" s="2">
        <v>0</v>
      </c>
      <c r="E103" s="90" t="s">
        <v>41</v>
      </c>
    </row>
    <row r="104" spans="1:5" x14ac:dyDescent="0.25">
      <c r="A104" s="91" t="s">
        <v>59</v>
      </c>
      <c r="B104" s="2">
        <v>1</v>
      </c>
      <c r="C104" s="2" t="s">
        <v>189</v>
      </c>
      <c r="D104" s="2">
        <v>2</v>
      </c>
      <c r="E104" s="90" t="s">
        <v>49</v>
      </c>
    </row>
    <row r="105" spans="1:5" x14ac:dyDescent="0.25">
      <c r="A105" s="91" t="s">
        <v>43</v>
      </c>
      <c r="B105" s="2">
        <v>2</v>
      </c>
      <c r="C105" s="2" t="s">
        <v>189</v>
      </c>
      <c r="D105" s="2">
        <v>0</v>
      </c>
      <c r="E105" s="90" t="s">
        <v>329</v>
      </c>
    </row>
    <row r="106" spans="1:5" x14ac:dyDescent="0.25">
      <c r="A106" s="91" t="s">
        <v>57</v>
      </c>
      <c r="B106" s="2">
        <v>1</v>
      </c>
      <c r="C106" s="2" t="s">
        <v>189</v>
      </c>
      <c r="D106" s="2">
        <v>0</v>
      </c>
      <c r="E106" s="90" t="s">
        <v>65</v>
      </c>
    </row>
    <row r="107" spans="1:5" x14ac:dyDescent="0.25">
      <c r="A107" s="91" t="s">
        <v>54</v>
      </c>
      <c r="B107" s="2">
        <v>1</v>
      </c>
      <c r="C107" s="2" t="s">
        <v>189</v>
      </c>
      <c r="D107" s="2">
        <v>0</v>
      </c>
      <c r="E107" s="90" t="s">
        <v>63</v>
      </c>
    </row>
    <row r="108" spans="1:5" x14ac:dyDescent="0.25">
      <c r="A108" s="91" t="s">
        <v>60</v>
      </c>
      <c r="B108" s="2">
        <v>1</v>
      </c>
      <c r="C108" s="2" t="s">
        <v>189</v>
      </c>
      <c r="D108" s="2">
        <v>2</v>
      </c>
      <c r="E108" s="90" t="s">
        <v>52</v>
      </c>
    </row>
    <row r="109" spans="1:5" x14ac:dyDescent="0.25">
      <c r="A109" s="91" t="s">
        <v>64</v>
      </c>
      <c r="B109" s="2">
        <v>1</v>
      </c>
      <c r="C109" s="2" t="s">
        <v>189</v>
      </c>
      <c r="D109" s="2">
        <v>0</v>
      </c>
      <c r="E109" s="90" t="s">
        <v>67</v>
      </c>
    </row>
    <row r="111" spans="1:5" x14ac:dyDescent="0.25">
      <c r="A111" s="91" t="s">
        <v>316</v>
      </c>
    </row>
    <row r="112" spans="1:5" x14ac:dyDescent="0.25">
      <c r="A112" s="91" t="s">
        <v>56</v>
      </c>
      <c r="B112" s="2">
        <v>1</v>
      </c>
      <c r="C112" s="2" t="s">
        <v>189</v>
      </c>
      <c r="D112" s="2">
        <v>2</v>
      </c>
      <c r="E112" s="90" t="s">
        <v>328</v>
      </c>
    </row>
    <row r="113" spans="1:5" x14ac:dyDescent="0.25">
      <c r="A113" s="91" t="s">
        <v>40</v>
      </c>
      <c r="B113" s="2">
        <v>1</v>
      </c>
      <c r="C113" s="2" t="s">
        <v>189</v>
      </c>
      <c r="D113" s="2">
        <v>1</v>
      </c>
      <c r="E113" s="90" t="s">
        <v>41</v>
      </c>
    </row>
    <row r="114" spans="1:5" x14ac:dyDescent="0.25">
      <c r="A114" s="91" t="s">
        <v>59</v>
      </c>
      <c r="B114" s="2">
        <v>0</v>
      </c>
      <c r="C114" s="2" t="s">
        <v>189</v>
      </c>
      <c r="D114" s="2">
        <v>2</v>
      </c>
      <c r="E114" s="90" t="s">
        <v>49</v>
      </c>
    </row>
    <row r="115" spans="1:5" x14ac:dyDescent="0.25">
      <c r="A115" s="91" t="s">
        <v>43</v>
      </c>
      <c r="B115" s="2">
        <v>2</v>
      </c>
      <c r="C115" s="2" t="s">
        <v>189</v>
      </c>
      <c r="D115" s="2">
        <v>0</v>
      </c>
      <c r="E115" s="90" t="s">
        <v>329</v>
      </c>
    </row>
    <row r="116" spans="1:5" x14ac:dyDescent="0.25">
      <c r="A116" s="91" t="s">
        <v>57</v>
      </c>
      <c r="B116" s="2">
        <v>3</v>
      </c>
      <c r="C116" s="2" t="s">
        <v>189</v>
      </c>
      <c r="D116" s="2">
        <v>1</v>
      </c>
      <c r="E116" s="90" t="s">
        <v>65</v>
      </c>
    </row>
    <row r="117" spans="1:5" x14ac:dyDescent="0.25">
      <c r="A117" s="91" t="s">
        <v>54</v>
      </c>
      <c r="B117" s="2">
        <v>2</v>
      </c>
      <c r="C117" s="2" t="s">
        <v>189</v>
      </c>
      <c r="D117" s="2">
        <v>0</v>
      </c>
      <c r="E117" s="90" t="s">
        <v>63</v>
      </c>
    </row>
    <row r="118" spans="1:5" x14ac:dyDescent="0.25">
      <c r="A118" s="91" t="s">
        <v>60</v>
      </c>
      <c r="B118" s="2">
        <v>1</v>
      </c>
      <c r="C118" s="2" t="s">
        <v>189</v>
      </c>
      <c r="D118" s="2">
        <v>2</v>
      </c>
      <c r="E118" s="90" t="s">
        <v>52</v>
      </c>
    </row>
    <row r="119" spans="1:5" x14ac:dyDescent="0.25">
      <c r="A119" s="91" t="s">
        <v>64</v>
      </c>
      <c r="B119" s="2">
        <v>0</v>
      </c>
      <c r="C119" s="2" t="s">
        <v>189</v>
      </c>
      <c r="D119" s="2">
        <v>1</v>
      </c>
      <c r="E119" s="90" t="s">
        <v>67</v>
      </c>
    </row>
    <row r="121" spans="1:5" x14ac:dyDescent="0.25">
      <c r="A121" s="91" t="s">
        <v>317</v>
      </c>
    </row>
    <row r="122" spans="1:5" x14ac:dyDescent="0.25">
      <c r="A122" s="91" t="s">
        <v>56</v>
      </c>
      <c r="B122" s="2">
        <v>1</v>
      </c>
      <c r="C122" s="2" t="s">
        <v>189</v>
      </c>
      <c r="D122" s="2">
        <v>1</v>
      </c>
      <c r="E122" s="90" t="s">
        <v>328</v>
      </c>
    </row>
    <row r="123" spans="1:5" x14ac:dyDescent="0.25">
      <c r="A123" s="91" t="s">
        <v>40</v>
      </c>
      <c r="B123" s="2">
        <v>2</v>
      </c>
      <c r="C123" s="2" t="s">
        <v>189</v>
      </c>
      <c r="D123" s="2">
        <v>1</v>
      </c>
      <c r="E123" s="90" t="s">
        <v>41</v>
      </c>
    </row>
    <row r="124" spans="1:5" x14ac:dyDescent="0.25">
      <c r="A124" s="91" t="s">
        <v>59</v>
      </c>
      <c r="B124" s="2">
        <v>2</v>
      </c>
      <c r="C124" s="2" t="s">
        <v>189</v>
      </c>
      <c r="D124" s="2">
        <v>0</v>
      </c>
      <c r="E124" s="90" t="s">
        <v>49</v>
      </c>
    </row>
    <row r="125" spans="1:5" x14ac:dyDescent="0.25">
      <c r="A125" s="91" t="s">
        <v>43</v>
      </c>
      <c r="B125" s="2">
        <v>2</v>
      </c>
      <c r="C125" s="2" t="s">
        <v>189</v>
      </c>
      <c r="D125" s="2">
        <v>0</v>
      </c>
      <c r="E125" s="90" t="s">
        <v>329</v>
      </c>
    </row>
    <row r="126" spans="1:5" x14ac:dyDescent="0.25">
      <c r="A126" s="91" t="s">
        <v>57</v>
      </c>
      <c r="B126" s="2">
        <v>4</v>
      </c>
      <c r="C126" s="2" t="s">
        <v>189</v>
      </c>
      <c r="D126" s="2">
        <v>0</v>
      </c>
      <c r="E126" s="90" t="s">
        <v>65</v>
      </c>
    </row>
    <row r="127" spans="1:5" x14ac:dyDescent="0.25">
      <c r="A127" s="91" t="s">
        <v>54</v>
      </c>
      <c r="B127" s="2">
        <v>2</v>
      </c>
      <c r="C127" s="2" t="s">
        <v>189</v>
      </c>
      <c r="D127" s="2">
        <v>1</v>
      </c>
      <c r="E127" s="90" t="s">
        <v>63</v>
      </c>
    </row>
    <row r="128" spans="1:5" x14ac:dyDescent="0.25">
      <c r="A128" s="91" t="s">
        <v>60</v>
      </c>
      <c r="B128" s="2">
        <v>1</v>
      </c>
      <c r="C128" s="2" t="s">
        <v>189</v>
      </c>
      <c r="D128" s="2">
        <v>3</v>
      </c>
      <c r="E128" s="90" t="s">
        <v>52</v>
      </c>
    </row>
    <row r="129" spans="1:6" x14ac:dyDescent="0.25">
      <c r="A129" s="91" t="s">
        <v>64</v>
      </c>
      <c r="B129" s="2">
        <v>1</v>
      </c>
      <c r="C129" s="2" t="s">
        <v>189</v>
      </c>
      <c r="D129" s="2">
        <v>0</v>
      </c>
      <c r="E129" s="90" t="s">
        <v>67</v>
      </c>
    </row>
    <row r="131" spans="1:6" x14ac:dyDescent="0.25">
      <c r="A131" s="91" t="s">
        <v>318</v>
      </c>
    </row>
    <row r="132" spans="1:6" x14ac:dyDescent="0.25">
      <c r="A132" s="91" t="s">
        <v>56</v>
      </c>
      <c r="B132" s="2">
        <v>1</v>
      </c>
      <c r="C132" s="2" t="s">
        <v>189</v>
      </c>
      <c r="D132" s="2">
        <v>0</v>
      </c>
      <c r="E132" s="90" t="s">
        <v>330</v>
      </c>
      <c r="F132" t="s">
        <v>331</v>
      </c>
    </row>
    <row r="133" spans="1:6" x14ac:dyDescent="0.25">
      <c r="A133" s="91" t="s">
        <v>40</v>
      </c>
      <c r="B133" s="2">
        <v>2</v>
      </c>
      <c r="C133" s="2" t="s">
        <v>189</v>
      </c>
      <c r="D133" s="2">
        <v>0</v>
      </c>
      <c r="E133" s="90" t="s">
        <v>41</v>
      </c>
    </row>
    <row r="134" spans="1:6" x14ac:dyDescent="0.25">
      <c r="A134" s="91" t="s">
        <v>59</v>
      </c>
      <c r="B134" s="2">
        <v>2</v>
      </c>
      <c r="C134" s="2" t="s">
        <v>189</v>
      </c>
      <c r="D134" s="2">
        <v>1</v>
      </c>
      <c r="E134" s="90" t="s">
        <v>49</v>
      </c>
    </row>
    <row r="135" spans="1:6" x14ac:dyDescent="0.25">
      <c r="A135" s="91" t="s">
        <v>43</v>
      </c>
      <c r="B135" s="2">
        <v>2</v>
      </c>
      <c r="C135" s="2" t="s">
        <v>189</v>
      </c>
      <c r="D135" s="2">
        <v>0</v>
      </c>
      <c r="E135" s="90" t="s">
        <v>329</v>
      </c>
    </row>
    <row r="136" spans="1:6" x14ac:dyDescent="0.25">
      <c r="A136" s="91" t="s">
        <v>57</v>
      </c>
      <c r="B136" s="2">
        <v>1</v>
      </c>
      <c r="C136" s="2" t="s">
        <v>189</v>
      </c>
      <c r="D136" s="2">
        <v>0</v>
      </c>
      <c r="E136" s="90" t="s">
        <v>65</v>
      </c>
    </row>
    <row r="137" spans="1:6" x14ac:dyDescent="0.25">
      <c r="A137" s="91" t="s">
        <v>54</v>
      </c>
      <c r="B137" s="2">
        <v>3</v>
      </c>
      <c r="C137" s="2" t="s">
        <v>189</v>
      </c>
      <c r="D137" s="2">
        <v>0</v>
      </c>
      <c r="E137" s="90" t="s">
        <v>63</v>
      </c>
    </row>
    <row r="138" spans="1:6" x14ac:dyDescent="0.25">
      <c r="A138" s="91" t="s">
        <v>60</v>
      </c>
      <c r="B138" s="2">
        <v>1</v>
      </c>
      <c r="C138" s="2" t="s">
        <v>189</v>
      </c>
      <c r="D138" s="2">
        <v>2</v>
      </c>
      <c r="E138" s="90" t="s">
        <v>52</v>
      </c>
    </row>
    <row r="139" spans="1:6" x14ac:dyDescent="0.25">
      <c r="A139" s="91" t="s">
        <v>64</v>
      </c>
      <c r="B139" s="2">
        <v>1</v>
      </c>
      <c r="C139" s="2" t="s">
        <v>189</v>
      </c>
      <c r="D139" s="2">
        <v>0</v>
      </c>
      <c r="E139" s="90" t="s">
        <v>67</v>
      </c>
    </row>
    <row r="141" spans="1:6" x14ac:dyDescent="0.25">
      <c r="A141" s="91" t="s">
        <v>319</v>
      </c>
    </row>
    <row r="142" spans="1:6" x14ac:dyDescent="0.25">
      <c r="A142" s="91" t="s">
        <v>56</v>
      </c>
      <c r="B142" s="2">
        <v>1</v>
      </c>
      <c r="C142" s="2" t="s">
        <v>189</v>
      </c>
      <c r="D142" s="2">
        <v>0</v>
      </c>
      <c r="E142" s="90" t="s">
        <v>328</v>
      </c>
    </row>
    <row r="143" spans="1:6" x14ac:dyDescent="0.25">
      <c r="A143" s="91" t="s">
        <v>40</v>
      </c>
      <c r="B143" s="2">
        <v>0</v>
      </c>
      <c r="C143" s="2" t="s">
        <v>189</v>
      </c>
      <c r="D143" s="2">
        <v>1</v>
      </c>
      <c r="E143" s="90" t="s">
        <v>41</v>
      </c>
    </row>
    <row r="144" spans="1:6" x14ac:dyDescent="0.25">
      <c r="A144" s="91" t="s">
        <v>59</v>
      </c>
      <c r="B144" s="2">
        <v>1</v>
      </c>
      <c r="C144" s="2" t="s">
        <v>189</v>
      </c>
      <c r="D144" s="2">
        <v>0</v>
      </c>
      <c r="E144" s="90" t="s">
        <v>49</v>
      </c>
    </row>
    <row r="145" spans="1:5" x14ac:dyDescent="0.25">
      <c r="A145" s="91" t="s">
        <v>43</v>
      </c>
      <c r="B145" s="2">
        <v>0</v>
      </c>
      <c r="C145" s="2" t="s">
        <v>189</v>
      </c>
      <c r="D145" s="2">
        <v>1</v>
      </c>
      <c r="E145" s="90" t="s">
        <v>329</v>
      </c>
    </row>
    <row r="146" spans="1:5" x14ac:dyDescent="0.25">
      <c r="A146" s="91" t="s">
        <v>57</v>
      </c>
      <c r="B146" s="2">
        <v>1</v>
      </c>
      <c r="C146" s="2" t="s">
        <v>189</v>
      </c>
      <c r="D146" s="2">
        <v>0</v>
      </c>
      <c r="E146" s="90" t="s">
        <v>65</v>
      </c>
    </row>
    <row r="147" spans="1:5" x14ac:dyDescent="0.25">
      <c r="A147" s="91" t="s">
        <v>54</v>
      </c>
      <c r="B147" s="2">
        <v>1</v>
      </c>
      <c r="C147" s="2" t="s">
        <v>189</v>
      </c>
      <c r="D147" s="2">
        <v>0</v>
      </c>
      <c r="E147" s="90" t="s">
        <v>63</v>
      </c>
    </row>
    <row r="148" spans="1:5" x14ac:dyDescent="0.25">
      <c r="A148" s="91" t="s">
        <v>60</v>
      </c>
      <c r="B148" s="2">
        <v>0</v>
      </c>
      <c r="C148" s="2" t="s">
        <v>189</v>
      </c>
      <c r="D148" s="2">
        <v>1</v>
      </c>
      <c r="E148" s="90" t="s">
        <v>52</v>
      </c>
    </row>
    <row r="149" spans="1:5" x14ac:dyDescent="0.25">
      <c r="A149" s="91" t="s">
        <v>64</v>
      </c>
      <c r="B149" s="2">
        <v>1</v>
      </c>
      <c r="C149" s="2" t="s">
        <v>189</v>
      </c>
      <c r="D149" s="2">
        <v>0</v>
      </c>
      <c r="E149" s="90" t="s">
        <v>67</v>
      </c>
    </row>
    <row r="151" spans="1:5" x14ac:dyDescent="0.25">
      <c r="A151" s="91" t="s">
        <v>320</v>
      </c>
    </row>
    <row r="152" spans="1:5" x14ac:dyDescent="0.25">
      <c r="A152" s="91" t="s">
        <v>56</v>
      </c>
      <c r="B152" s="2">
        <v>1</v>
      </c>
      <c r="C152" s="2" t="s">
        <v>189</v>
      </c>
      <c r="D152" s="2">
        <v>2</v>
      </c>
      <c r="E152" s="90" t="s">
        <v>328</v>
      </c>
    </row>
    <row r="153" spans="1:5" x14ac:dyDescent="0.25">
      <c r="A153" s="91" t="s">
        <v>40</v>
      </c>
      <c r="B153" s="2">
        <v>2</v>
      </c>
      <c r="C153" s="2" t="s">
        <v>189</v>
      </c>
      <c r="D153" s="2">
        <v>1</v>
      </c>
      <c r="E153" s="90" t="s">
        <v>41</v>
      </c>
    </row>
    <row r="154" spans="1:5" x14ac:dyDescent="0.25">
      <c r="A154" s="91" t="s">
        <v>59</v>
      </c>
      <c r="B154" s="2">
        <v>2</v>
      </c>
      <c r="C154" s="2" t="s">
        <v>189</v>
      </c>
      <c r="D154" s="2">
        <v>1</v>
      </c>
      <c r="E154" s="90" t="s">
        <v>49</v>
      </c>
    </row>
    <row r="155" spans="1:5" x14ac:dyDescent="0.25">
      <c r="A155" s="91" t="s">
        <v>43</v>
      </c>
      <c r="B155" s="2">
        <v>2</v>
      </c>
      <c r="C155" s="2" t="s">
        <v>189</v>
      </c>
      <c r="D155" s="2">
        <v>1</v>
      </c>
      <c r="E155" s="90" t="s">
        <v>329</v>
      </c>
    </row>
    <row r="156" spans="1:5" x14ac:dyDescent="0.25">
      <c r="A156" s="91" t="s">
        <v>57</v>
      </c>
      <c r="B156" s="2">
        <v>1</v>
      </c>
      <c r="C156" s="2" t="s">
        <v>189</v>
      </c>
      <c r="D156" s="2">
        <v>2</v>
      </c>
      <c r="E156" s="90" t="s">
        <v>65</v>
      </c>
    </row>
    <row r="157" spans="1:5" x14ac:dyDescent="0.25">
      <c r="A157" s="91" t="s">
        <v>54</v>
      </c>
      <c r="B157" s="2">
        <v>2</v>
      </c>
      <c r="C157" s="2" t="s">
        <v>189</v>
      </c>
      <c r="D157" s="2">
        <v>1</v>
      </c>
      <c r="E157" s="90" t="s">
        <v>63</v>
      </c>
    </row>
    <row r="158" spans="1:5" x14ac:dyDescent="0.25">
      <c r="A158" s="91" t="s">
        <v>60</v>
      </c>
      <c r="B158" s="2">
        <v>1</v>
      </c>
      <c r="C158" s="2" t="s">
        <v>189</v>
      </c>
      <c r="D158" s="2">
        <v>2</v>
      </c>
      <c r="E158" s="90" t="s">
        <v>52</v>
      </c>
    </row>
    <row r="159" spans="1:5" x14ac:dyDescent="0.25">
      <c r="A159" s="91" t="s">
        <v>64</v>
      </c>
      <c r="B159" s="2">
        <v>2</v>
      </c>
      <c r="C159" s="2" t="s">
        <v>189</v>
      </c>
      <c r="D159" s="2">
        <v>1</v>
      </c>
      <c r="E159" s="90" t="s">
        <v>67</v>
      </c>
    </row>
    <row r="161" spans="1:5" x14ac:dyDescent="0.25">
      <c r="A161" s="91" t="s">
        <v>321</v>
      </c>
    </row>
    <row r="162" spans="1:5" x14ac:dyDescent="0.25">
      <c r="A162" s="91" t="s">
        <v>56</v>
      </c>
      <c r="B162" s="2">
        <v>2</v>
      </c>
      <c r="C162" s="2" t="s">
        <v>189</v>
      </c>
      <c r="D162" s="2">
        <v>1</v>
      </c>
      <c r="E162" s="90" t="s">
        <v>328</v>
      </c>
    </row>
    <row r="163" spans="1:5" x14ac:dyDescent="0.25">
      <c r="A163" s="91" t="s">
        <v>40</v>
      </c>
      <c r="B163" s="2">
        <v>1</v>
      </c>
      <c r="C163" s="2" t="s">
        <v>189</v>
      </c>
      <c r="D163" s="2">
        <v>0</v>
      </c>
      <c r="E163" s="90" t="s">
        <v>41</v>
      </c>
    </row>
    <row r="164" spans="1:5" x14ac:dyDescent="0.25">
      <c r="A164" s="91" t="s">
        <v>59</v>
      </c>
      <c r="B164" s="2">
        <v>2</v>
      </c>
      <c r="C164" s="2" t="s">
        <v>189</v>
      </c>
      <c r="D164" s="2">
        <v>1</v>
      </c>
      <c r="E164" s="90" t="s">
        <v>49</v>
      </c>
    </row>
    <row r="165" spans="1:5" x14ac:dyDescent="0.25">
      <c r="A165" s="91" t="s">
        <v>43</v>
      </c>
      <c r="B165" s="2">
        <v>2</v>
      </c>
      <c r="C165" s="2" t="s">
        <v>189</v>
      </c>
      <c r="D165" s="2">
        <v>0</v>
      </c>
      <c r="E165" s="90" t="s">
        <v>329</v>
      </c>
    </row>
    <row r="166" spans="1:5" x14ac:dyDescent="0.25">
      <c r="A166" s="91" t="s">
        <v>57</v>
      </c>
      <c r="B166" s="2">
        <v>1</v>
      </c>
      <c r="C166" s="2" t="s">
        <v>189</v>
      </c>
      <c r="D166" s="2">
        <v>0</v>
      </c>
      <c r="E166" s="90" t="s">
        <v>65</v>
      </c>
    </row>
    <row r="167" spans="1:5" x14ac:dyDescent="0.25">
      <c r="A167" s="91" t="s">
        <v>54</v>
      </c>
      <c r="B167" s="2">
        <v>2</v>
      </c>
      <c r="C167" s="2" t="s">
        <v>189</v>
      </c>
      <c r="D167" s="2">
        <v>0</v>
      </c>
      <c r="E167" s="90" t="s">
        <v>63</v>
      </c>
    </row>
    <row r="168" spans="1:5" x14ac:dyDescent="0.25">
      <c r="A168" s="91" t="s">
        <v>60</v>
      </c>
      <c r="B168" s="2">
        <v>0</v>
      </c>
      <c r="C168" s="2" t="s">
        <v>189</v>
      </c>
      <c r="D168" s="2">
        <v>1</v>
      </c>
      <c r="E168" s="90" t="s">
        <v>52</v>
      </c>
    </row>
    <row r="169" spans="1:5" x14ac:dyDescent="0.25">
      <c r="A169" s="91" t="s">
        <v>64</v>
      </c>
      <c r="B169" s="2">
        <v>2</v>
      </c>
      <c r="C169" s="2" t="s">
        <v>189</v>
      </c>
      <c r="D169" s="2">
        <v>1</v>
      </c>
      <c r="E169" s="90" t="s">
        <v>67</v>
      </c>
    </row>
    <row r="171" spans="1:5" x14ac:dyDescent="0.25">
      <c r="A171" s="91" t="s">
        <v>322</v>
      </c>
    </row>
    <row r="172" spans="1:5" x14ac:dyDescent="0.25">
      <c r="A172" s="91" t="s">
        <v>56</v>
      </c>
      <c r="B172" s="2">
        <v>1</v>
      </c>
      <c r="C172" s="2" t="s">
        <v>189</v>
      </c>
      <c r="D172" s="2">
        <v>2</v>
      </c>
      <c r="E172" s="90" t="s">
        <v>328</v>
      </c>
    </row>
    <row r="173" spans="1:5" x14ac:dyDescent="0.25">
      <c r="A173" s="91" t="s">
        <v>40</v>
      </c>
      <c r="B173" s="2">
        <v>1</v>
      </c>
      <c r="C173" s="2" t="s">
        <v>189</v>
      </c>
      <c r="D173" s="2">
        <v>0</v>
      </c>
      <c r="E173" s="90" t="s">
        <v>41</v>
      </c>
    </row>
    <row r="174" spans="1:5" x14ac:dyDescent="0.25">
      <c r="A174" s="91" t="s">
        <v>59</v>
      </c>
      <c r="B174" s="2">
        <v>2</v>
      </c>
      <c r="C174" s="2" t="s">
        <v>189</v>
      </c>
      <c r="D174" s="2">
        <v>1</v>
      </c>
      <c r="E174" s="90" t="s">
        <v>49</v>
      </c>
    </row>
    <row r="175" spans="1:5" x14ac:dyDescent="0.25">
      <c r="A175" s="91" t="s">
        <v>43</v>
      </c>
      <c r="B175" s="2">
        <v>1</v>
      </c>
      <c r="C175" s="2" t="s">
        <v>189</v>
      </c>
      <c r="D175" s="2">
        <v>0</v>
      </c>
      <c r="E175" s="90" t="s">
        <v>329</v>
      </c>
    </row>
    <row r="176" spans="1:5" x14ac:dyDescent="0.25">
      <c r="A176" s="91" t="s">
        <v>57</v>
      </c>
      <c r="B176" s="2">
        <v>0</v>
      </c>
      <c r="C176" s="2" t="s">
        <v>189</v>
      </c>
      <c r="D176" s="2">
        <v>1</v>
      </c>
      <c r="E176" s="90" t="s">
        <v>65</v>
      </c>
    </row>
    <row r="177" spans="1:5" x14ac:dyDescent="0.25">
      <c r="A177" s="91" t="s">
        <v>54</v>
      </c>
      <c r="B177" s="2">
        <v>2</v>
      </c>
      <c r="C177" s="2" t="s">
        <v>189</v>
      </c>
      <c r="D177" s="2">
        <v>0</v>
      </c>
      <c r="E177" s="90" t="s">
        <v>63</v>
      </c>
    </row>
    <row r="178" spans="1:5" x14ac:dyDescent="0.25">
      <c r="A178" s="91" t="s">
        <v>60</v>
      </c>
      <c r="B178" s="2">
        <v>0</v>
      </c>
      <c r="C178" s="2" t="s">
        <v>189</v>
      </c>
      <c r="D178" s="2">
        <v>2</v>
      </c>
      <c r="E178" s="90" t="s">
        <v>52</v>
      </c>
    </row>
    <row r="179" spans="1:5" x14ac:dyDescent="0.25">
      <c r="A179" s="91" t="s">
        <v>64</v>
      </c>
      <c r="B179" s="2">
        <v>1</v>
      </c>
      <c r="C179" s="2" t="s">
        <v>189</v>
      </c>
      <c r="D179" s="2">
        <v>1</v>
      </c>
      <c r="E179" s="90" t="s">
        <v>67</v>
      </c>
    </row>
    <row r="181" spans="1:5" x14ac:dyDescent="0.25">
      <c r="A181" s="91" t="s">
        <v>323</v>
      </c>
    </row>
    <row r="182" spans="1:5" x14ac:dyDescent="0.25">
      <c r="A182" s="91" t="s">
        <v>56</v>
      </c>
      <c r="B182" s="2">
        <v>3</v>
      </c>
      <c r="C182" s="2" t="s">
        <v>189</v>
      </c>
      <c r="D182" s="2">
        <v>0</v>
      </c>
      <c r="E182" s="90" t="s">
        <v>328</v>
      </c>
    </row>
    <row r="183" spans="1:5" x14ac:dyDescent="0.25">
      <c r="A183" s="91" t="s">
        <v>40</v>
      </c>
      <c r="B183" s="2">
        <v>2</v>
      </c>
      <c r="C183" s="2" t="s">
        <v>189</v>
      </c>
      <c r="D183" s="2">
        <v>1</v>
      </c>
      <c r="E183" s="90" t="s">
        <v>41</v>
      </c>
    </row>
    <row r="184" spans="1:5" x14ac:dyDescent="0.25">
      <c r="A184" s="91" t="s">
        <v>59</v>
      </c>
      <c r="B184" s="2">
        <v>3</v>
      </c>
      <c r="C184" s="2" t="s">
        <v>189</v>
      </c>
      <c r="D184" s="2">
        <v>2</v>
      </c>
      <c r="E184" s="90" t="s">
        <v>49</v>
      </c>
    </row>
    <row r="185" spans="1:5" x14ac:dyDescent="0.25">
      <c r="A185" s="91" t="s">
        <v>43</v>
      </c>
      <c r="B185" s="2">
        <v>3</v>
      </c>
      <c r="C185" s="2" t="s">
        <v>189</v>
      </c>
      <c r="D185" s="2">
        <v>0</v>
      </c>
      <c r="E185" s="90" t="s">
        <v>329</v>
      </c>
    </row>
    <row r="186" spans="1:5" x14ac:dyDescent="0.25">
      <c r="A186" s="91" t="s">
        <v>57</v>
      </c>
      <c r="B186" s="2">
        <v>2</v>
      </c>
      <c r="C186" s="2" t="s">
        <v>189</v>
      </c>
      <c r="D186" s="2">
        <v>1</v>
      </c>
      <c r="E186" s="90" t="s">
        <v>65</v>
      </c>
    </row>
    <row r="187" spans="1:5" x14ac:dyDescent="0.25">
      <c r="A187" s="91" t="s">
        <v>54</v>
      </c>
      <c r="B187" s="2">
        <v>1</v>
      </c>
      <c r="C187" s="2" t="s">
        <v>189</v>
      </c>
      <c r="D187" s="2">
        <v>0</v>
      </c>
      <c r="E187" s="90" t="s">
        <v>63</v>
      </c>
    </row>
    <row r="188" spans="1:5" x14ac:dyDescent="0.25">
      <c r="A188" s="91" t="s">
        <v>60</v>
      </c>
      <c r="B188" s="2">
        <v>1</v>
      </c>
      <c r="C188" s="2" t="s">
        <v>189</v>
      </c>
      <c r="D188" s="2">
        <v>4</v>
      </c>
      <c r="E188" s="90" t="s">
        <v>52</v>
      </c>
    </row>
    <row r="189" spans="1:5" x14ac:dyDescent="0.25">
      <c r="A189" s="91" t="s">
        <v>64</v>
      </c>
      <c r="B189" s="2">
        <v>3</v>
      </c>
      <c r="C189" s="2" t="s">
        <v>189</v>
      </c>
      <c r="D189" s="2">
        <v>2</v>
      </c>
      <c r="E189" s="90" t="s">
        <v>67</v>
      </c>
    </row>
    <row r="191" spans="1:5" x14ac:dyDescent="0.25">
      <c r="A191" s="91" t="s">
        <v>324</v>
      </c>
    </row>
    <row r="192" spans="1:5" x14ac:dyDescent="0.25">
      <c r="A192" s="91" t="s">
        <v>56</v>
      </c>
      <c r="B192" s="2">
        <v>2</v>
      </c>
      <c r="C192" s="2" t="s">
        <v>189</v>
      </c>
      <c r="D192" s="2">
        <v>1</v>
      </c>
      <c r="E192" s="90" t="s">
        <v>328</v>
      </c>
    </row>
    <row r="193" spans="1:5" x14ac:dyDescent="0.25">
      <c r="A193" s="91" t="s">
        <v>40</v>
      </c>
      <c r="B193" s="2">
        <v>2</v>
      </c>
      <c r="C193" s="2" t="s">
        <v>189</v>
      </c>
      <c r="D193" s="2">
        <v>0</v>
      </c>
      <c r="E193" s="90" t="s">
        <v>41</v>
      </c>
    </row>
    <row r="194" spans="1:5" x14ac:dyDescent="0.25">
      <c r="A194" s="91" t="s">
        <v>59</v>
      </c>
      <c r="B194" s="2">
        <v>1</v>
      </c>
      <c r="C194" s="2" t="s">
        <v>189</v>
      </c>
      <c r="D194" s="2">
        <v>0</v>
      </c>
      <c r="E194" s="90" t="s">
        <v>49</v>
      </c>
    </row>
    <row r="195" spans="1:5" x14ac:dyDescent="0.25">
      <c r="A195" s="91" t="s">
        <v>43</v>
      </c>
      <c r="B195" s="2">
        <v>2</v>
      </c>
      <c r="C195" s="2" t="s">
        <v>189</v>
      </c>
      <c r="D195" s="2">
        <v>0</v>
      </c>
      <c r="E195" s="90" t="s">
        <v>329</v>
      </c>
    </row>
    <row r="196" spans="1:5" x14ac:dyDescent="0.25">
      <c r="A196" s="91" t="s">
        <v>57</v>
      </c>
      <c r="B196" s="2">
        <v>2</v>
      </c>
      <c r="C196" s="2" t="s">
        <v>189</v>
      </c>
      <c r="D196" s="2">
        <v>1</v>
      </c>
      <c r="E196" s="90" t="s">
        <v>65</v>
      </c>
    </row>
    <row r="197" spans="1:5" x14ac:dyDescent="0.25">
      <c r="A197" s="91" t="s">
        <v>54</v>
      </c>
      <c r="B197" s="2">
        <v>2</v>
      </c>
      <c r="C197" s="2" t="s">
        <v>189</v>
      </c>
      <c r="D197" s="2">
        <v>0</v>
      </c>
      <c r="E197" s="90" t="s">
        <v>63</v>
      </c>
    </row>
    <row r="198" spans="1:5" x14ac:dyDescent="0.25">
      <c r="A198" s="91" t="s">
        <v>60</v>
      </c>
      <c r="B198" s="2">
        <v>0</v>
      </c>
      <c r="C198" s="2" t="s">
        <v>189</v>
      </c>
      <c r="D198" s="2">
        <v>2</v>
      </c>
      <c r="E198" s="90" t="s">
        <v>52</v>
      </c>
    </row>
    <row r="199" spans="1:5" x14ac:dyDescent="0.25">
      <c r="A199" s="91" t="s">
        <v>64</v>
      </c>
      <c r="B199" s="2">
        <v>2</v>
      </c>
      <c r="C199" s="2" t="s">
        <v>189</v>
      </c>
      <c r="D199" s="2">
        <v>1</v>
      </c>
      <c r="E199" s="90" t="s">
        <v>67</v>
      </c>
    </row>
    <row r="201" spans="1:5" x14ac:dyDescent="0.25">
      <c r="A201" s="91" t="s">
        <v>325</v>
      </c>
    </row>
    <row r="202" spans="1:5" x14ac:dyDescent="0.25">
      <c r="A202" s="91" t="s">
        <v>56</v>
      </c>
      <c r="B202" s="2">
        <v>1</v>
      </c>
      <c r="C202" s="2" t="s">
        <v>189</v>
      </c>
      <c r="D202" s="2">
        <v>0</v>
      </c>
      <c r="E202" s="90" t="s">
        <v>328</v>
      </c>
    </row>
    <row r="203" spans="1:5" x14ac:dyDescent="0.25">
      <c r="A203" s="91" t="s">
        <v>40</v>
      </c>
      <c r="B203" s="2">
        <v>2</v>
      </c>
      <c r="C203" s="2" t="s">
        <v>189</v>
      </c>
      <c r="D203" s="2">
        <v>1</v>
      </c>
      <c r="E203" s="90" t="s">
        <v>41</v>
      </c>
    </row>
    <row r="204" spans="1:5" x14ac:dyDescent="0.25">
      <c r="A204" s="91" t="s">
        <v>59</v>
      </c>
      <c r="B204" s="2">
        <v>2</v>
      </c>
      <c r="C204" s="2" t="s">
        <v>189</v>
      </c>
      <c r="D204" s="2">
        <v>1</v>
      </c>
      <c r="E204" s="90" t="s">
        <v>49</v>
      </c>
    </row>
    <row r="205" spans="1:5" x14ac:dyDescent="0.25">
      <c r="A205" s="91" t="s">
        <v>43</v>
      </c>
      <c r="B205" s="2">
        <v>2</v>
      </c>
      <c r="C205" s="2" t="s">
        <v>189</v>
      </c>
      <c r="D205" s="2">
        <v>1</v>
      </c>
      <c r="E205" s="90" t="s">
        <v>329</v>
      </c>
    </row>
    <row r="206" spans="1:5" x14ac:dyDescent="0.25">
      <c r="A206" s="91" t="s">
        <v>57</v>
      </c>
      <c r="B206" s="2">
        <v>1</v>
      </c>
      <c r="C206" s="2" t="s">
        <v>189</v>
      </c>
      <c r="D206" s="2">
        <v>1</v>
      </c>
      <c r="E206" s="90" t="s">
        <v>65</v>
      </c>
    </row>
    <row r="207" spans="1:5" x14ac:dyDescent="0.25">
      <c r="A207" s="91" t="s">
        <v>54</v>
      </c>
      <c r="B207" s="2">
        <v>1</v>
      </c>
      <c r="C207" s="2" t="s">
        <v>189</v>
      </c>
      <c r="D207" s="2">
        <v>1</v>
      </c>
      <c r="E207" s="90" t="s">
        <v>63</v>
      </c>
    </row>
    <row r="208" spans="1:5" x14ac:dyDescent="0.25">
      <c r="A208" s="91" t="s">
        <v>60</v>
      </c>
      <c r="B208" s="2">
        <v>1</v>
      </c>
      <c r="C208" s="2" t="s">
        <v>189</v>
      </c>
      <c r="D208" s="2">
        <v>1</v>
      </c>
      <c r="E208" s="90" t="s">
        <v>52</v>
      </c>
    </row>
    <row r="209" spans="1:5" x14ac:dyDescent="0.25">
      <c r="A209" s="91" t="s">
        <v>64</v>
      </c>
      <c r="B209" s="2">
        <v>2</v>
      </c>
      <c r="C209" s="2" t="s">
        <v>189</v>
      </c>
      <c r="D209" s="2">
        <v>1</v>
      </c>
      <c r="E209" s="90" t="s">
        <v>67</v>
      </c>
    </row>
    <row r="211" spans="1:5" x14ac:dyDescent="0.25">
      <c r="A211" s="91" t="s">
        <v>326</v>
      </c>
    </row>
    <row r="212" spans="1:5" x14ac:dyDescent="0.25">
      <c r="A212" s="91" t="s">
        <v>56</v>
      </c>
      <c r="B212" s="2">
        <v>1</v>
      </c>
      <c r="C212" s="2" t="s">
        <v>189</v>
      </c>
      <c r="D212" s="2">
        <v>2</v>
      </c>
      <c r="E212" s="90" t="s">
        <v>328</v>
      </c>
    </row>
    <row r="213" spans="1:5" x14ac:dyDescent="0.25">
      <c r="A213" s="91" t="s">
        <v>40</v>
      </c>
      <c r="B213" s="2">
        <v>2</v>
      </c>
      <c r="C213" s="2" t="s">
        <v>189</v>
      </c>
      <c r="D213" s="2">
        <v>1</v>
      </c>
      <c r="E213" s="90" t="s">
        <v>41</v>
      </c>
    </row>
    <row r="214" spans="1:5" x14ac:dyDescent="0.25">
      <c r="A214" s="91" t="s">
        <v>59</v>
      </c>
      <c r="B214" s="2">
        <v>1</v>
      </c>
      <c r="C214" s="2" t="s">
        <v>189</v>
      </c>
      <c r="D214" s="2">
        <v>0</v>
      </c>
      <c r="E214" s="90" t="s">
        <v>49</v>
      </c>
    </row>
    <row r="215" spans="1:5" x14ac:dyDescent="0.25">
      <c r="A215" s="91" t="s">
        <v>43</v>
      </c>
      <c r="B215" s="2">
        <v>2</v>
      </c>
      <c r="C215" s="2" t="s">
        <v>189</v>
      </c>
      <c r="D215" s="2">
        <v>1</v>
      </c>
      <c r="E215" s="90" t="s">
        <v>329</v>
      </c>
    </row>
    <row r="216" spans="1:5" x14ac:dyDescent="0.25">
      <c r="A216" s="91" t="s">
        <v>57</v>
      </c>
      <c r="B216" s="2">
        <v>0</v>
      </c>
      <c r="C216" s="2" t="s">
        <v>189</v>
      </c>
      <c r="D216" s="2">
        <v>1</v>
      </c>
      <c r="E216" s="90" t="s">
        <v>65</v>
      </c>
    </row>
    <row r="217" spans="1:5" x14ac:dyDescent="0.25">
      <c r="A217" s="91" t="s">
        <v>54</v>
      </c>
      <c r="B217" s="2">
        <v>2</v>
      </c>
      <c r="C217" s="2" t="s">
        <v>189</v>
      </c>
      <c r="D217" s="2">
        <v>0</v>
      </c>
      <c r="E217" s="90" t="s">
        <v>63</v>
      </c>
    </row>
    <row r="218" spans="1:5" x14ac:dyDescent="0.25">
      <c r="A218" s="91" t="s">
        <v>60</v>
      </c>
      <c r="B218" s="2">
        <v>1</v>
      </c>
      <c r="C218" s="2" t="s">
        <v>189</v>
      </c>
      <c r="D218" s="2">
        <v>0</v>
      </c>
      <c r="E218" s="90" t="s">
        <v>52</v>
      </c>
    </row>
    <row r="219" spans="1:5" x14ac:dyDescent="0.25">
      <c r="A219" s="91" t="s">
        <v>64</v>
      </c>
      <c r="B219" s="2">
        <v>1</v>
      </c>
      <c r="C219" s="2" t="s">
        <v>189</v>
      </c>
      <c r="D219" s="2">
        <v>0</v>
      </c>
      <c r="E219" s="90" t="s">
        <v>67</v>
      </c>
    </row>
    <row r="221" spans="1:5" x14ac:dyDescent="0.25">
      <c r="A221" s="91" t="s">
        <v>327</v>
      </c>
    </row>
    <row r="222" spans="1:5" x14ac:dyDescent="0.25">
      <c r="A222" s="91" t="s">
        <v>56</v>
      </c>
      <c r="B222" s="2">
        <v>1</v>
      </c>
      <c r="C222" s="2" t="s">
        <v>189</v>
      </c>
      <c r="D222" s="2">
        <v>0</v>
      </c>
      <c r="E222" s="90" t="s">
        <v>328</v>
      </c>
    </row>
    <row r="223" spans="1:5" x14ac:dyDescent="0.25">
      <c r="A223" s="91" t="s">
        <v>40</v>
      </c>
      <c r="B223" s="2">
        <v>2</v>
      </c>
      <c r="C223" s="2" t="s">
        <v>189</v>
      </c>
      <c r="D223" s="2">
        <v>1</v>
      </c>
      <c r="E223" s="90" t="s">
        <v>41</v>
      </c>
    </row>
    <row r="224" spans="1:5" x14ac:dyDescent="0.25">
      <c r="A224" s="91" t="s">
        <v>59</v>
      </c>
      <c r="B224" s="2">
        <v>1</v>
      </c>
      <c r="C224" s="2" t="s">
        <v>189</v>
      </c>
      <c r="D224" s="2">
        <v>2</v>
      </c>
      <c r="E224" s="90" t="s">
        <v>49</v>
      </c>
    </row>
    <row r="225" spans="1:5" x14ac:dyDescent="0.25">
      <c r="A225" s="91" t="s">
        <v>43</v>
      </c>
      <c r="B225" s="2">
        <v>2</v>
      </c>
      <c r="C225" s="2" t="s">
        <v>189</v>
      </c>
      <c r="D225" s="2">
        <v>1</v>
      </c>
      <c r="E225" s="90" t="s">
        <v>329</v>
      </c>
    </row>
    <row r="226" spans="1:5" x14ac:dyDescent="0.25">
      <c r="A226" s="91" t="s">
        <v>57</v>
      </c>
      <c r="B226" s="2">
        <v>1</v>
      </c>
      <c r="C226" s="2" t="s">
        <v>189</v>
      </c>
      <c r="D226" s="2">
        <v>1</v>
      </c>
      <c r="E226" s="90" t="s">
        <v>65</v>
      </c>
    </row>
    <row r="227" spans="1:5" x14ac:dyDescent="0.25">
      <c r="A227" s="91" t="s">
        <v>54</v>
      </c>
      <c r="B227" s="2">
        <v>2</v>
      </c>
      <c r="C227" s="2" t="s">
        <v>189</v>
      </c>
      <c r="D227" s="2">
        <v>0</v>
      </c>
      <c r="E227" s="90" t="s">
        <v>63</v>
      </c>
    </row>
    <row r="228" spans="1:5" x14ac:dyDescent="0.25">
      <c r="A228" s="91" t="s">
        <v>60</v>
      </c>
      <c r="B228" s="2">
        <v>1</v>
      </c>
      <c r="C228" s="2" t="s">
        <v>189</v>
      </c>
      <c r="D228" s="2">
        <v>2</v>
      </c>
      <c r="E228" s="90" t="s">
        <v>52</v>
      </c>
    </row>
    <row r="229" spans="1:5" x14ac:dyDescent="0.25">
      <c r="A229" s="91" t="s">
        <v>64</v>
      </c>
      <c r="B229" s="2">
        <v>0</v>
      </c>
      <c r="C229" s="2" t="s">
        <v>189</v>
      </c>
      <c r="D229" s="2">
        <v>1</v>
      </c>
      <c r="E229" s="90" t="s">
        <v>67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10" zoomScale="90" zoomScaleNormal="90" workbookViewId="0">
      <selection activeCell="S22" activeCellId="1" sqref="G22:K22 S2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5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5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9" t="s">
        <v>77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</row>
    <row r="2" spans="1:24" ht="16.5" thickTop="1" x14ac:dyDescent="0.25">
      <c r="A2" s="144" t="s">
        <v>1</v>
      </c>
      <c r="B2" s="137"/>
      <c r="C2" s="137"/>
      <c r="D2" s="137"/>
      <c r="E2" s="137"/>
      <c r="F2" s="46"/>
      <c r="G2" s="137" t="s">
        <v>73</v>
      </c>
      <c r="H2" s="137"/>
      <c r="I2" s="137"/>
      <c r="J2" s="137"/>
      <c r="K2" s="138"/>
      <c r="O2" s="142" t="s">
        <v>72</v>
      </c>
      <c r="P2" s="143"/>
      <c r="R2" s="160" t="s">
        <v>174</v>
      </c>
      <c r="S2" s="161"/>
      <c r="T2" s="162"/>
      <c r="V2" s="157" t="s">
        <v>175</v>
      </c>
      <c r="W2" s="158"/>
      <c r="X2" s="159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7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45">
        <v>50</v>
      </c>
      <c r="S3" s="146"/>
      <c r="T3" s="147"/>
      <c r="V3" s="163">
        <v>23</v>
      </c>
      <c r="W3" s="164"/>
      <c r="X3" s="165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7"/>
      <c r="G4" s="6" t="s">
        <v>52</v>
      </c>
      <c r="H4" s="7">
        <v>7</v>
      </c>
      <c r="I4" s="7" t="s">
        <v>70</v>
      </c>
      <c r="J4" s="7">
        <v>0</v>
      </c>
      <c r="K4" s="11" t="s">
        <v>192</v>
      </c>
      <c r="O4" s="5" t="s">
        <v>191</v>
      </c>
      <c r="P4" s="11" t="s">
        <v>55</v>
      </c>
      <c r="R4" s="145"/>
      <c r="S4" s="146"/>
      <c r="T4" s="147"/>
      <c r="V4" s="163"/>
      <c r="W4" s="164"/>
      <c r="X4" s="165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7"/>
      <c r="G5" s="6" t="s">
        <v>59</v>
      </c>
      <c r="H5" s="7">
        <v>0</v>
      </c>
      <c r="I5" s="7" t="s">
        <v>70</v>
      </c>
      <c r="J5" s="7">
        <v>1</v>
      </c>
      <c r="K5" s="11" t="s">
        <v>192</v>
      </c>
      <c r="O5" s="5" t="s">
        <v>40</v>
      </c>
      <c r="P5" s="11" t="s">
        <v>56</v>
      </c>
      <c r="R5" s="148"/>
      <c r="S5" s="149"/>
      <c r="T5" s="150"/>
      <c r="V5" s="166"/>
      <c r="W5" s="167"/>
      <c r="X5" s="168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7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>
        <v>2</v>
      </c>
      <c r="C7" s="7" t="s">
        <v>70</v>
      </c>
      <c r="D7" s="7">
        <v>0</v>
      </c>
      <c r="E7" s="14" t="s">
        <v>46</v>
      </c>
      <c r="F7" s="47"/>
      <c r="G7" s="6" t="s">
        <v>59</v>
      </c>
      <c r="H7" s="7">
        <v>2</v>
      </c>
      <c r="I7" s="7" t="s">
        <v>70</v>
      </c>
      <c r="J7" s="7">
        <v>1</v>
      </c>
      <c r="K7" s="11" t="s">
        <v>52</v>
      </c>
      <c r="O7" s="5" t="s">
        <v>42</v>
      </c>
      <c r="P7" s="11" t="s">
        <v>58</v>
      </c>
      <c r="R7" s="181" t="s">
        <v>178</v>
      </c>
      <c r="S7" s="182"/>
      <c r="T7" s="183"/>
      <c r="V7" s="157" t="s">
        <v>176</v>
      </c>
      <c r="W7" s="158"/>
      <c r="X7" s="159"/>
    </row>
    <row r="8" spans="1:24" x14ac:dyDescent="0.25">
      <c r="A8" s="5" t="s">
        <v>51</v>
      </c>
      <c r="B8" s="7">
        <v>1</v>
      </c>
      <c r="C8" s="7" t="s">
        <v>70</v>
      </c>
      <c r="D8" s="7">
        <v>2</v>
      </c>
      <c r="E8" s="14" t="s">
        <v>65</v>
      </c>
      <c r="F8" s="47"/>
      <c r="G8" s="6" t="s">
        <v>192</v>
      </c>
      <c r="H8" s="7">
        <v>2</v>
      </c>
      <c r="I8" s="7" t="s">
        <v>70</v>
      </c>
      <c r="J8" s="7">
        <v>4</v>
      </c>
      <c r="K8" s="11" t="s">
        <v>38</v>
      </c>
      <c r="O8" s="5" t="s">
        <v>43</v>
      </c>
      <c r="P8" s="11" t="s">
        <v>59</v>
      </c>
      <c r="R8" s="145">
        <f>V16*0.5</f>
        <v>90</v>
      </c>
      <c r="S8" s="146"/>
      <c r="T8" s="147"/>
      <c r="V8" s="169">
        <v>10</v>
      </c>
      <c r="W8" s="170"/>
      <c r="X8" s="171"/>
    </row>
    <row r="9" spans="1:24" x14ac:dyDescent="0.25">
      <c r="A9" s="144" t="s">
        <v>5</v>
      </c>
      <c r="B9" s="137"/>
      <c r="C9" s="137"/>
      <c r="D9" s="137"/>
      <c r="E9" s="137"/>
      <c r="F9" s="47"/>
      <c r="G9" s="137" t="s">
        <v>74</v>
      </c>
      <c r="H9" s="137"/>
      <c r="I9" s="137"/>
      <c r="J9" s="137"/>
      <c r="K9" s="138"/>
      <c r="O9" s="5" t="s">
        <v>44</v>
      </c>
      <c r="P9" s="11" t="s">
        <v>60</v>
      </c>
      <c r="R9" s="148"/>
      <c r="S9" s="149"/>
      <c r="T9" s="150"/>
      <c r="V9" s="172"/>
      <c r="W9" s="173"/>
      <c r="X9" s="174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7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7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78" t="s">
        <v>179</v>
      </c>
      <c r="S11" s="179"/>
      <c r="T11" s="180"/>
      <c r="V11" s="157" t="s">
        <v>177</v>
      </c>
      <c r="W11" s="158"/>
      <c r="X11" s="159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7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205</v>
      </c>
      <c r="P12" s="11" t="s">
        <v>63</v>
      </c>
      <c r="R12" s="145">
        <f>V16*0.3</f>
        <v>54</v>
      </c>
      <c r="S12" s="146"/>
      <c r="T12" s="147"/>
      <c r="V12" s="151">
        <f>V3*V8</f>
        <v>230</v>
      </c>
      <c r="W12" s="152"/>
      <c r="X12" s="153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7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192</v>
      </c>
      <c r="P13" s="11" t="s">
        <v>64</v>
      </c>
      <c r="R13" s="148"/>
      <c r="S13" s="149"/>
      <c r="T13" s="150"/>
      <c r="V13" s="154"/>
      <c r="W13" s="155"/>
      <c r="X13" s="156"/>
    </row>
    <row r="14" spans="1:24" ht="15.75" customHeight="1" x14ac:dyDescent="0.25">
      <c r="A14" s="5" t="s">
        <v>58</v>
      </c>
      <c r="B14" s="7">
        <v>0</v>
      </c>
      <c r="C14" s="7" t="s">
        <v>70</v>
      </c>
      <c r="D14" s="7">
        <v>1</v>
      </c>
      <c r="E14" s="14" t="s">
        <v>53</v>
      </c>
      <c r="F14" s="47"/>
      <c r="G14" s="6" t="s">
        <v>49</v>
      </c>
      <c r="H14" s="7">
        <v>0</v>
      </c>
      <c r="I14" s="7" t="s">
        <v>70</v>
      </c>
      <c r="J14" s="7">
        <v>0</v>
      </c>
      <c r="K14" s="11" t="s">
        <v>42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>
        <v>0</v>
      </c>
      <c r="C15" s="7" t="s">
        <v>70</v>
      </c>
      <c r="D15" s="7">
        <v>3</v>
      </c>
      <c r="E15" s="14" t="s">
        <v>57</v>
      </c>
      <c r="F15" s="47"/>
      <c r="G15" s="6" t="s">
        <v>45</v>
      </c>
      <c r="H15" s="7">
        <v>1</v>
      </c>
      <c r="I15" s="7" t="s">
        <v>70</v>
      </c>
      <c r="J15" s="7">
        <v>2</v>
      </c>
      <c r="K15" s="11" t="s">
        <v>60</v>
      </c>
      <c r="O15" s="5" t="s">
        <v>50</v>
      </c>
      <c r="P15" s="11" t="s">
        <v>66</v>
      </c>
      <c r="R15" s="175" t="s">
        <v>180</v>
      </c>
      <c r="S15" s="176"/>
      <c r="T15" s="177"/>
      <c r="V15" s="157" t="s">
        <v>181</v>
      </c>
      <c r="W15" s="158"/>
      <c r="X15" s="159"/>
    </row>
    <row r="16" spans="1:24" ht="21" customHeight="1" x14ac:dyDescent="0.25">
      <c r="A16" s="144" t="s">
        <v>9</v>
      </c>
      <c r="B16" s="137"/>
      <c r="C16" s="137"/>
      <c r="D16" s="137"/>
      <c r="E16" s="137"/>
      <c r="F16" s="47"/>
      <c r="G16" s="137" t="s">
        <v>75</v>
      </c>
      <c r="H16" s="137"/>
      <c r="I16" s="137"/>
      <c r="J16" s="137"/>
      <c r="K16" s="138"/>
      <c r="O16" s="5" t="s">
        <v>51</v>
      </c>
      <c r="P16" s="11" t="s">
        <v>67</v>
      </c>
      <c r="R16" s="145">
        <f>V16*0.2</f>
        <v>36</v>
      </c>
      <c r="S16" s="146"/>
      <c r="T16" s="147"/>
      <c r="V16" s="151">
        <f>V12-R3</f>
        <v>180</v>
      </c>
      <c r="W16" s="152"/>
      <c r="X16" s="153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191</v>
      </c>
      <c r="F17" s="47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48"/>
      <c r="S17" s="149"/>
      <c r="T17" s="150"/>
      <c r="V17" s="154"/>
      <c r="W17" s="155"/>
      <c r="X17" s="156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7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191</v>
      </c>
      <c r="F19" s="47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7"/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35" t="s">
        <v>286</v>
      </c>
      <c r="P20" s="135"/>
      <c r="Q20" s="135"/>
      <c r="R20" s="134"/>
      <c r="S20" s="134"/>
      <c r="T20" s="134"/>
    </row>
    <row r="21" spans="1:24" ht="18.75" x14ac:dyDescent="0.25">
      <c r="A21" s="5" t="s">
        <v>63</v>
      </c>
      <c r="B21" s="7">
        <v>0</v>
      </c>
      <c r="C21" s="7" t="s">
        <v>70</v>
      </c>
      <c r="D21" s="7">
        <v>2</v>
      </c>
      <c r="E21" s="14" t="s">
        <v>40</v>
      </c>
      <c r="F21" s="47"/>
      <c r="G21" s="6" t="s">
        <v>44</v>
      </c>
      <c r="H21" s="7">
        <v>1</v>
      </c>
      <c r="I21" s="7" t="s">
        <v>70</v>
      </c>
      <c r="J21" s="7">
        <v>0</v>
      </c>
      <c r="K21" s="11" t="s">
        <v>43</v>
      </c>
      <c r="O21" s="135" t="s">
        <v>287</v>
      </c>
      <c r="P21" s="135"/>
      <c r="Q21" s="135"/>
      <c r="R21" s="136"/>
      <c r="S21" s="136"/>
      <c r="T21" s="136"/>
    </row>
    <row r="22" spans="1:24" x14ac:dyDescent="0.25">
      <c r="A22" s="5" t="s">
        <v>191</v>
      </c>
      <c r="B22" s="7">
        <v>1</v>
      </c>
      <c r="C22" s="7" t="s">
        <v>70</v>
      </c>
      <c r="D22" s="7">
        <v>2</v>
      </c>
      <c r="E22" s="14" t="s">
        <v>61</v>
      </c>
      <c r="F22" s="47"/>
      <c r="G22" s="6" t="s">
        <v>66</v>
      </c>
      <c r="H22" s="7">
        <v>2</v>
      </c>
      <c r="I22" s="7" t="s">
        <v>70</v>
      </c>
      <c r="J22" s="7">
        <v>3</v>
      </c>
      <c r="K22" s="11" t="s">
        <v>67</v>
      </c>
    </row>
    <row r="23" spans="1:24" x14ac:dyDescent="0.25">
      <c r="A23" s="144" t="s">
        <v>13</v>
      </c>
      <c r="B23" s="137"/>
      <c r="C23" s="137"/>
      <c r="D23" s="137"/>
      <c r="E23" s="137"/>
      <c r="F23" s="47"/>
      <c r="G23" s="137" t="s">
        <v>76</v>
      </c>
      <c r="H23" s="137"/>
      <c r="I23" s="137"/>
      <c r="J23" s="137"/>
      <c r="K23" s="138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7"/>
      <c r="G24" s="6" t="s">
        <v>69</v>
      </c>
      <c r="H24" s="7">
        <v>0</v>
      </c>
      <c r="I24" s="7" t="s">
        <v>70</v>
      </c>
      <c r="J24" s="7">
        <v>0</v>
      </c>
      <c r="K24" s="11" t="s">
        <v>205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7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7"/>
      <c r="G26" s="6" t="s">
        <v>205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7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>
        <v>1</v>
      </c>
      <c r="C28" s="7" t="s">
        <v>70</v>
      </c>
      <c r="D28" s="7">
        <v>0</v>
      </c>
      <c r="E28" s="14" t="s">
        <v>54</v>
      </c>
      <c r="F28" s="47"/>
      <c r="G28" s="6" t="s">
        <v>205</v>
      </c>
      <c r="H28" s="7">
        <v>2</v>
      </c>
      <c r="I28" s="7" t="s">
        <v>70</v>
      </c>
      <c r="J28" s="7">
        <v>1</v>
      </c>
      <c r="K28" s="11" t="s">
        <v>64</v>
      </c>
    </row>
    <row r="29" spans="1:24" ht="16.5" thickBot="1" x14ac:dyDescent="0.3">
      <c r="A29" s="8" t="s">
        <v>41</v>
      </c>
      <c r="B29" s="10">
        <v>1</v>
      </c>
      <c r="C29" s="10" t="s">
        <v>70</v>
      </c>
      <c r="D29" s="10">
        <v>0</v>
      </c>
      <c r="E29" s="15" t="s">
        <v>50</v>
      </c>
      <c r="F29" s="48"/>
      <c r="G29" s="9" t="s">
        <v>55</v>
      </c>
      <c r="H29" s="10">
        <v>0</v>
      </c>
      <c r="I29" s="10" t="s">
        <v>70</v>
      </c>
      <c r="J29" s="10">
        <v>2</v>
      </c>
      <c r="K29" s="13" t="s">
        <v>69</v>
      </c>
    </row>
    <row r="30" spans="1:24" ht="16.5" thickTop="1" x14ac:dyDescent="0.25"/>
    <row r="31" spans="1:24" x14ac:dyDescent="0.25">
      <c r="A31" s="144" t="s">
        <v>189</v>
      </c>
      <c r="B31" s="137"/>
      <c r="C31" s="137"/>
      <c r="D31" s="137"/>
      <c r="E31" s="137"/>
      <c r="G31" s="144" t="s">
        <v>301</v>
      </c>
      <c r="H31" s="137"/>
      <c r="I31" s="137"/>
      <c r="J31" s="137"/>
      <c r="K31" s="137"/>
    </row>
    <row r="32" spans="1:24" x14ac:dyDescent="0.25">
      <c r="A32" s="5" t="s">
        <v>56</v>
      </c>
      <c r="B32" s="7"/>
      <c r="C32" s="7" t="s">
        <v>189</v>
      </c>
      <c r="D32" s="7"/>
      <c r="E32" s="14" t="s">
        <v>190</v>
      </c>
      <c r="G32" s="5"/>
      <c r="H32" s="7"/>
      <c r="I32" s="7"/>
      <c r="J32" s="7"/>
      <c r="K32" s="14"/>
    </row>
    <row r="33" spans="1:11" x14ac:dyDescent="0.25">
      <c r="A33" s="5" t="s">
        <v>63</v>
      </c>
      <c r="B33" s="7"/>
      <c r="C33" s="7" t="s">
        <v>189</v>
      </c>
      <c r="D33" s="7"/>
      <c r="E33" s="14" t="s">
        <v>50</v>
      </c>
      <c r="G33" s="5"/>
      <c r="H33" s="7"/>
      <c r="I33" s="7"/>
      <c r="J33" s="7"/>
      <c r="K33" s="14"/>
    </row>
    <row r="34" spans="1:11" x14ac:dyDescent="0.25">
      <c r="A34" s="5" t="s">
        <v>52</v>
      </c>
      <c r="B34" s="7"/>
      <c r="C34" s="7" t="s">
        <v>189</v>
      </c>
      <c r="D34" s="7"/>
      <c r="E34" s="14" t="s">
        <v>304</v>
      </c>
    </row>
    <row r="35" spans="1:11" x14ac:dyDescent="0.25">
      <c r="A35" s="5" t="s">
        <v>43</v>
      </c>
      <c r="B35" s="7"/>
      <c r="C35" s="7" t="s">
        <v>189</v>
      </c>
      <c r="D35" s="7"/>
      <c r="E35" s="14" t="s">
        <v>69</v>
      </c>
    </row>
    <row r="36" spans="1:11" x14ac:dyDescent="0.25">
      <c r="A36" s="5" t="s">
        <v>57</v>
      </c>
      <c r="B36" s="7"/>
      <c r="C36" s="7" t="s">
        <v>189</v>
      </c>
      <c r="D36" s="7"/>
      <c r="E36" s="14" t="s">
        <v>65</v>
      </c>
      <c r="G36" s="144" t="s">
        <v>302</v>
      </c>
      <c r="H36" s="137"/>
      <c r="I36" s="137"/>
      <c r="J36" s="137"/>
      <c r="K36" s="137"/>
    </row>
    <row r="37" spans="1:11" x14ac:dyDescent="0.25">
      <c r="A37" s="5" t="s">
        <v>54</v>
      </c>
      <c r="B37" s="7"/>
      <c r="C37" s="7" t="s">
        <v>189</v>
      </c>
      <c r="D37" s="7"/>
      <c r="E37" s="14" t="s">
        <v>40</v>
      </c>
      <c r="G37" s="5"/>
      <c r="H37" s="7"/>
      <c r="I37" s="7"/>
      <c r="J37" s="7"/>
      <c r="K37" s="14"/>
    </row>
    <row r="38" spans="1:11" x14ac:dyDescent="0.25">
      <c r="A38" s="5" t="s">
        <v>49</v>
      </c>
      <c r="B38" s="7"/>
      <c r="C38" s="7" t="s">
        <v>189</v>
      </c>
      <c r="D38" s="7"/>
      <c r="E38" s="14" t="s">
        <v>38</v>
      </c>
    </row>
    <row r="39" spans="1:11" ht="16.5" thickBot="1" x14ac:dyDescent="0.3">
      <c r="A39" s="8" t="s">
        <v>64</v>
      </c>
      <c r="B39" s="10"/>
      <c r="C39" s="7" t="s">
        <v>189</v>
      </c>
      <c r="D39" s="10"/>
      <c r="E39" s="15" t="s">
        <v>67</v>
      </c>
    </row>
    <row r="40" spans="1:11" ht="16.5" thickTop="1" x14ac:dyDescent="0.25">
      <c r="G40" s="144" t="s">
        <v>303</v>
      </c>
      <c r="H40" s="137"/>
      <c r="I40" s="137"/>
      <c r="J40" s="137"/>
      <c r="K40" s="137"/>
    </row>
    <row r="41" spans="1:11" x14ac:dyDescent="0.25">
      <c r="A41" s="144" t="s">
        <v>300</v>
      </c>
      <c r="B41" s="137"/>
      <c r="C41" s="137"/>
      <c r="D41" s="137"/>
      <c r="E41" s="137"/>
      <c r="G41" s="5"/>
      <c r="H41" s="7"/>
      <c r="I41" s="7"/>
      <c r="J41" s="7"/>
      <c r="K41" s="14"/>
    </row>
    <row r="42" spans="1:11" x14ac:dyDescent="0.25">
      <c r="A42" s="5"/>
      <c r="B42" s="7"/>
      <c r="C42" s="7"/>
      <c r="D42" s="7"/>
      <c r="E42" s="14"/>
      <c r="K42" s="3"/>
    </row>
    <row r="43" spans="1:11" x14ac:dyDescent="0.25">
      <c r="A43" s="5"/>
      <c r="B43" s="7"/>
      <c r="C43" s="7"/>
      <c r="D43" s="7"/>
      <c r="E43" s="14"/>
      <c r="K43" s="3"/>
    </row>
    <row r="44" spans="1:11" x14ac:dyDescent="0.25">
      <c r="A44" s="5"/>
      <c r="B44" s="7"/>
      <c r="C44" s="7"/>
      <c r="D44" s="7"/>
      <c r="E44" s="14"/>
    </row>
    <row r="45" spans="1:11" ht="16.5" thickBot="1" x14ac:dyDescent="0.3">
      <c r="A45" s="8"/>
      <c r="B45" s="10"/>
      <c r="C45" s="10"/>
      <c r="D45" s="10"/>
      <c r="E45" s="15"/>
    </row>
    <row r="46" spans="1:11" ht="16.5" thickTop="1" x14ac:dyDescent="0.25"/>
  </sheetData>
  <mergeCells count="35">
    <mergeCell ref="A31:E31"/>
    <mergeCell ref="A41:E41"/>
    <mergeCell ref="G31:K31"/>
    <mergeCell ref="G36:K36"/>
    <mergeCell ref="G40:K40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6"/>
  <sheetViews>
    <sheetView topLeftCell="A7" zoomScale="85" zoomScaleNormal="85" workbookViewId="0">
      <pane xSplit="15" ySplit="10" topLeftCell="P17" activePane="bottomRight" state="frozen"/>
      <selection activeCell="A7" sqref="A7"/>
      <selection pane="topRight" activeCell="P7" sqref="P7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78" customWidth="1"/>
    <col min="32" max="42" width="5.140625" style="36" customWidth="1"/>
    <col min="43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230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1</v>
      </c>
      <c r="C7" s="35" t="s">
        <v>189</v>
      </c>
      <c r="D7" s="35">
        <v>2</v>
      </c>
      <c r="E7" s="39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51</v>
      </c>
      <c r="X10" s="128"/>
      <c r="Y10" s="128"/>
      <c r="Z10" s="78">
        <v>1</v>
      </c>
      <c r="AB10" s="78">
        <v>2</v>
      </c>
      <c r="AC10" s="128" t="s">
        <v>65</v>
      </c>
      <c r="AD10" s="128"/>
      <c r="AE10" s="128"/>
    </row>
    <row r="11" spans="1:31" ht="15" customHeight="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455</v>
      </c>
      <c r="R11" s="185"/>
      <c r="S11" s="185"/>
      <c r="T11" s="185"/>
      <c r="U11" s="185"/>
      <c r="W11" s="128" t="s">
        <v>53</v>
      </c>
      <c r="X11" s="128"/>
      <c r="Y11" s="128"/>
      <c r="Z11" s="78">
        <v>1</v>
      </c>
      <c r="AB11" s="78">
        <v>1</v>
      </c>
      <c r="AC11" s="128" t="s">
        <v>71</v>
      </c>
      <c r="AD11" s="128"/>
      <c r="AE11" s="128"/>
    </row>
    <row r="12" spans="1:31" ht="15" customHeight="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40</v>
      </c>
      <c r="X12" s="128"/>
      <c r="Y12" s="128"/>
      <c r="Z12" s="78">
        <v>2</v>
      </c>
      <c r="AB12" s="78">
        <v>0</v>
      </c>
      <c r="AC12" s="128" t="s">
        <v>61</v>
      </c>
      <c r="AD12" s="128"/>
      <c r="AE12" s="128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191</v>
      </c>
      <c r="X13" s="128"/>
      <c r="Y13" s="128"/>
      <c r="Z13" s="78">
        <v>1</v>
      </c>
      <c r="AB13" s="78">
        <v>2</v>
      </c>
      <c r="AC13" s="128" t="s">
        <v>61</v>
      </c>
      <c r="AD13" s="128"/>
      <c r="AE13" s="128"/>
    </row>
    <row r="14" spans="1:31" ht="15" customHeight="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52</v>
      </c>
      <c r="X14" s="128"/>
      <c r="Y14" s="128"/>
      <c r="Z14" s="78">
        <v>1</v>
      </c>
      <c r="AB14" s="78">
        <v>1</v>
      </c>
      <c r="AC14" s="128" t="s">
        <v>38</v>
      </c>
      <c r="AD14" s="128"/>
      <c r="AE14" s="128"/>
    </row>
    <row r="15" spans="1:31" ht="15" customHeight="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45</v>
      </c>
      <c r="X15" s="128"/>
      <c r="Y15" s="128"/>
      <c r="Z15" s="78">
        <v>1</v>
      </c>
      <c r="AB15" s="78">
        <v>2</v>
      </c>
      <c r="AC15" s="128" t="s">
        <v>60</v>
      </c>
      <c r="AD15" s="128"/>
      <c r="AE15" s="128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 t="s">
        <v>43</v>
      </c>
      <c r="X16" s="128"/>
      <c r="Y16" s="128"/>
      <c r="Z16" s="78">
        <v>2</v>
      </c>
      <c r="AB16" s="78">
        <v>0</v>
      </c>
      <c r="AC16" s="128" t="s">
        <v>66</v>
      </c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2</v>
      </c>
      <c r="C19" s="35" t="s">
        <v>189</v>
      </c>
      <c r="D19" s="35">
        <v>0</v>
      </c>
      <c r="E19" s="39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7</v>
      </c>
      <c r="S25" s="44">
        <v>12</v>
      </c>
      <c r="T25" s="44">
        <v>11</v>
      </c>
      <c r="U25" s="44">
        <v>11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297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9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1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3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1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7" customWidth="1"/>
    <col min="2" max="4" width="5.7109375" style="8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56" x14ac:dyDescent="0.25">
      <c r="A2" s="37" t="s">
        <v>46</v>
      </c>
      <c r="B2" s="85">
        <v>1</v>
      </c>
      <c r="C2" s="85" t="s">
        <v>189</v>
      </c>
      <c r="D2" s="8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252</v>
      </c>
      <c r="X2" s="187"/>
      <c r="Y2" s="187"/>
      <c r="Z2" s="187"/>
      <c r="AA2" s="187"/>
      <c r="AB2" s="187"/>
      <c r="AC2" s="187"/>
      <c r="AD2" s="187"/>
      <c r="AE2" s="187"/>
    </row>
    <row r="3" spans="1:56" x14ac:dyDescent="0.25">
      <c r="A3" s="37" t="s">
        <v>65</v>
      </c>
      <c r="B3" s="85">
        <v>1</v>
      </c>
      <c r="C3" s="85" t="s">
        <v>189</v>
      </c>
      <c r="D3" s="8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56" x14ac:dyDescent="0.25">
      <c r="A4" s="37" t="s">
        <v>46</v>
      </c>
      <c r="B4" s="85">
        <v>1</v>
      </c>
      <c r="C4" s="85" t="s">
        <v>189</v>
      </c>
      <c r="D4" s="8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56" x14ac:dyDescent="0.25">
      <c r="A5" s="37" t="s">
        <v>56</v>
      </c>
      <c r="B5" s="85">
        <v>1</v>
      </c>
      <c r="C5" s="85" t="s">
        <v>189</v>
      </c>
      <c r="D5" s="8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56" x14ac:dyDescent="0.25">
      <c r="A6" s="37" t="s">
        <v>56</v>
      </c>
      <c r="B6" s="85">
        <v>2</v>
      </c>
      <c r="C6" s="85" t="s">
        <v>189</v>
      </c>
      <c r="D6" s="8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56" x14ac:dyDescent="0.25">
      <c r="A7" s="37" t="s">
        <v>51</v>
      </c>
      <c r="B7" s="85">
        <v>1</v>
      </c>
      <c r="C7" s="85" t="s">
        <v>189</v>
      </c>
      <c r="D7" s="8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56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56" x14ac:dyDescent="0.25">
      <c r="A9" s="37" t="s">
        <v>57</v>
      </c>
      <c r="B9" s="85">
        <v>2</v>
      </c>
      <c r="C9" s="85" t="s">
        <v>189</v>
      </c>
      <c r="D9" s="8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56" x14ac:dyDescent="0.25">
      <c r="A10" s="37" t="s">
        <v>190</v>
      </c>
      <c r="B10" s="85">
        <v>1</v>
      </c>
      <c r="C10" s="85" t="s">
        <v>189</v>
      </c>
      <c r="D10" s="8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56</v>
      </c>
      <c r="X10" s="128"/>
      <c r="Y10" s="128"/>
      <c r="Z10" s="78">
        <v>1</v>
      </c>
      <c r="AB10" s="78">
        <v>1</v>
      </c>
      <c r="AC10" s="128" t="s">
        <v>51</v>
      </c>
      <c r="AD10" s="128"/>
      <c r="AE10" s="128"/>
    </row>
    <row r="11" spans="1:56" x14ac:dyDescent="0.25">
      <c r="A11" s="37" t="s">
        <v>71</v>
      </c>
      <c r="B11" s="85">
        <v>1</v>
      </c>
      <c r="C11" s="85" t="s">
        <v>189</v>
      </c>
      <c r="D11" s="8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465</v>
      </c>
      <c r="R11" s="185"/>
      <c r="S11" s="185"/>
      <c r="T11" s="185"/>
      <c r="U11" s="185"/>
      <c r="W11" s="128" t="s">
        <v>56</v>
      </c>
      <c r="X11" s="128"/>
      <c r="Y11" s="128"/>
      <c r="Z11" s="78">
        <v>2</v>
      </c>
      <c r="AB11" s="78">
        <v>0</v>
      </c>
      <c r="AC11" s="128" t="s">
        <v>46</v>
      </c>
      <c r="AD11" s="128"/>
      <c r="AE11" s="128"/>
    </row>
    <row r="12" spans="1:56" x14ac:dyDescent="0.25">
      <c r="A12" s="37" t="s">
        <v>57</v>
      </c>
      <c r="B12" s="85">
        <v>2</v>
      </c>
      <c r="C12" s="85" t="s">
        <v>189</v>
      </c>
      <c r="D12" s="8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71</v>
      </c>
      <c r="X12" s="128"/>
      <c r="Y12" s="128"/>
      <c r="Z12" s="78">
        <v>0</v>
      </c>
      <c r="AB12" s="78">
        <v>3</v>
      </c>
      <c r="AC12" s="128" t="s">
        <v>57</v>
      </c>
      <c r="AD12" s="128"/>
      <c r="AE12" s="128"/>
    </row>
    <row r="13" spans="1:56" x14ac:dyDescent="0.25">
      <c r="A13" s="37" t="s">
        <v>58</v>
      </c>
      <c r="B13" s="85">
        <v>1</v>
      </c>
      <c r="C13" s="85" t="s">
        <v>189</v>
      </c>
      <c r="D13" s="8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63</v>
      </c>
      <c r="X13" s="128"/>
      <c r="Y13" s="128"/>
      <c r="Z13" s="78">
        <v>2</v>
      </c>
      <c r="AB13" s="78">
        <v>0</v>
      </c>
      <c r="AC13" s="128" t="s">
        <v>191</v>
      </c>
      <c r="AD13" s="128"/>
      <c r="AE13" s="128"/>
    </row>
    <row r="14" spans="1:56" x14ac:dyDescent="0.25">
      <c r="A14" s="37" t="s">
        <v>71</v>
      </c>
      <c r="B14" s="85">
        <v>0</v>
      </c>
      <c r="C14" s="85" t="s">
        <v>189</v>
      </c>
      <c r="D14" s="8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41</v>
      </c>
      <c r="X14" s="128"/>
      <c r="Y14" s="128"/>
      <c r="Z14" s="78">
        <v>1</v>
      </c>
      <c r="AB14" s="78">
        <v>0</v>
      </c>
      <c r="AC14" s="128" t="s">
        <v>50</v>
      </c>
      <c r="AD14" s="128"/>
      <c r="AE14" s="128"/>
      <c r="BD14" s="36">
        <v>5</v>
      </c>
    </row>
    <row r="15" spans="1:56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43</v>
      </c>
      <c r="X15" s="128"/>
      <c r="Y15" s="128"/>
      <c r="Z15" s="78">
        <v>2</v>
      </c>
      <c r="AB15" s="78">
        <v>0</v>
      </c>
      <c r="AC15" s="128" t="s">
        <v>66</v>
      </c>
      <c r="AD15" s="128"/>
      <c r="AE15" s="128"/>
    </row>
    <row r="16" spans="1:56" x14ac:dyDescent="0.25">
      <c r="A16" s="37" t="s">
        <v>40</v>
      </c>
      <c r="B16" s="85">
        <v>3</v>
      </c>
      <c r="C16" s="85" t="s">
        <v>189</v>
      </c>
      <c r="D16" s="8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85">
        <v>1</v>
      </c>
      <c r="C17" s="85" t="s">
        <v>189</v>
      </c>
      <c r="D17" s="8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85">
        <v>2</v>
      </c>
      <c r="C18" s="85" t="s">
        <v>189</v>
      </c>
      <c r="D18" s="8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85">
        <v>2</v>
      </c>
      <c r="C19" s="85" t="s">
        <v>189</v>
      </c>
      <c r="D19" s="8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85">
        <v>1</v>
      </c>
      <c r="C20" s="85" t="s">
        <v>189</v>
      </c>
      <c r="D20" s="8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85">
        <v>0</v>
      </c>
      <c r="C21" s="85" t="s">
        <v>189</v>
      </c>
      <c r="D21" s="8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85">
        <v>1</v>
      </c>
      <c r="C23" s="85" t="s">
        <v>189</v>
      </c>
      <c r="D23" s="8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85">
        <v>2</v>
      </c>
      <c r="C24" s="85" t="s">
        <v>189</v>
      </c>
      <c r="D24" s="8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85">
        <v>0</v>
      </c>
      <c r="C25" s="85" t="s">
        <v>189</v>
      </c>
      <c r="D25" s="8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6">
        <v>6</v>
      </c>
      <c r="R25" s="66">
        <v>10</v>
      </c>
      <c r="S25" s="66">
        <v>12</v>
      </c>
      <c r="T25" s="66">
        <v>9</v>
      </c>
      <c r="U25" s="66">
        <v>11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85">
        <v>2</v>
      </c>
      <c r="C26" s="85" t="s">
        <v>189</v>
      </c>
      <c r="D26" s="8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85">
        <v>0</v>
      </c>
      <c r="C27" s="85" t="s">
        <v>189</v>
      </c>
      <c r="D27" s="85">
        <v>3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42</v>
      </c>
      <c r="V27" s="190"/>
      <c r="W27" s="128"/>
      <c r="X27" s="128"/>
      <c r="Y27" s="128"/>
      <c r="Z27" s="83"/>
      <c r="AC27" s="128"/>
      <c r="AD27" s="128"/>
      <c r="AE27" s="128"/>
    </row>
    <row r="28" spans="1:31" x14ac:dyDescent="0.25">
      <c r="A28" s="37" t="s">
        <v>41</v>
      </c>
      <c r="B28" s="85">
        <v>1</v>
      </c>
      <c r="C28" s="85" t="s">
        <v>189</v>
      </c>
      <c r="D28" s="8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289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85">
        <v>2</v>
      </c>
      <c r="C30" s="85" t="s">
        <v>189</v>
      </c>
      <c r="D30" s="8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84"/>
      <c r="R30" s="84"/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85">
        <v>2</v>
      </c>
      <c r="C31" s="85" t="s">
        <v>189</v>
      </c>
      <c r="D31" s="8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84"/>
      <c r="R31" s="84"/>
    </row>
    <row r="32" spans="1:31" x14ac:dyDescent="0.25">
      <c r="A32" s="37" t="s">
        <v>59</v>
      </c>
      <c r="B32" s="85">
        <v>1</v>
      </c>
      <c r="C32" s="85" t="s">
        <v>189</v>
      </c>
      <c r="D32" s="8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85">
        <v>2</v>
      </c>
      <c r="C33" s="85" t="s">
        <v>189</v>
      </c>
      <c r="D33" s="8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85">
        <v>2</v>
      </c>
      <c r="C34" s="85" t="s">
        <v>189</v>
      </c>
      <c r="D34" s="85">
        <v>2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85">
        <v>0</v>
      </c>
      <c r="C35" s="85" t="s">
        <v>189</v>
      </c>
      <c r="D35" s="85">
        <v>4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85">
        <v>1</v>
      </c>
      <c r="C37" s="85" t="s">
        <v>189</v>
      </c>
      <c r="D37" s="8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85">
        <v>2</v>
      </c>
      <c r="C38" s="85" t="s">
        <v>189</v>
      </c>
      <c r="D38" s="8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85">
        <v>2</v>
      </c>
      <c r="C39" s="85" t="s">
        <v>189</v>
      </c>
      <c r="D39" s="8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85">
        <v>2</v>
      </c>
      <c r="C40" s="85" t="s">
        <v>189</v>
      </c>
      <c r="D40" s="8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85">
        <v>1</v>
      </c>
      <c r="C41" s="85" t="s">
        <v>189</v>
      </c>
      <c r="D41" s="8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85">
        <v>1</v>
      </c>
      <c r="C42" s="85" t="s">
        <v>189</v>
      </c>
      <c r="D42" s="8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85">
        <v>2</v>
      </c>
      <c r="C44" s="85" t="s">
        <v>189</v>
      </c>
      <c r="D44" s="8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85">
        <v>2</v>
      </c>
      <c r="C45" s="85" t="s">
        <v>189</v>
      </c>
      <c r="D45" s="8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85">
        <v>1</v>
      </c>
      <c r="C46" s="85" t="s">
        <v>189</v>
      </c>
      <c r="D46" s="8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85">
        <v>2</v>
      </c>
      <c r="C47" s="85" t="s">
        <v>189</v>
      </c>
      <c r="D47" s="8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85">
        <v>0</v>
      </c>
      <c r="C48" s="85" t="s">
        <v>189</v>
      </c>
      <c r="D48" s="8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85">
        <v>1</v>
      </c>
      <c r="C49" s="85" t="s">
        <v>189</v>
      </c>
      <c r="D49" s="8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85">
        <v>2</v>
      </c>
      <c r="C51" s="85" t="s">
        <v>189</v>
      </c>
      <c r="D51" s="85">
        <v>1</v>
      </c>
      <c r="E51" s="39" t="s">
        <v>193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85">
        <v>1</v>
      </c>
      <c r="C52" s="85" t="s">
        <v>189</v>
      </c>
      <c r="D52" s="8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193</v>
      </c>
      <c r="B53" s="85">
        <v>2</v>
      </c>
      <c r="C53" s="85" t="s">
        <v>189</v>
      </c>
      <c r="D53" s="8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85">
        <v>2</v>
      </c>
      <c r="C54" s="85" t="s">
        <v>189</v>
      </c>
      <c r="D54" s="8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193</v>
      </c>
      <c r="B55" s="85">
        <v>1</v>
      </c>
      <c r="C55" s="85" t="s">
        <v>189</v>
      </c>
      <c r="D55" s="8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85">
        <v>1</v>
      </c>
      <c r="C56" s="85" t="s">
        <v>189</v>
      </c>
      <c r="D56" s="8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2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2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2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2</v>
      </c>
      <c r="E66" s="90" t="s">
        <v>67</v>
      </c>
    </row>
  </sheetData>
  <mergeCells count="68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7:V27"/>
    <mergeCell ref="S27:T27"/>
    <mergeCell ref="S28:T28"/>
    <mergeCell ref="U28:V28"/>
    <mergeCell ref="Q27:R27"/>
    <mergeCell ref="Q28:R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4" width="5.7109375" style="36" customWidth="1"/>
    <col min="55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7" t="s">
        <v>46</v>
      </c>
      <c r="B2" s="35">
        <v>0</v>
      </c>
      <c r="C2" s="35" t="s">
        <v>189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253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9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2" t="s">
        <v>202</v>
      </c>
      <c r="B8" s="192"/>
      <c r="C8" s="192"/>
      <c r="D8" s="192"/>
      <c r="E8" s="192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46</v>
      </c>
      <c r="X10" s="128"/>
      <c r="Y10" s="128"/>
      <c r="Z10" s="78">
        <v>0</v>
      </c>
      <c r="AB10" s="78">
        <v>2</v>
      </c>
      <c r="AC10" s="128" t="s">
        <v>51</v>
      </c>
      <c r="AD10" s="128"/>
      <c r="AE10" s="128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515</v>
      </c>
      <c r="R11" s="185"/>
      <c r="S11" s="185"/>
      <c r="T11" s="185"/>
      <c r="U11" s="185"/>
      <c r="W11" s="128" t="s">
        <v>65</v>
      </c>
      <c r="X11" s="128"/>
      <c r="Y11" s="128"/>
      <c r="Z11" s="78">
        <v>0</v>
      </c>
      <c r="AB11" s="78">
        <v>2</v>
      </c>
      <c r="AC11" s="128" t="s">
        <v>56</v>
      </c>
      <c r="AD11" s="128"/>
      <c r="AE11" s="128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56</v>
      </c>
      <c r="X12" s="128"/>
      <c r="Y12" s="128"/>
      <c r="Z12" s="78">
        <v>1</v>
      </c>
      <c r="AB12" s="78">
        <v>1</v>
      </c>
      <c r="AC12" s="128" t="s">
        <v>51</v>
      </c>
      <c r="AD12" s="128"/>
      <c r="AE12" s="128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56</v>
      </c>
      <c r="X13" s="128"/>
      <c r="Y13" s="128"/>
      <c r="Z13" s="78">
        <v>2</v>
      </c>
      <c r="AB13" s="78">
        <v>0</v>
      </c>
      <c r="AC13" s="128" t="s">
        <v>46</v>
      </c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58</v>
      </c>
      <c r="X14" s="128"/>
      <c r="Y14" s="128"/>
      <c r="Z14" s="78">
        <v>0</v>
      </c>
      <c r="AB14" s="78">
        <v>1</v>
      </c>
      <c r="AC14" s="128" t="s">
        <v>53</v>
      </c>
      <c r="AD14" s="128"/>
      <c r="AE14" s="128"/>
    </row>
    <row r="15" spans="1:31" x14ac:dyDescent="0.25">
      <c r="A15" s="192" t="s">
        <v>201</v>
      </c>
      <c r="B15" s="192"/>
      <c r="C15" s="192"/>
      <c r="D15" s="192"/>
      <c r="E15" s="192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71</v>
      </c>
      <c r="X15" s="128"/>
      <c r="Y15" s="128"/>
      <c r="Z15" s="78">
        <v>0</v>
      </c>
      <c r="AB15" s="78">
        <v>3</v>
      </c>
      <c r="AC15" s="128" t="s">
        <v>57</v>
      </c>
      <c r="AD15" s="128"/>
      <c r="AE15" s="128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 t="s">
        <v>63</v>
      </c>
      <c r="X16" s="128"/>
      <c r="Y16" s="128"/>
      <c r="Z16" s="78">
        <v>2</v>
      </c>
      <c r="AB16" s="78">
        <v>0</v>
      </c>
      <c r="AC16" s="128" t="s">
        <v>191</v>
      </c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 t="s">
        <v>68</v>
      </c>
      <c r="X17" s="128"/>
      <c r="Y17" s="128"/>
      <c r="Z17" s="78">
        <v>0</v>
      </c>
      <c r="AB17" s="78">
        <v>1</v>
      </c>
      <c r="AC17" s="128" t="s">
        <v>41</v>
      </c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 t="s">
        <v>59</v>
      </c>
      <c r="X18" s="128"/>
      <c r="Y18" s="128"/>
      <c r="Z18" s="78">
        <v>0</v>
      </c>
      <c r="AB18" s="78">
        <v>1</v>
      </c>
      <c r="AC18" s="128" t="s">
        <v>192</v>
      </c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 t="s">
        <v>52</v>
      </c>
      <c r="X19" s="128"/>
      <c r="Y19" s="128"/>
      <c r="Z19" s="78">
        <v>1</v>
      </c>
      <c r="AB19" s="78">
        <v>1</v>
      </c>
      <c r="AC19" s="128" t="s">
        <v>38</v>
      </c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 t="s">
        <v>67</v>
      </c>
      <c r="X20" s="128"/>
      <c r="Y20" s="128"/>
      <c r="Z20" s="78">
        <v>1</v>
      </c>
      <c r="AB20" s="78">
        <v>0</v>
      </c>
      <c r="AC20" s="128" t="s">
        <v>44</v>
      </c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 t="s">
        <v>43</v>
      </c>
      <c r="X21" s="128"/>
      <c r="Y21" s="128"/>
      <c r="Z21" s="78">
        <v>2</v>
      </c>
      <c r="AB21" s="78">
        <v>0</v>
      </c>
      <c r="AC21" s="128" t="s">
        <v>66</v>
      </c>
      <c r="AD21" s="128"/>
      <c r="AE21" s="128"/>
    </row>
    <row r="22" spans="1:31" x14ac:dyDescent="0.25">
      <c r="A22" s="192" t="s">
        <v>200</v>
      </c>
      <c r="B22" s="192"/>
      <c r="C22" s="192"/>
      <c r="D22" s="192"/>
      <c r="E22" s="192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12</v>
      </c>
      <c r="R25" s="44">
        <v>4</v>
      </c>
      <c r="S25" s="44">
        <v>12</v>
      </c>
      <c r="T25" s="44">
        <v>7</v>
      </c>
      <c r="U25" s="44">
        <v>13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1</v>
      </c>
      <c r="C26" s="35" t="s">
        <v>189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57</v>
      </c>
      <c r="T27" s="190"/>
      <c r="U27" s="190" t="s">
        <v>43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3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298</v>
      </c>
      <c r="T28" s="191"/>
      <c r="U28" s="191" t="s">
        <v>288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92" t="s">
        <v>199</v>
      </c>
      <c r="B29" s="192"/>
      <c r="C29" s="192"/>
      <c r="D29" s="192"/>
      <c r="E29" s="192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2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2" t="s">
        <v>198</v>
      </c>
      <c r="B36" s="192"/>
      <c r="C36" s="192"/>
      <c r="D36" s="192"/>
      <c r="E36" s="192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2" t="s">
        <v>197</v>
      </c>
      <c r="B43" s="192"/>
      <c r="C43" s="192"/>
      <c r="D43" s="192"/>
      <c r="E43" s="192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2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2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2" t="s">
        <v>196</v>
      </c>
      <c r="B50" s="192"/>
      <c r="C50" s="192"/>
      <c r="D50" s="192"/>
      <c r="E50" s="192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9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2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2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3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8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Q27:R27"/>
    <mergeCell ref="S27:T27"/>
    <mergeCell ref="U27:V27"/>
    <mergeCell ref="Q28:R28"/>
    <mergeCell ref="S28:T28"/>
    <mergeCell ref="U28:V28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7" t="s">
        <v>46</v>
      </c>
      <c r="B2" s="35">
        <v>1</v>
      </c>
      <c r="C2" s="35" t="s">
        <v>189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229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56</v>
      </c>
      <c r="X10" s="128"/>
      <c r="Y10" s="128"/>
      <c r="Z10" s="78">
        <v>1</v>
      </c>
      <c r="AB10" s="78">
        <v>1</v>
      </c>
      <c r="AC10" s="128" t="s">
        <v>51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375</v>
      </c>
      <c r="R11" s="185"/>
      <c r="S11" s="185"/>
      <c r="T11" s="185"/>
      <c r="U11" s="185"/>
      <c r="W11" s="128" t="s">
        <v>56</v>
      </c>
      <c r="X11" s="128"/>
      <c r="Y11" s="128"/>
      <c r="Z11" s="78">
        <v>2</v>
      </c>
      <c r="AB11" s="78">
        <v>0</v>
      </c>
      <c r="AC11" s="128" t="s">
        <v>46</v>
      </c>
      <c r="AD11" s="128"/>
      <c r="AE11" s="128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/>
      <c r="X12" s="128"/>
      <c r="Y12" s="128"/>
      <c r="AC12" s="128"/>
      <c r="AD12" s="128"/>
      <c r="AE12" s="128"/>
    </row>
    <row r="13" spans="1:31" x14ac:dyDescent="0.25">
      <c r="A13" s="37" t="s">
        <v>58</v>
      </c>
      <c r="B13" s="35">
        <v>0</v>
      </c>
      <c r="C13" s="35" t="s">
        <v>189</v>
      </c>
      <c r="D13" s="35">
        <v>0</v>
      </c>
      <c r="E13" s="36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6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6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14</v>
      </c>
      <c r="T25" s="44">
        <v>10</v>
      </c>
      <c r="U25" s="44">
        <v>13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54</v>
      </c>
      <c r="T27" s="190"/>
      <c r="U27" s="190" t="s">
        <v>42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289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2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1</v>
      </c>
      <c r="C51" s="35" t="s">
        <v>189</v>
      </c>
      <c r="D51" s="35">
        <v>1</v>
      </c>
      <c r="E51" s="36" t="s">
        <v>205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1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1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1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232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2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4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2</v>
      </c>
      <c r="C7" s="35" t="s">
        <v>189</v>
      </c>
      <c r="D7" s="35">
        <v>1</v>
      </c>
      <c r="E7" s="36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2" t="s">
        <v>202</v>
      </c>
      <c r="B8" s="192"/>
      <c r="C8" s="192"/>
      <c r="D8" s="192"/>
      <c r="E8" s="192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2</v>
      </c>
      <c r="C9" s="35" t="s">
        <v>189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53</v>
      </c>
      <c r="X10" s="128"/>
      <c r="Y10" s="128"/>
      <c r="Z10" s="78">
        <v>1</v>
      </c>
      <c r="AB10" s="78">
        <v>1</v>
      </c>
      <c r="AC10" s="128" t="s">
        <v>71</v>
      </c>
      <c r="AD10" s="128"/>
      <c r="AE10" s="128"/>
    </row>
    <row r="11" spans="1:31" x14ac:dyDescent="0.25">
      <c r="A11" s="36" t="s">
        <v>71</v>
      </c>
      <c r="B11" s="35">
        <v>1</v>
      </c>
      <c r="C11" s="35" t="s">
        <v>189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345</v>
      </c>
      <c r="R11" s="185"/>
      <c r="S11" s="185"/>
      <c r="T11" s="185"/>
      <c r="U11" s="185"/>
      <c r="W11" s="128" t="s">
        <v>63</v>
      </c>
      <c r="X11" s="128"/>
      <c r="Y11" s="128"/>
      <c r="Z11" s="78">
        <v>2</v>
      </c>
      <c r="AB11" s="78">
        <v>0</v>
      </c>
      <c r="AC11" s="128" t="s">
        <v>191</v>
      </c>
      <c r="AD11" s="128"/>
      <c r="AE11" s="128"/>
    </row>
    <row r="12" spans="1:31" x14ac:dyDescent="0.25">
      <c r="A12" s="36" t="s">
        <v>57</v>
      </c>
      <c r="B12" s="35">
        <v>1</v>
      </c>
      <c r="C12" s="35" t="s">
        <v>189</v>
      </c>
      <c r="D12" s="35">
        <v>1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/>
      <c r="X12" s="128"/>
      <c r="Y12" s="128"/>
      <c r="AC12" s="128"/>
      <c r="AD12" s="128"/>
      <c r="AE12" s="128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92" t="s">
        <v>201</v>
      </c>
      <c r="B15" s="192"/>
      <c r="C15" s="192"/>
      <c r="D15" s="192"/>
      <c r="E15" s="192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6" t="s">
        <v>40</v>
      </c>
      <c r="B16" s="35">
        <v>4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92" t="s">
        <v>200</v>
      </c>
      <c r="B22" s="192"/>
      <c r="C22" s="192"/>
      <c r="D22" s="192"/>
      <c r="E22" s="192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2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8</v>
      </c>
      <c r="S25" s="44">
        <v>12</v>
      </c>
      <c r="T25" s="44">
        <v>11</v>
      </c>
      <c r="U25" s="44">
        <v>14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3</v>
      </c>
      <c r="C26" s="35" t="s">
        <v>189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289</v>
      </c>
      <c r="T28" s="191"/>
      <c r="U28" s="191" t="s">
        <v>297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92" t="s">
        <v>199</v>
      </c>
      <c r="B29" s="192"/>
      <c r="C29" s="192"/>
      <c r="D29" s="192"/>
      <c r="E29" s="192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4</v>
      </c>
      <c r="E35" s="36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2" t="s">
        <v>198</v>
      </c>
      <c r="B36" s="192"/>
      <c r="C36" s="192"/>
      <c r="D36" s="192"/>
      <c r="E36" s="192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0</v>
      </c>
      <c r="C37" s="35" t="s">
        <v>189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2" t="s">
        <v>197</v>
      </c>
      <c r="B43" s="192"/>
      <c r="C43" s="192"/>
      <c r="D43" s="192"/>
      <c r="E43" s="192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1</v>
      </c>
      <c r="C44" s="35" t="s">
        <v>189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0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2" t="s">
        <v>196</v>
      </c>
      <c r="B50" s="192"/>
      <c r="C50" s="192"/>
      <c r="D50" s="192"/>
      <c r="E50" s="192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189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1</v>
      </c>
      <c r="C53" s="35" t="s">
        <v>189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189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1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2</v>
      </c>
      <c r="E66" s="90" t="s">
        <v>67</v>
      </c>
    </row>
  </sheetData>
  <mergeCells count="69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7:R27"/>
    <mergeCell ref="S27:T27"/>
    <mergeCell ref="U27:V27"/>
    <mergeCell ref="Q28:R28"/>
    <mergeCell ref="S28:T28"/>
    <mergeCell ref="U28:V28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56" width="5.7109375" style="36" customWidth="1"/>
    <col min="57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231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1</v>
      </c>
      <c r="C3" s="35" t="s">
        <v>189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92" t="s">
        <v>202</v>
      </c>
      <c r="B8" s="192"/>
      <c r="C8" s="192"/>
      <c r="D8" s="192"/>
      <c r="E8" s="192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1</v>
      </c>
      <c r="C10" s="35" t="s">
        <v>189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56</v>
      </c>
      <c r="X10" s="128"/>
      <c r="Y10" s="128"/>
      <c r="Z10" s="78">
        <v>2</v>
      </c>
      <c r="AB10" s="78">
        <v>0</v>
      </c>
      <c r="AC10" s="128" t="s">
        <v>46</v>
      </c>
      <c r="AD10" s="128"/>
      <c r="AE10" s="128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345</v>
      </c>
      <c r="R11" s="185"/>
      <c r="S11" s="185"/>
      <c r="T11" s="185"/>
      <c r="U11" s="185"/>
      <c r="W11" s="128" t="s">
        <v>53</v>
      </c>
      <c r="X11" s="128"/>
      <c r="Y11" s="128"/>
      <c r="Z11" s="78">
        <v>1</v>
      </c>
      <c r="AB11" s="78">
        <v>1</v>
      </c>
      <c r="AC11" s="128" t="s">
        <v>71</v>
      </c>
      <c r="AD11" s="128"/>
      <c r="AE11" s="128"/>
    </row>
    <row r="12" spans="1:31" x14ac:dyDescent="0.25">
      <c r="A12" s="36" t="s">
        <v>57</v>
      </c>
      <c r="B12" s="35">
        <v>2</v>
      </c>
      <c r="C12" s="35" t="s">
        <v>189</v>
      </c>
      <c r="D12" s="35">
        <v>1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63</v>
      </c>
      <c r="X12" s="128"/>
      <c r="Y12" s="128"/>
      <c r="Z12" s="78">
        <v>2</v>
      </c>
      <c r="AB12" s="78">
        <v>0</v>
      </c>
      <c r="AC12" s="128" t="s">
        <v>191</v>
      </c>
      <c r="AD12" s="128"/>
      <c r="AE12" s="128"/>
    </row>
    <row r="13" spans="1:31" x14ac:dyDescent="0.25">
      <c r="A13" s="36" t="s">
        <v>58</v>
      </c>
      <c r="B13" s="35">
        <v>1</v>
      </c>
      <c r="C13" s="35" t="s">
        <v>189</v>
      </c>
      <c r="D13" s="35">
        <v>0</v>
      </c>
      <c r="E13" s="36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191</v>
      </c>
      <c r="X13" s="128"/>
      <c r="Y13" s="128"/>
      <c r="Z13" s="78">
        <v>1</v>
      </c>
      <c r="AB13" s="78">
        <v>2</v>
      </c>
      <c r="AC13" s="128" t="s">
        <v>61</v>
      </c>
      <c r="AD13" s="128"/>
      <c r="AE13" s="128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41</v>
      </c>
      <c r="X14" s="128"/>
      <c r="Y14" s="128"/>
      <c r="Z14" s="78">
        <v>1</v>
      </c>
      <c r="AB14" s="78">
        <v>0</v>
      </c>
      <c r="AC14" s="128" t="s">
        <v>50</v>
      </c>
      <c r="AD14" s="128"/>
      <c r="AE14" s="128"/>
    </row>
    <row r="15" spans="1:31" x14ac:dyDescent="0.25">
      <c r="A15" s="192" t="s">
        <v>201</v>
      </c>
      <c r="B15" s="192"/>
      <c r="C15" s="192"/>
      <c r="D15" s="192"/>
      <c r="E15" s="192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43</v>
      </c>
      <c r="X15" s="128"/>
      <c r="Y15" s="128"/>
      <c r="Z15" s="78">
        <v>2</v>
      </c>
      <c r="AB15" s="78">
        <v>0</v>
      </c>
      <c r="AC15" s="128" t="s">
        <v>66</v>
      </c>
      <c r="AD15" s="128"/>
      <c r="AE15" s="128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1</v>
      </c>
      <c r="C19" s="35" t="s">
        <v>189</v>
      </c>
      <c r="D19" s="35">
        <v>1</v>
      </c>
      <c r="E19" s="36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2</v>
      </c>
      <c r="C20" s="35" t="s">
        <v>189</v>
      </c>
      <c r="D20" s="35">
        <v>1</v>
      </c>
      <c r="E20" s="36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92" t="s">
        <v>200</v>
      </c>
      <c r="B22" s="192"/>
      <c r="C22" s="192"/>
      <c r="D22" s="192"/>
      <c r="E22" s="192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4</v>
      </c>
      <c r="S25" s="44">
        <v>9</v>
      </c>
      <c r="T25" s="44">
        <v>9</v>
      </c>
      <c r="U25" s="44">
        <v>19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1</v>
      </c>
      <c r="C28" s="35" t="s">
        <v>189</v>
      </c>
      <c r="D28" s="35">
        <v>0</v>
      </c>
      <c r="E28" s="36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289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92" t="s">
        <v>199</v>
      </c>
      <c r="B29" s="192"/>
      <c r="C29" s="192"/>
      <c r="D29" s="192"/>
      <c r="E29" s="192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2</v>
      </c>
      <c r="C30" s="35" t="s">
        <v>189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1</v>
      </c>
      <c r="E34" s="36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1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92" t="s">
        <v>198</v>
      </c>
      <c r="B36" s="192"/>
      <c r="C36" s="192"/>
      <c r="D36" s="192"/>
      <c r="E36" s="192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1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1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92" t="s">
        <v>197</v>
      </c>
      <c r="B43" s="192"/>
      <c r="C43" s="192"/>
      <c r="D43" s="192"/>
      <c r="E43" s="192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2</v>
      </c>
      <c r="C44" s="35" t="s">
        <v>189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189</v>
      </c>
      <c r="D49" s="35">
        <v>1</v>
      </c>
      <c r="E49" s="36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92" t="s">
        <v>196</v>
      </c>
      <c r="B50" s="192"/>
      <c r="C50" s="192"/>
      <c r="D50" s="192"/>
      <c r="E50" s="192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0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3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3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3</v>
      </c>
      <c r="E61" s="90" t="s">
        <v>49</v>
      </c>
    </row>
    <row r="62" spans="1:15" x14ac:dyDescent="0.25">
      <c r="A62" s="91" t="s">
        <v>43</v>
      </c>
      <c r="B62" s="2">
        <v>3</v>
      </c>
      <c r="C62" s="2" t="s">
        <v>189</v>
      </c>
      <c r="D62" s="2">
        <v>2</v>
      </c>
      <c r="E62" s="90" t="s">
        <v>329</v>
      </c>
    </row>
    <row r="63" spans="1:15" x14ac:dyDescent="0.25">
      <c r="A63" s="91" t="s">
        <v>57</v>
      </c>
      <c r="B63" s="2">
        <v>3</v>
      </c>
      <c r="C63" s="2" t="s">
        <v>189</v>
      </c>
      <c r="D63" s="2">
        <v>2</v>
      </c>
      <c r="E63" s="90" t="s">
        <v>65</v>
      </c>
    </row>
    <row r="64" spans="1:15" x14ac:dyDescent="0.25">
      <c r="A64" s="91" t="s">
        <v>54</v>
      </c>
      <c r="B64" s="2">
        <v>3</v>
      </c>
      <c r="C64" s="2" t="s">
        <v>189</v>
      </c>
      <c r="D64" s="2">
        <v>2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3</v>
      </c>
      <c r="E65" s="90" t="s">
        <v>52</v>
      </c>
    </row>
    <row r="66" spans="1:5" x14ac:dyDescent="0.25">
      <c r="A66" s="91" t="s">
        <v>64</v>
      </c>
      <c r="B66" s="2">
        <v>3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6" t="s">
        <v>46</v>
      </c>
      <c r="B2" s="35">
        <v>1</v>
      </c>
      <c r="C2" s="35" t="s">
        <v>189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234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0</v>
      </c>
      <c r="C3" s="35" t="s">
        <v>189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1</v>
      </c>
      <c r="C4" s="35" t="s">
        <v>189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2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65</v>
      </c>
      <c r="X10" s="128"/>
      <c r="Y10" s="128"/>
      <c r="Z10" s="78">
        <v>0</v>
      </c>
      <c r="AB10" s="78">
        <v>2</v>
      </c>
      <c r="AC10" s="128" t="s">
        <v>56</v>
      </c>
      <c r="AD10" s="128"/>
      <c r="AE10" s="128"/>
    </row>
    <row r="11" spans="1:31" x14ac:dyDescent="0.25">
      <c r="A11" s="36" t="s">
        <v>71</v>
      </c>
      <c r="B11" s="35">
        <v>0</v>
      </c>
      <c r="C11" s="35" t="s">
        <v>189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390</v>
      </c>
      <c r="R11" s="185"/>
      <c r="S11" s="185"/>
      <c r="T11" s="185"/>
      <c r="U11" s="185"/>
      <c r="W11" s="128" t="s">
        <v>71</v>
      </c>
      <c r="X11" s="128"/>
      <c r="Y11" s="128"/>
      <c r="Z11" s="78">
        <v>0</v>
      </c>
      <c r="AB11" s="78">
        <v>3</v>
      </c>
      <c r="AC11" s="128" t="s">
        <v>57</v>
      </c>
      <c r="AD11" s="128"/>
      <c r="AE11" s="128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54</v>
      </c>
      <c r="X12" s="128"/>
      <c r="Y12" s="128"/>
      <c r="Z12" s="78">
        <v>2</v>
      </c>
      <c r="AB12" s="78">
        <v>1</v>
      </c>
      <c r="AC12" s="128" t="s">
        <v>50</v>
      </c>
      <c r="AD12" s="128"/>
      <c r="AE12" s="128"/>
    </row>
    <row r="13" spans="1:31" x14ac:dyDescent="0.25">
      <c r="A13" s="36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42</v>
      </c>
      <c r="X13" s="128"/>
      <c r="Y13" s="128"/>
      <c r="Z13" s="78">
        <v>1</v>
      </c>
      <c r="AB13" s="78">
        <v>0</v>
      </c>
      <c r="AC13" s="128" t="s">
        <v>45</v>
      </c>
      <c r="AD13" s="128"/>
      <c r="AE13" s="128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43</v>
      </c>
      <c r="X14" s="128"/>
      <c r="Y14" s="128"/>
      <c r="Z14" s="78">
        <v>2</v>
      </c>
      <c r="AB14" s="78">
        <v>0</v>
      </c>
      <c r="AC14" s="128" t="s">
        <v>66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1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1</v>
      </c>
      <c r="C18" s="35" t="s">
        <v>189</v>
      </c>
      <c r="D18" s="35">
        <v>1</v>
      </c>
      <c r="E18" s="36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1</v>
      </c>
      <c r="C21" s="35" t="s">
        <v>189</v>
      </c>
      <c r="D21" s="35">
        <v>4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2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1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6</v>
      </c>
      <c r="S25" s="44">
        <v>11</v>
      </c>
      <c r="T25" s="44">
        <v>13</v>
      </c>
      <c r="U25" s="44">
        <v>13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54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0</v>
      </c>
      <c r="C28" s="35" t="s">
        <v>189</v>
      </c>
      <c r="D28" s="35">
        <v>1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298</v>
      </c>
      <c r="T28" s="191"/>
      <c r="U28" s="191" t="s">
        <v>299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1</v>
      </c>
      <c r="E32" s="36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189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3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189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1</v>
      </c>
      <c r="E41" s="36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1</v>
      </c>
      <c r="C44" s="35" t="s">
        <v>189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189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189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2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189</v>
      </c>
      <c r="D56" s="35">
        <v>3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2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3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6"/>
  <sheetViews>
    <sheetView topLeftCell="A2" zoomScale="85" zoomScaleNormal="85" workbookViewId="0">
      <pane xSplit="15" ySplit="15" topLeftCell="P17" activePane="bottomRight" state="frozen"/>
      <selection activeCell="A2" sqref="A2"/>
      <selection pane="topRight" activeCell="P2" sqref="P2"/>
      <selection pane="bottomLeft" activeCell="A17" sqref="A17"/>
      <selection pane="bottomRight" activeCell="P17" sqref="P17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61" width="5.7109375" style="36" customWidth="1"/>
    <col min="62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6" t="s">
        <v>46</v>
      </c>
      <c r="B2" s="35">
        <v>1</v>
      </c>
      <c r="C2" s="35" t="s">
        <v>189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235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2</v>
      </c>
      <c r="C4" s="35" t="s">
        <v>189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3</v>
      </c>
      <c r="C5" s="35" t="s">
        <v>189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1</v>
      </c>
      <c r="C7" s="35" t="s">
        <v>189</v>
      </c>
      <c r="D7" s="35">
        <v>1</v>
      </c>
      <c r="E7" s="36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3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57</v>
      </c>
      <c r="X10" s="128"/>
      <c r="Y10" s="128"/>
      <c r="Z10" s="78">
        <v>0</v>
      </c>
      <c r="AB10" s="78">
        <v>0</v>
      </c>
      <c r="AC10" s="128" t="s">
        <v>53</v>
      </c>
      <c r="AD10" s="128"/>
      <c r="AE10" s="128"/>
    </row>
    <row r="11" spans="1:31" x14ac:dyDescent="0.25">
      <c r="A11" s="36" t="s">
        <v>71</v>
      </c>
      <c r="B11" s="35">
        <v>1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380</v>
      </c>
      <c r="R11" s="185"/>
      <c r="S11" s="185"/>
      <c r="T11" s="185"/>
      <c r="U11" s="185"/>
      <c r="W11" s="128" t="s">
        <v>58</v>
      </c>
      <c r="X11" s="128"/>
      <c r="Y11" s="128"/>
      <c r="Z11" s="78">
        <v>0</v>
      </c>
      <c r="AB11" s="78">
        <v>1</v>
      </c>
      <c r="AC11" s="128" t="s">
        <v>53</v>
      </c>
      <c r="AD11" s="128"/>
      <c r="AE11" s="128"/>
    </row>
    <row r="12" spans="1:31" x14ac:dyDescent="0.25">
      <c r="A12" s="36" t="s">
        <v>57</v>
      </c>
      <c r="B12" s="35">
        <v>0</v>
      </c>
      <c r="C12" s="35" t="s">
        <v>189</v>
      </c>
      <c r="D12" s="35">
        <v>0</v>
      </c>
      <c r="E12" s="36" t="s">
        <v>190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71</v>
      </c>
      <c r="X12" s="128"/>
      <c r="Y12" s="128"/>
      <c r="Z12" s="78">
        <v>0</v>
      </c>
      <c r="AB12" s="78">
        <v>3</v>
      </c>
      <c r="AC12" s="128" t="s">
        <v>57</v>
      </c>
      <c r="AD12" s="128"/>
      <c r="AE12" s="128"/>
    </row>
    <row r="13" spans="1:31" x14ac:dyDescent="0.25">
      <c r="A13" s="36" t="s">
        <v>58</v>
      </c>
      <c r="B13" s="35">
        <v>0</v>
      </c>
      <c r="C13" s="35" t="s">
        <v>189</v>
      </c>
      <c r="D13" s="35">
        <v>1</v>
      </c>
      <c r="E13" s="36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50</v>
      </c>
      <c r="X13" s="128"/>
      <c r="Y13" s="128"/>
      <c r="Z13" s="78">
        <v>0</v>
      </c>
      <c r="AB13" s="78">
        <v>0</v>
      </c>
      <c r="AC13" s="128" t="s">
        <v>68</v>
      </c>
      <c r="AD13" s="128"/>
      <c r="AE13" s="128"/>
    </row>
    <row r="14" spans="1:31" x14ac:dyDescent="0.25">
      <c r="A14" s="36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2</v>
      </c>
      <c r="C17" s="35" t="s">
        <v>189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1</v>
      </c>
      <c r="C18" s="35" t="s">
        <v>189</v>
      </c>
      <c r="D18" s="35">
        <v>0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1</v>
      </c>
      <c r="C19" s="35" t="s">
        <v>189</v>
      </c>
      <c r="D19" s="35">
        <v>0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0</v>
      </c>
      <c r="C23" s="35" t="s">
        <v>189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1</v>
      </c>
      <c r="C24" s="35" t="s">
        <v>189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6</v>
      </c>
      <c r="T25" s="44">
        <v>11</v>
      </c>
      <c r="U25" s="44">
        <v>16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1</v>
      </c>
      <c r="C26" s="35" t="s">
        <v>189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52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299</v>
      </c>
      <c r="T28" s="191"/>
      <c r="U28" s="191" t="s">
        <v>298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4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189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3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1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189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189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0</v>
      </c>
      <c r="C44" s="35" t="s">
        <v>189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189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189</v>
      </c>
      <c r="D48" s="35">
        <v>1</v>
      </c>
      <c r="E48" s="36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189</v>
      </c>
      <c r="D49" s="35">
        <v>0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2</v>
      </c>
      <c r="C53" s="35" t="s">
        <v>189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189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1</v>
      </c>
      <c r="C55" s="35" t="s">
        <v>189</v>
      </c>
      <c r="D55" s="35">
        <v>3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189</v>
      </c>
      <c r="D56" s="35">
        <v>1</v>
      </c>
      <c r="E56" s="36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2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3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6" t="s">
        <v>195</v>
      </c>
      <c r="B1" s="186"/>
      <c r="C1" s="186"/>
      <c r="D1" s="186"/>
      <c r="E1" s="186"/>
      <c r="H1" s="35" t="s">
        <v>194</v>
      </c>
      <c r="K1" s="188" t="s">
        <v>195</v>
      </c>
      <c r="L1" s="188"/>
      <c r="M1" s="188"/>
      <c r="N1" s="188"/>
      <c r="O1" s="188"/>
    </row>
    <row r="2" spans="1:2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2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2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</row>
    <row r="10" spans="1:2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</row>
    <row r="11" spans="1:2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 t="s">
        <v>233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55</v>
      </c>
      <c r="R11" s="185"/>
      <c r="S11" s="185"/>
      <c r="T11" s="185"/>
      <c r="U11" s="185"/>
    </row>
    <row r="12" spans="1:2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</row>
    <row r="13" spans="1:2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</row>
    <row r="14" spans="1:2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</row>
    <row r="15" spans="1:2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</row>
    <row r="16" spans="1:2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</row>
    <row r="21" spans="1:15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</row>
    <row r="22" spans="1:15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</row>
    <row r="23" spans="1:15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</row>
    <row r="30" spans="1:15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146</v>
      </c>
    </row>
    <row r="62" spans="1:15" x14ac:dyDescent="0.25">
      <c r="A62" s="42" t="s">
        <v>88</v>
      </c>
    </row>
    <row r="63" spans="1:15" x14ac:dyDescent="0.25">
      <c r="A63" s="40" t="s">
        <v>147</v>
      </c>
    </row>
    <row r="64" spans="1:15" x14ac:dyDescent="0.25">
      <c r="A64" s="40" t="s">
        <v>148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6"/>
  <sheetViews>
    <sheetView tabSelected="1"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40" customWidth="1"/>
    <col min="47" max="16384" width="9.140625" style="40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40" t="s">
        <v>46</v>
      </c>
      <c r="B2" s="35">
        <v>1</v>
      </c>
      <c r="C2" s="35" t="s">
        <v>189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236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40" t="s">
        <v>65</v>
      </c>
      <c r="B3" s="35">
        <v>0</v>
      </c>
      <c r="C3" s="35" t="s">
        <v>189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40" t="s">
        <v>46</v>
      </c>
      <c r="B4" s="35">
        <v>0</v>
      </c>
      <c r="C4" s="35" t="s">
        <v>189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40" t="s">
        <v>56</v>
      </c>
      <c r="B5" s="35">
        <v>0</v>
      </c>
      <c r="C5" s="35" t="s">
        <v>189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40" t="s">
        <v>56</v>
      </c>
      <c r="B6" s="35">
        <v>1</v>
      </c>
      <c r="C6" s="35" t="s">
        <v>189</v>
      </c>
      <c r="D6" s="35">
        <v>0</v>
      </c>
      <c r="E6" s="40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40" t="s">
        <v>51</v>
      </c>
      <c r="B7" s="35">
        <v>2</v>
      </c>
      <c r="C7" s="35" t="s">
        <v>189</v>
      </c>
      <c r="D7" s="35">
        <v>0</v>
      </c>
      <c r="E7" s="40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40" t="s">
        <v>57</v>
      </c>
      <c r="B9" s="35">
        <v>2</v>
      </c>
      <c r="C9" s="35" t="s">
        <v>189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40" t="s">
        <v>190</v>
      </c>
      <c r="B10" s="35">
        <v>1</v>
      </c>
      <c r="C10" s="35" t="s">
        <v>189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63</v>
      </c>
      <c r="X10" s="128"/>
      <c r="Y10" s="128"/>
      <c r="Z10" s="78">
        <v>2</v>
      </c>
      <c r="AB10" s="78">
        <v>0</v>
      </c>
      <c r="AC10" s="128" t="s">
        <v>191</v>
      </c>
      <c r="AD10" s="128"/>
      <c r="AE10" s="128"/>
    </row>
    <row r="11" spans="1:31" x14ac:dyDescent="0.25">
      <c r="A11" s="40" t="s">
        <v>71</v>
      </c>
      <c r="B11" s="35">
        <v>1</v>
      </c>
      <c r="C11" s="35" t="s">
        <v>189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435</v>
      </c>
      <c r="R11" s="185"/>
      <c r="S11" s="185"/>
      <c r="T11" s="185"/>
      <c r="U11" s="185"/>
      <c r="W11" s="128" t="s">
        <v>40</v>
      </c>
      <c r="X11" s="128"/>
      <c r="Y11" s="128"/>
      <c r="Z11" s="78">
        <v>2</v>
      </c>
      <c r="AB11" s="78">
        <v>0</v>
      </c>
      <c r="AC11" s="128" t="s">
        <v>61</v>
      </c>
      <c r="AD11" s="128"/>
      <c r="AE11" s="128"/>
    </row>
    <row r="12" spans="1:31" x14ac:dyDescent="0.25">
      <c r="A12" s="40" t="s">
        <v>57</v>
      </c>
      <c r="B12" s="35">
        <v>1</v>
      </c>
      <c r="C12" s="35" t="s">
        <v>189</v>
      </c>
      <c r="D12" s="35">
        <v>2</v>
      </c>
      <c r="E12" s="40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68</v>
      </c>
      <c r="X12" s="128"/>
      <c r="Y12" s="128"/>
      <c r="Z12" s="78">
        <v>0</v>
      </c>
      <c r="AB12" s="78">
        <v>1</v>
      </c>
      <c r="AC12" s="128" t="s">
        <v>41</v>
      </c>
      <c r="AD12" s="128"/>
      <c r="AE12" s="128"/>
    </row>
    <row r="13" spans="1:31" x14ac:dyDescent="0.25">
      <c r="A13" s="40" t="s">
        <v>58</v>
      </c>
      <c r="B13" s="35">
        <v>0</v>
      </c>
      <c r="C13" s="35" t="s">
        <v>189</v>
      </c>
      <c r="D13" s="35">
        <v>2</v>
      </c>
      <c r="E13" s="40" t="s">
        <v>190</v>
      </c>
      <c r="H13" s="35">
        <v>15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41</v>
      </c>
      <c r="X13" s="128"/>
      <c r="Y13" s="128"/>
      <c r="Z13" s="78">
        <v>1</v>
      </c>
      <c r="AB13" s="78">
        <v>0</v>
      </c>
      <c r="AC13" s="128" t="s">
        <v>50</v>
      </c>
      <c r="AD13" s="128"/>
      <c r="AE13" s="128"/>
    </row>
    <row r="14" spans="1:31" x14ac:dyDescent="0.25">
      <c r="A14" s="40" t="s">
        <v>71</v>
      </c>
      <c r="B14" s="35">
        <v>0</v>
      </c>
      <c r="C14" s="35" t="s">
        <v>189</v>
      </c>
      <c r="D14" s="35">
        <v>1</v>
      </c>
      <c r="E14" s="40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42</v>
      </c>
      <c r="X14" s="128"/>
      <c r="Y14" s="128"/>
      <c r="Z14" s="78">
        <v>1</v>
      </c>
      <c r="AB14" s="78">
        <v>0</v>
      </c>
      <c r="AC14" s="128" t="s">
        <v>45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43</v>
      </c>
      <c r="X15" s="128"/>
      <c r="Y15" s="128"/>
      <c r="Z15" s="78">
        <v>2</v>
      </c>
      <c r="AB15" s="78">
        <v>0</v>
      </c>
      <c r="AC15" s="128" t="s">
        <v>66</v>
      </c>
      <c r="AD15" s="128"/>
      <c r="AE15" s="128"/>
    </row>
    <row r="16" spans="1:31" x14ac:dyDescent="0.25">
      <c r="A16" s="40" t="s">
        <v>40</v>
      </c>
      <c r="B16" s="35">
        <v>2</v>
      </c>
      <c r="C16" s="35" t="s">
        <v>189</v>
      </c>
      <c r="D16" s="35">
        <v>0</v>
      </c>
      <c r="E16" s="40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 t="s">
        <v>43</v>
      </c>
      <c r="X16" s="128"/>
      <c r="Y16" s="128"/>
      <c r="Z16" s="78">
        <v>1</v>
      </c>
      <c r="AB16" s="78">
        <v>0</v>
      </c>
      <c r="AC16" s="128" t="s">
        <v>67</v>
      </c>
      <c r="AD16" s="128"/>
      <c r="AE16" s="128"/>
    </row>
    <row r="17" spans="1:31" x14ac:dyDescent="0.25">
      <c r="A17" s="40" t="s">
        <v>61</v>
      </c>
      <c r="B17" s="35">
        <v>0</v>
      </c>
      <c r="C17" s="35" t="s">
        <v>189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40" t="s">
        <v>63</v>
      </c>
      <c r="B18" s="35">
        <v>2</v>
      </c>
      <c r="C18" s="35" t="s">
        <v>189</v>
      </c>
      <c r="D18" s="35">
        <v>0</v>
      </c>
      <c r="E18" s="40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40" t="s">
        <v>40</v>
      </c>
      <c r="B19" s="35">
        <v>2</v>
      </c>
      <c r="C19" s="35" t="s">
        <v>189</v>
      </c>
      <c r="D19" s="35">
        <v>0</v>
      </c>
      <c r="E19" s="40" t="s">
        <v>61</v>
      </c>
      <c r="H19" s="35">
        <v>25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40" t="s">
        <v>63</v>
      </c>
      <c r="B20" s="35">
        <v>2</v>
      </c>
      <c r="C20" s="35" t="s">
        <v>189</v>
      </c>
      <c r="D20" s="35">
        <v>3</v>
      </c>
      <c r="E20" s="40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40" t="s">
        <v>191</v>
      </c>
      <c r="B21" s="35">
        <v>0</v>
      </c>
      <c r="C21" s="35" t="s">
        <v>189</v>
      </c>
      <c r="D21" s="35">
        <v>2</v>
      </c>
      <c r="E21" s="40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40" t="s">
        <v>50</v>
      </c>
      <c r="B23" s="35">
        <v>1</v>
      </c>
      <c r="C23" s="35" t="s">
        <v>189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40" t="s">
        <v>54</v>
      </c>
      <c r="B24" s="35">
        <v>2</v>
      </c>
      <c r="C24" s="35" t="s">
        <v>189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40" t="s">
        <v>68</v>
      </c>
      <c r="B25" s="35">
        <v>0</v>
      </c>
      <c r="C25" s="35" t="s">
        <v>189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7</v>
      </c>
      <c r="R25" s="44">
        <v>8</v>
      </c>
      <c r="S25" s="44">
        <v>9</v>
      </c>
      <c r="T25" s="44">
        <v>10</v>
      </c>
      <c r="U25" s="44">
        <v>14</v>
      </c>
      <c r="W25" s="128"/>
      <c r="X25" s="128"/>
      <c r="Y25" s="128"/>
      <c r="AC25" s="128"/>
      <c r="AD25" s="128"/>
      <c r="AE25" s="128"/>
    </row>
    <row r="26" spans="1:31" x14ac:dyDescent="0.25">
      <c r="A26" s="40" t="s">
        <v>54</v>
      </c>
      <c r="B26" s="35">
        <v>2</v>
      </c>
      <c r="C26" s="35" t="s">
        <v>189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40" t="s">
        <v>68</v>
      </c>
      <c r="B27" s="35">
        <v>0</v>
      </c>
      <c r="C27" s="35" t="s">
        <v>189</v>
      </c>
      <c r="D27" s="35">
        <v>2</v>
      </c>
      <c r="E27" s="40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40" t="s">
        <v>41</v>
      </c>
      <c r="B28" s="35">
        <v>1</v>
      </c>
      <c r="C28" s="35" t="s">
        <v>189</v>
      </c>
      <c r="D28" s="35">
        <v>0</v>
      </c>
      <c r="E28" s="40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291</v>
      </c>
      <c r="T28" s="191"/>
      <c r="U28" s="191" t="s">
        <v>297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40" t="s">
        <v>38</v>
      </c>
      <c r="B30" s="35">
        <v>1</v>
      </c>
      <c r="C30" s="35" t="s">
        <v>189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40" t="s">
        <v>52</v>
      </c>
      <c r="B31" s="35">
        <v>0</v>
      </c>
      <c r="C31" s="35" t="s">
        <v>189</v>
      </c>
      <c r="D31" s="35">
        <v>0</v>
      </c>
      <c r="E31" s="40" t="s">
        <v>192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189</v>
      </c>
      <c r="D32" s="35">
        <v>0</v>
      </c>
      <c r="E32" s="40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189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189</v>
      </c>
      <c r="D34" s="35">
        <v>0</v>
      </c>
      <c r="E34" s="40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40" t="s">
        <v>192</v>
      </c>
      <c r="B35" s="35">
        <v>0</v>
      </c>
      <c r="C35" s="35" t="s">
        <v>189</v>
      </c>
      <c r="D35" s="35">
        <v>2</v>
      </c>
      <c r="E35" s="40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40" t="s">
        <v>60</v>
      </c>
      <c r="B37" s="35">
        <v>0</v>
      </c>
      <c r="C37" s="35" t="s">
        <v>189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189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189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189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189</v>
      </c>
      <c r="D41" s="35">
        <v>1</v>
      </c>
      <c r="E41" s="40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189</v>
      </c>
      <c r="D42" s="35">
        <v>0</v>
      </c>
      <c r="E42" s="40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40" t="s">
        <v>67</v>
      </c>
      <c r="B44" s="35">
        <v>0</v>
      </c>
      <c r="C44" s="35" t="s">
        <v>189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189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189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189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189</v>
      </c>
      <c r="D48" s="35">
        <v>2</v>
      </c>
      <c r="E48" s="40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189</v>
      </c>
      <c r="D49" s="35">
        <v>2</v>
      </c>
      <c r="E49" s="40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40" t="s">
        <v>69</v>
      </c>
      <c r="B51" s="35">
        <v>2</v>
      </c>
      <c r="C51" s="35" t="s">
        <v>189</v>
      </c>
      <c r="D51" s="35">
        <v>1</v>
      </c>
      <c r="E51" s="40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189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205</v>
      </c>
      <c r="B53" s="35">
        <v>1</v>
      </c>
      <c r="C53" s="35" t="s">
        <v>189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189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205</v>
      </c>
      <c r="B55" s="35">
        <v>1</v>
      </c>
      <c r="C55" s="35" t="s">
        <v>189</v>
      </c>
      <c r="D55" s="35">
        <v>3</v>
      </c>
      <c r="E55" s="40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189</v>
      </c>
      <c r="D56" s="35">
        <v>1</v>
      </c>
      <c r="E56" s="40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2"/>
    </row>
    <row r="59" spans="1:15" x14ac:dyDescent="0.25">
      <c r="A59" s="91" t="s">
        <v>56</v>
      </c>
      <c r="B59" s="2">
        <v>2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2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0</v>
      </c>
      <c r="E65" s="90" t="s">
        <v>52</v>
      </c>
    </row>
    <row r="66" spans="1:5" x14ac:dyDescent="0.25">
      <c r="A66" s="91" t="s">
        <v>64</v>
      </c>
      <c r="B66" s="2">
        <v>0</v>
      </c>
      <c r="C66" s="2" t="s">
        <v>189</v>
      </c>
      <c r="D66" s="2">
        <v>0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93" t="s">
        <v>141</v>
      </c>
      <c r="C1" s="93"/>
      <c r="D1" s="93"/>
      <c r="E1" s="94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223</v>
      </c>
    </row>
    <row r="15" spans="1:5" x14ac:dyDescent="0.25">
      <c r="A15" s="20" t="s">
        <v>106</v>
      </c>
      <c r="B15" s="21"/>
      <c r="C15" s="21" t="s">
        <v>204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213</v>
      </c>
      <c r="D16" s="21"/>
      <c r="E16" s="24" t="s">
        <v>224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221</v>
      </c>
    </row>
    <row r="19" spans="1:5" x14ac:dyDescent="0.25">
      <c r="A19" s="20" t="s">
        <v>137</v>
      </c>
      <c r="B19" s="21"/>
      <c r="C19" s="21" t="s">
        <v>216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210</v>
      </c>
      <c r="B23" s="21"/>
      <c r="C23" s="21" t="s">
        <v>98</v>
      </c>
      <c r="D23" s="21"/>
      <c r="E23" s="24" t="s">
        <v>149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209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150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151</v>
      </c>
    </row>
    <row r="28" spans="1:5" ht="15.75" thickBot="1" x14ac:dyDescent="0.3">
      <c r="A28" s="22" t="s">
        <v>211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6"/>
  <sheetViews>
    <sheetView topLeftCell="A13" zoomScale="85" zoomScaleNormal="85" workbookViewId="0">
      <selection activeCell="A59" sqref="A59:E66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6" t="s">
        <v>46</v>
      </c>
      <c r="B2" s="35">
        <v>2</v>
      </c>
      <c r="C2" s="35" t="s">
        <v>189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237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1</v>
      </c>
      <c r="C4" s="35" t="s">
        <v>189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3</v>
      </c>
      <c r="C5" s="35" t="s">
        <v>189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2</v>
      </c>
      <c r="C6" s="35" t="s">
        <v>189</v>
      </c>
      <c r="D6" s="35">
        <v>0</v>
      </c>
      <c r="E6" s="36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2</v>
      </c>
      <c r="C10" s="35" t="s">
        <v>189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46</v>
      </c>
      <c r="X10" s="128"/>
      <c r="Y10" s="128"/>
      <c r="Z10" s="78">
        <v>1</v>
      </c>
      <c r="AB10" s="78">
        <v>3</v>
      </c>
      <c r="AC10" s="128" t="s">
        <v>65</v>
      </c>
      <c r="AD10" s="128"/>
      <c r="AE10" s="128"/>
    </row>
    <row r="11" spans="1:31" x14ac:dyDescent="0.25">
      <c r="A11" s="36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400</v>
      </c>
      <c r="R11" s="185"/>
      <c r="S11" s="185"/>
      <c r="T11" s="185"/>
      <c r="U11" s="185"/>
      <c r="W11" s="128" t="s">
        <v>56</v>
      </c>
      <c r="X11" s="128"/>
      <c r="Y11" s="128"/>
      <c r="Z11" s="78">
        <v>2</v>
      </c>
      <c r="AB11" s="78">
        <v>0</v>
      </c>
      <c r="AC11" s="128" t="s">
        <v>46</v>
      </c>
      <c r="AD11" s="128"/>
      <c r="AE11" s="128"/>
    </row>
    <row r="12" spans="1:31" x14ac:dyDescent="0.25">
      <c r="A12" s="36" t="s">
        <v>57</v>
      </c>
      <c r="B12" s="35">
        <v>2</v>
      </c>
      <c r="C12" s="35" t="s">
        <v>189</v>
      </c>
      <c r="D12" s="35">
        <v>2</v>
      </c>
      <c r="E12" s="36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51</v>
      </c>
      <c r="X12" s="128"/>
      <c r="Y12" s="128"/>
      <c r="Z12" s="78">
        <v>1</v>
      </c>
      <c r="AB12" s="78">
        <v>2</v>
      </c>
      <c r="AC12" s="128" t="s">
        <v>65</v>
      </c>
      <c r="AD12" s="128"/>
      <c r="AE12" s="128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63</v>
      </c>
      <c r="X13" s="128"/>
      <c r="Y13" s="128"/>
      <c r="Z13" s="78">
        <v>2</v>
      </c>
      <c r="AB13" s="78">
        <v>0</v>
      </c>
      <c r="AC13" s="128" t="s">
        <v>191</v>
      </c>
      <c r="AD13" s="128"/>
      <c r="AE13" s="128"/>
    </row>
    <row r="14" spans="1:31" x14ac:dyDescent="0.25">
      <c r="A14" s="36" t="s">
        <v>71</v>
      </c>
      <c r="B14" s="35">
        <v>1</v>
      </c>
      <c r="C14" s="35" t="s">
        <v>189</v>
      </c>
      <c r="D14" s="35">
        <v>3</v>
      </c>
      <c r="E14" s="36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67</v>
      </c>
      <c r="X14" s="128"/>
      <c r="Y14" s="128"/>
      <c r="Z14" s="78">
        <v>1</v>
      </c>
      <c r="AB14" s="78">
        <v>0</v>
      </c>
      <c r="AC14" s="128" t="s">
        <v>44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43</v>
      </c>
      <c r="X15" s="128"/>
      <c r="Y15" s="128"/>
      <c r="Z15" s="78">
        <v>2</v>
      </c>
      <c r="AB15" s="78">
        <v>0</v>
      </c>
      <c r="AC15" s="128" t="s">
        <v>66</v>
      </c>
      <c r="AD15" s="128"/>
      <c r="AE15" s="128"/>
    </row>
    <row r="16" spans="1:31" x14ac:dyDescent="0.25">
      <c r="A16" s="36" t="s">
        <v>40</v>
      </c>
      <c r="B16" s="35">
        <v>3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1</v>
      </c>
      <c r="C17" s="35" t="s">
        <v>189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2</v>
      </c>
      <c r="C19" s="35" t="s">
        <v>189</v>
      </c>
      <c r="D19" s="35">
        <v>2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0</v>
      </c>
      <c r="C20" s="35" t="s">
        <v>189</v>
      </c>
      <c r="D20" s="35">
        <v>1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1</v>
      </c>
      <c r="C21" s="35" t="s">
        <v>189</v>
      </c>
      <c r="D21" s="35">
        <v>3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2</v>
      </c>
      <c r="C23" s="35" t="s">
        <v>189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2</v>
      </c>
      <c r="C25" s="35" t="s">
        <v>189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9</v>
      </c>
      <c r="S25" s="44">
        <v>8</v>
      </c>
      <c r="T25" s="44">
        <v>7</v>
      </c>
      <c r="U25" s="44">
        <v>18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2</v>
      </c>
      <c r="C26" s="35" t="s">
        <v>189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2</v>
      </c>
      <c r="C28" s="35" t="s">
        <v>189</v>
      </c>
      <c r="D28" s="35">
        <v>2</v>
      </c>
      <c r="E28" s="36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295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3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1</v>
      </c>
      <c r="C37" s="35" t="s">
        <v>189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189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189</v>
      </c>
      <c r="D42" s="35">
        <v>0</v>
      </c>
      <c r="E42" s="36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189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1</v>
      </c>
      <c r="E49" s="36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3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2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6"/>
  <sheetViews>
    <sheetView topLeftCell="A10" zoomScale="85" zoomScaleNormal="85" workbookViewId="0">
      <selection activeCell="A59" sqref="A59:E66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6" t="s">
        <v>46</v>
      </c>
      <c r="B2" s="35">
        <v>0</v>
      </c>
      <c r="C2" s="35" t="s">
        <v>189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255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6" t="s">
        <v>65</v>
      </c>
      <c r="B3" s="35">
        <v>1</v>
      </c>
      <c r="C3" s="35" t="s">
        <v>189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6" t="s">
        <v>46</v>
      </c>
      <c r="B4" s="35">
        <v>0</v>
      </c>
      <c r="C4" s="35" t="s">
        <v>189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6" t="s">
        <v>56</v>
      </c>
      <c r="B5" s="35">
        <v>1</v>
      </c>
      <c r="C5" s="35" t="s">
        <v>189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6" t="s">
        <v>56</v>
      </c>
      <c r="B6" s="35">
        <v>3</v>
      </c>
      <c r="C6" s="35" t="s">
        <v>189</v>
      </c>
      <c r="D6" s="35">
        <v>0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6" t="s">
        <v>51</v>
      </c>
      <c r="B7" s="35">
        <v>1</v>
      </c>
      <c r="C7" s="35" t="s">
        <v>189</v>
      </c>
      <c r="D7" s="35">
        <v>2</v>
      </c>
      <c r="E7" s="36" t="s">
        <v>65</v>
      </c>
      <c r="H7" s="35">
        <v>25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6" t="s">
        <v>57</v>
      </c>
      <c r="B9" s="35">
        <v>2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6" t="s">
        <v>190</v>
      </c>
      <c r="B10" s="35">
        <v>1</v>
      </c>
      <c r="C10" s="35" t="s">
        <v>189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46</v>
      </c>
      <c r="X10" s="128"/>
      <c r="Y10" s="128"/>
      <c r="Z10" s="78">
        <v>0</v>
      </c>
      <c r="AB10" s="78">
        <v>2</v>
      </c>
      <c r="AC10" s="128" t="s">
        <v>51</v>
      </c>
      <c r="AD10" s="128"/>
      <c r="AE10" s="128"/>
    </row>
    <row r="11" spans="1:31" x14ac:dyDescent="0.25">
      <c r="A11" s="36" t="s">
        <v>71</v>
      </c>
      <c r="B11" s="35">
        <v>2</v>
      </c>
      <c r="C11" s="35" t="s">
        <v>189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420</v>
      </c>
      <c r="R11" s="185"/>
      <c r="S11" s="185"/>
      <c r="T11" s="185"/>
      <c r="U11" s="185"/>
      <c r="W11" s="128" t="s">
        <v>51</v>
      </c>
      <c r="X11" s="128"/>
      <c r="Y11" s="128"/>
      <c r="Z11" s="78">
        <v>1</v>
      </c>
      <c r="AB11" s="78">
        <v>2</v>
      </c>
      <c r="AC11" s="128" t="s">
        <v>65</v>
      </c>
      <c r="AD11" s="128"/>
      <c r="AE11" s="128"/>
    </row>
    <row r="12" spans="1:31" x14ac:dyDescent="0.25">
      <c r="A12" s="36" t="s">
        <v>57</v>
      </c>
      <c r="B12" s="35">
        <v>1</v>
      </c>
      <c r="C12" s="35" t="s">
        <v>189</v>
      </c>
      <c r="D12" s="35">
        <v>0</v>
      </c>
      <c r="E12" s="36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63</v>
      </c>
      <c r="X12" s="128"/>
      <c r="Y12" s="128"/>
      <c r="Z12" s="78">
        <v>2</v>
      </c>
      <c r="AB12" s="78">
        <v>0</v>
      </c>
      <c r="AC12" s="128" t="s">
        <v>191</v>
      </c>
      <c r="AD12" s="128"/>
      <c r="AE12" s="128"/>
    </row>
    <row r="13" spans="1:31" x14ac:dyDescent="0.25">
      <c r="A13" s="36" t="s">
        <v>58</v>
      </c>
      <c r="B13" s="35">
        <v>1</v>
      </c>
      <c r="C13" s="35" t="s">
        <v>189</v>
      </c>
      <c r="D13" s="35">
        <v>2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54</v>
      </c>
      <c r="X13" s="128"/>
      <c r="Y13" s="128"/>
      <c r="Z13" s="78">
        <v>2</v>
      </c>
      <c r="AB13" s="78">
        <v>1</v>
      </c>
      <c r="AC13" s="128" t="s">
        <v>50</v>
      </c>
      <c r="AD13" s="128"/>
      <c r="AE13" s="128"/>
    </row>
    <row r="14" spans="1:31" x14ac:dyDescent="0.25">
      <c r="A14" s="36" t="s">
        <v>71</v>
      </c>
      <c r="B14" s="35">
        <v>1</v>
      </c>
      <c r="C14" s="35" t="s">
        <v>189</v>
      </c>
      <c r="D14" s="35">
        <v>2</v>
      </c>
      <c r="E14" s="36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67</v>
      </c>
      <c r="X14" s="128"/>
      <c r="Y14" s="128"/>
      <c r="Z14" s="78">
        <v>1</v>
      </c>
      <c r="AB14" s="78">
        <v>0</v>
      </c>
      <c r="AC14" s="128" t="s">
        <v>44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6" t="s">
        <v>40</v>
      </c>
      <c r="B16" s="35">
        <v>2</v>
      </c>
      <c r="C16" s="35" t="s">
        <v>189</v>
      </c>
      <c r="D16" s="35">
        <v>0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6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6" t="s">
        <v>63</v>
      </c>
      <c r="B18" s="35">
        <v>2</v>
      </c>
      <c r="C18" s="35" t="s">
        <v>189</v>
      </c>
      <c r="D18" s="35">
        <v>0</v>
      </c>
      <c r="E18" s="36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6" t="s">
        <v>40</v>
      </c>
      <c r="B19" s="35">
        <v>2</v>
      </c>
      <c r="C19" s="35" t="s">
        <v>189</v>
      </c>
      <c r="D19" s="35">
        <v>1</v>
      </c>
      <c r="E19" s="36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6" t="s">
        <v>63</v>
      </c>
      <c r="B20" s="35">
        <v>1</v>
      </c>
      <c r="C20" s="35" t="s">
        <v>189</v>
      </c>
      <c r="D20" s="35">
        <v>2</v>
      </c>
      <c r="E20" s="36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6" t="s">
        <v>191</v>
      </c>
      <c r="B21" s="35">
        <v>0</v>
      </c>
      <c r="C21" s="35" t="s">
        <v>189</v>
      </c>
      <c r="D21" s="35">
        <v>2</v>
      </c>
      <c r="E21" s="36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6" t="s">
        <v>50</v>
      </c>
      <c r="B23" s="35">
        <v>1</v>
      </c>
      <c r="C23" s="35" t="s">
        <v>189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6" t="s">
        <v>54</v>
      </c>
      <c r="B24" s="35">
        <v>3</v>
      </c>
      <c r="C24" s="35" t="s">
        <v>189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6" t="s">
        <v>68</v>
      </c>
      <c r="B25" s="35">
        <v>2</v>
      </c>
      <c r="C25" s="35" t="s">
        <v>189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10</v>
      </c>
      <c r="S25" s="44">
        <v>10</v>
      </c>
      <c r="T25" s="44">
        <v>9</v>
      </c>
      <c r="U25" s="44">
        <v>14</v>
      </c>
      <c r="W25" s="128"/>
      <c r="X25" s="128"/>
      <c r="Y25" s="128"/>
      <c r="AC25" s="128"/>
      <c r="AD25" s="128"/>
      <c r="AE25" s="128"/>
    </row>
    <row r="26" spans="1:31" x14ac:dyDescent="0.25">
      <c r="A26" s="36" t="s">
        <v>54</v>
      </c>
      <c r="B26" s="35">
        <v>2</v>
      </c>
      <c r="C26" s="35" t="s">
        <v>189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6" t="s">
        <v>68</v>
      </c>
      <c r="B27" s="35">
        <v>0</v>
      </c>
      <c r="C27" s="35" t="s">
        <v>189</v>
      </c>
      <c r="D27" s="35">
        <v>2</v>
      </c>
      <c r="E27" s="36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54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6" t="s">
        <v>41</v>
      </c>
      <c r="B28" s="35">
        <v>1</v>
      </c>
      <c r="C28" s="35" t="s">
        <v>189</v>
      </c>
      <c r="D28" s="35">
        <v>2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6" t="s">
        <v>38</v>
      </c>
      <c r="B30" s="35">
        <v>2</v>
      </c>
      <c r="C30" s="35" t="s">
        <v>189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6" t="s">
        <v>52</v>
      </c>
      <c r="B31" s="35">
        <v>2</v>
      </c>
      <c r="C31" s="35" t="s">
        <v>189</v>
      </c>
      <c r="D31" s="35">
        <v>0</v>
      </c>
      <c r="E31" s="36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189</v>
      </c>
      <c r="D32" s="35">
        <v>0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189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6" t="s">
        <v>192</v>
      </c>
      <c r="B35" s="35">
        <v>0</v>
      </c>
      <c r="C35" s="35" t="s">
        <v>189</v>
      </c>
      <c r="D35" s="35">
        <v>2</v>
      </c>
      <c r="E35" s="36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6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189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189</v>
      </c>
      <c r="D41" s="35">
        <v>2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189</v>
      </c>
      <c r="D42" s="35">
        <v>1</v>
      </c>
      <c r="E42" s="36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6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189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189</v>
      </c>
      <c r="D48" s="35">
        <v>3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189</v>
      </c>
      <c r="D49" s="35">
        <v>2</v>
      </c>
      <c r="E49" s="36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6" t="s">
        <v>69</v>
      </c>
      <c r="B51" s="35">
        <v>2</v>
      </c>
      <c r="C51" s="35" t="s">
        <v>189</v>
      </c>
      <c r="D51" s="35">
        <v>0</v>
      </c>
      <c r="E51" s="36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189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205</v>
      </c>
      <c r="B53" s="35">
        <v>0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189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205</v>
      </c>
      <c r="B55" s="35">
        <v>0</v>
      </c>
      <c r="C55" s="35" t="s">
        <v>189</v>
      </c>
      <c r="D55" s="35">
        <v>2</v>
      </c>
      <c r="E55" s="36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189</v>
      </c>
      <c r="D56" s="35">
        <v>1</v>
      </c>
      <c r="E56" s="36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41"/>
    </row>
    <row r="59" spans="1:15" x14ac:dyDescent="0.25">
      <c r="A59" s="91" t="s">
        <v>56</v>
      </c>
      <c r="B59" s="2">
        <v>1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1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0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3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0</v>
      </c>
      <c r="C66" s="2" t="s">
        <v>189</v>
      </c>
      <c r="D66" s="2">
        <v>1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6"/>
  <sheetViews>
    <sheetView topLeftCell="A10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239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3</v>
      </c>
      <c r="C5" s="35" t="s">
        <v>189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2</v>
      </c>
      <c r="C6" s="35" t="s">
        <v>189</v>
      </c>
      <c r="D6" s="35">
        <v>1</v>
      </c>
      <c r="E6" s="36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6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3</v>
      </c>
      <c r="C9" s="35" t="s">
        <v>189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4</v>
      </c>
      <c r="C10" s="35" t="s">
        <v>189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71</v>
      </c>
      <c r="X10" s="128"/>
      <c r="Y10" s="128"/>
      <c r="Z10" s="78">
        <v>0</v>
      </c>
      <c r="AB10" s="78">
        <v>3</v>
      </c>
      <c r="AC10" s="128" t="s">
        <v>57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425</v>
      </c>
      <c r="R11" s="185"/>
      <c r="S11" s="185"/>
      <c r="T11" s="185"/>
      <c r="U11" s="185"/>
      <c r="W11" s="128" t="s">
        <v>191</v>
      </c>
      <c r="X11" s="128"/>
      <c r="Y11" s="128"/>
      <c r="Z11" s="78">
        <v>1</v>
      </c>
      <c r="AB11" s="78">
        <v>2</v>
      </c>
      <c r="AC11" s="128" t="s">
        <v>61</v>
      </c>
      <c r="AD11" s="128"/>
      <c r="AE11" s="128"/>
    </row>
    <row r="12" spans="1:31" x14ac:dyDescent="0.25">
      <c r="A12" s="37" t="s">
        <v>57</v>
      </c>
      <c r="B12" s="35">
        <v>2</v>
      </c>
      <c r="C12" s="35" t="s">
        <v>189</v>
      </c>
      <c r="D12" s="35">
        <v>4</v>
      </c>
      <c r="E12" s="36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192</v>
      </c>
      <c r="X12" s="128"/>
      <c r="Y12" s="128"/>
      <c r="Z12" s="78">
        <v>2</v>
      </c>
      <c r="AB12" s="78">
        <v>4</v>
      </c>
      <c r="AC12" s="128" t="s">
        <v>38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3</v>
      </c>
      <c r="E13" s="36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67</v>
      </c>
      <c r="X13" s="128"/>
      <c r="Y13" s="128"/>
      <c r="Z13" s="78">
        <v>1</v>
      </c>
      <c r="AB13" s="78">
        <v>0</v>
      </c>
      <c r="AC13" s="128" t="s">
        <v>44</v>
      </c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6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6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6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2</v>
      </c>
      <c r="C19" s="35" t="s">
        <v>189</v>
      </c>
      <c r="D19" s="35">
        <v>3</v>
      </c>
      <c r="E19" s="36" t="s">
        <v>61</v>
      </c>
      <c r="H19" s="35">
        <v>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6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6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4</v>
      </c>
      <c r="C24" s="35" t="s">
        <v>189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11</v>
      </c>
      <c r="S25" s="44">
        <v>11</v>
      </c>
      <c r="T25" s="44">
        <v>10</v>
      </c>
      <c r="U25" s="44">
        <v>11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6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38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6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289</v>
      </c>
      <c r="T28" s="191"/>
      <c r="U28" s="191" t="s">
        <v>294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4</v>
      </c>
      <c r="C30" s="35" t="s">
        <v>189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3</v>
      </c>
      <c r="C31" s="35" t="s">
        <v>189</v>
      </c>
      <c r="D31" s="35">
        <v>1</v>
      </c>
      <c r="E31" s="36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2</v>
      </c>
      <c r="E32" s="36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6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4</v>
      </c>
      <c r="E35" s="36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6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6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6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3</v>
      </c>
      <c r="E49" s="36" t="s">
        <v>67</v>
      </c>
      <c r="H49" s="35">
        <v>15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4</v>
      </c>
      <c r="C51" s="35" t="s">
        <v>189</v>
      </c>
      <c r="D51" s="35">
        <v>1</v>
      </c>
      <c r="E51" s="36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189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6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4</v>
      </c>
      <c r="E56" s="36" t="s">
        <v>69</v>
      </c>
      <c r="H56" s="35">
        <v>10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59" spans="1:15" x14ac:dyDescent="0.25">
      <c r="A59" s="91" t="s">
        <v>56</v>
      </c>
      <c r="B59" s="2">
        <v>1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4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3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6"/>
  <sheetViews>
    <sheetView zoomScale="85" zoomScaleNormal="85" workbookViewId="0">
      <selection activeCell="D69" sqref="D69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240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2</v>
      </c>
      <c r="C10" s="35" t="s">
        <v>189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58</v>
      </c>
      <c r="X10" s="128"/>
      <c r="Y10" s="128"/>
      <c r="Z10" s="78">
        <v>0</v>
      </c>
      <c r="AB10" s="78">
        <v>1</v>
      </c>
      <c r="AC10" s="128" t="s">
        <v>53</v>
      </c>
      <c r="AD10" s="128"/>
      <c r="AE10" s="128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395</v>
      </c>
      <c r="R11" s="185"/>
      <c r="S11" s="185"/>
      <c r="T11" s="185"/>
      <c r="U11" s="185"/>
      <c r="W11" s="128" t="s">
        <v>191</v>
      </c>
      <c r="X11" s="128"/>
      <c r="Y11" s="128"/>
      <c r="Z11" s="78">
        <v>1</v>
      </c>
      <c r="AB11" s="78">
        <v>2</v>
      </c>
      <c r="AC11" s="128" t="s">
        <v>61</v>
      </c>
      <c r="AD11" s="128"/>
      <c r="AE11" s="128"/>
    </row>
    <row r="12" spans="1:31" x14ac:dyDescent="0.25">
      <c r="A12" s="37" t="s">
        <v>57</v>
      </c>
      <c r="B12" s="35">
        <v>2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68</v>
      </c>
      <c r="X12" s="128"/>
      <c r="Y12" s="128"/>
      <c r="Z12" s="78">
        <v>0</v>
      </c>
      <c r="AB12" s="78">
        <v>1</v>
      </c>
      <c r="AC12" s="128" t="s">
        <v>41</v>
      </c>
      <c r="AD12" s="128"/>
      <c r="AE12" s="128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54</v>
      </c>
      <c r="X13" s="128"/>
      <c r="Y13" s="128"/>
      <c r="Z13" s="78">
        <v>2</v>
      </c>
      <c r="AB13" s="78">
        <v>1</v>
      </c>
      <c r="AC13" s="128" t="s">
        <v>50</v>
      </c>
      <c r="AD13" s="128"/>
      <c r="AE13" s="128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4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2</v>
      </c>
      <c r="C19" s="35" t="s">
        <v>189</v>
      </c>
      <c r="D19" s="35">
        <v>1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3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10</v>
      </c>
      <c r="S25" s="44">
        <v>9</v>
      </c>
      <c r="T25" s="44">
        <v>11</v>
      </c>
      <c r="U25" s="44">
        <v>13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2</v>
      </c>
      <c r="C26" s="35" t="s">
        <v>189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292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3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2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0</v>
      </c>
      <c r="C44" s="35" t="s">
        <v>189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193" t="s">
        <v>332</v>
      </c>
      <c r="B59" s="193"/>
      <c r="C59" s="193"/>
      <c r="D59" s="193"/>
      <c r="E59" s="193"/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3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70"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9:E59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29:O29"/>
    <mergeCell ref="A36:E36"/>
    <mergeCell ref="A43:E43"/>
    <mergeCell ref="A50:E50"/>
    <mergeCell ref="A29:E29"/>
    <mergeCell ref="Q27:R27"/>
    <mergeCell ref="S27:T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6"/>
  <sheetViews>
    <sheetView topLeftCell="A4" zoomScale="85" zoomScaleNormal="85" workbookViewId="0">
      <selection activeCell="A59" sqref="A59:E66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4" width="5.7109375" style="36" customWidth="1"/>
    <col min="35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241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5" t="s">
        <v>65</v>
      </c>
      <c r="B3" s="35">
        <v>0</v>
      </c>
      <c r="C3" s="35" t="s">
        <v>189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5" t="s">
        <v>46</v>
      </c>
      <c r="B4" s="35">
        <v>1</v>
      </c>
      <c r="C4" s="35" t="s">
        <v>189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5" t="s">
        <v>56</v>
      </c>
      <c r="B5" s="35">
        <v>3</v>
      </c>
      <c r="C5" s="35" t="s">
        <v>189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5" t="s">
        <v>56</v>
      </c>
      <c r="B6" s="35">
        <v>2</v>
      </c>
      <c r="C6" s="35" t="s">
        <v>189</v>
      </c>
      <c r="D6" s="35">
        <v>0</v>
      </c>
      <c r="E6" s="35" t="s">
        <v>46</v>
      </c>
      <c r="H6" s="35">
        <v>25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5" t="s">
        <v>51</v>
      </c>
      <c r="B7" s="35">
        <v>2</v>
      </c>
      <c r="C7" s="35" t="s">
        <v>189</v>
      </c>
      <c r="D7" s="35">
        <v>1</v>
      </c>
      <c r="E7" s="35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5" t="s">
        <v>57</v>
      </c>
      <c r="B9" s="35">
        <v>3</v>
      </c>
      <c r="C9" s="35" t="s">
        <v>189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5" t="s">
        <v>190</v>
      </c>
      <c r="B10" s="35">
        <v>0</v>
      </c>
      <c r="C10" s="35" t="s">
        <v>189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56</v>
      </c>
      <c r="X10" s="128"/>
      <c r="Y10" s="128"/>
      <c r="Z10" s="78">
        <v>2</v>
      </c>
      <c r="AB10" s="78">
        <v>0</v>
      </c>
      <c r="AC10" s="128" t="s">
        <v>46</v>
      </c>
      <c r="AD10" s="128"/>
      <c r="AE10" s="128"/>
    </row>
    <row r="11" spans="1:31" x14ac:dyDescent="0.25">
      <c r="A11" s="35" t="s">
        <v>71</v>
      </c>
      <c r="B11" s="35">
        <v>0</v>
      </c>
      <c r="C11" s="35" t="s">
        <v>189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390</v>
      </c>
      <c r="R11" s="185"/>
      <c r="S11" s="185"/>
      <c r="T11" s="185"/>
      <c r="U11" s="185"/>
      <c r="W11" s="128" t="s">
        <v>192</v>
      </c>
      <c r="X11" s="128"/>
      <c r="Y11" s="128"/>
      <c r="Z11" s="78">
        <v>2</v>
      </c>
      <c r="AB11" s="78">
        <v>4</v>
      </c>
      <c r="AC11" s="128" t="s">
        <v>38</v>
      </c>
      <c r="AD11" s="128"/>
      <c r="AE11" s="128"/>
    </row>
    <row r="12" spans="1:31" x14ac:dyDescent="0.25">
      <c r="A12" s="35" t="s">
        <v>57</v>
      </c>
      <c r="B12" s="35">
        <v>3</v>
      </c>
      <c r="C12" s="35" t="s">
        <v>189</v>
      </c>
      <c r="D12" s="35">
        <v>2</v>
      </c>
      <c r="E12" s="35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69</v>
      </c>
      <c r="X12" s="128"/>
      <c r="Y12" s="128"/>
      <c r="Z12" s="78">
        <v>0</v>
      </c>
      <c r="AB12" s="78">
        <v>0</v>
      </c>
      <c r="AC12" s="128" t="s">
        <v>205</v>
      </c>
      <c r="AD12" s="128"/>
      <c r="AE12" s="128"/>
    </row>
    <row r="13" spans="1:31" x14ac:dyDescent="0.25">
      <c r="A13" s="35" t="s">
        <v>58</v>
      </c>
      <c r="B13" s="35">
        <v>1</v>
      </c>
      <c r="C13" s="35" t="s">
        <v>189</v>
      </c>
      <c r="D13" s="35">
        <v>1</v>
      </c>
      <c r="E13" s="35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5" t="s">
        <v>71</v>
      </c>
      <c r="B14" s="35">
        <v>0</v>
      </c>
      <c r="C14" s="35" t="s">
        <v>189</v>
      </c>
      <c r="D14" s="35">
        <v>2</v>
      </c>
      <c r="E14" s="35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5" t="s">
        <v>40</v>
      </c>
      <c r="B16" s="35">
        <v>3</v>
      </c>
      <c r="C16" s="35" t="s">
        <v>189</v>
      </c>
      <c r="D16" s="35">
        <v>1</v>
      </c>
      <c r="E16" s="35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5" t="s">
        <v>61</v>
      </c>
      <c r="B17" s="35">
        <v>2</v>
      </c>
      <c r="C17" s="35" t="s">
        <v>189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5" t="s">
        <v>63</v>
      </c>
      <c r="B18" s="35">
        <v>0</v>
      </c>
      <c r="C18" s="35" t="s">
        <v>189</v>
      </c>
      <c r="D18" s="35">
        <v>0</v>
      </c>
      <c r="E18" s="35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5" t="s">
        <v>40</v>
      </c>
      <c r="B19" s="35">
        <v>1</v>
      </c>
      <c r="C19" s="35" t="s">
        <v>189</v>
      </c>
      <c r="D19" s="35">
        <v>2</v>
      </c>
      <c r="E19" s="35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5" t="s">
        <v>63</v>
      </c>
      <c r="B20" s="35">
        <v>2</v>
      </c>
      <c r="C20" s="35" t="s">
        <v>189</v>
      </c>
      <c r="D20" s="35">
        <v>3</v>
      </c>
      <c r="E20" s="35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5" t="s">
        <v>191</v>
      </c>
      <c r="B21" s="35">
        <v>2</v>
      </c>
      <c r="C21" s="35" t="s">
        <v>189</v>
      </c>
      <c r="D21" s="35">
        <v>3</v>
      </c>
      <c r="E21" s="35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5" t="s">
        <v>50</v>
      </c>
      <c r="B23" s="35">
        <v>3</v>
      </c>
      <c r="C23" s="35" t="s">
        <v>189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5" t="s">
        <v>54</v>
      </c>
      <c r="B24" s="35">
        <v>4</v>
      </c>
      <c r="C24" s="35" t="s">
        <v>189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5" t="s">
        <v>68</v>
      </c>
      <c r="B25" s="35">
        <v>0</v>
      </c>
      <c r="C25" s="35" t="s">
        <v>189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11</v>
      </c>
      <c r="S25" s="44">
        <v>8</v>
      </c>
      <c r="T25" s="44">
        <v>14</v>
      </c>
      <c r="U25" s="44">
        <v>11</v>
      </c>
      <c r="W25" s="128"/>
      <c r="X25" s="128"/>
      <c r="Y25" s="128"/>
      <c r="AC25" s="128"/>
      <c r="AD25" s="128"/>
      <c r="AE25" s="128"/>
    </row>
    <row r="26" spans="1:31" x14ac:dyDescent="0.25">
      <c r="A26" s="35" t="s">
        <v>54</v>
      </c>
      <c r="B26" s="35">
        <v>4</v>
      </c>
      <c r="C26" s="35" t="s">
        <v>189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5" t="s">
        <v>68</v>
      </c>
      <c r="B27" s="35">
        <v>0</v>
      </c>
      <c r="C27" s="35" t="s">
        <v>189</v>
      </c>
      <c r="D27" s="35">
        <v>1</v>
      </c>
      <c r="E27" s="35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56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5" t="s">
        <v>41</v>
      </c>
      <c r="B28" s="35">
        <v>3</v>
      </c>
      <c r="C28" s="35" t="s">
        <v>189</v>
      </c>
      <c r="D28" s="35">
        <v>2</v>
      </c>
      <c r="E28" s="35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5" t="s">
        <v>38</v>
      </c>
      <c r="B30" s="35">
        <v>3</v>
      </c>
      <c r="C30" s="35" t="s">
        <v>189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5" t="s">
        <v>52</v>
      </c>
      <c r="B31" s="35">
        <v>3</v>
      </c>
      <c r="C31" s="35" t="s">
        <v>189</v>
      </c>
      <c r="D31" s="35">
        <v>0</v>
      </c>
      <c r="E31" s="35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189</v>
      </c>
      <c r="D32" s="35">
        <v>3</v>
      </c>
      <c r="E32" s="35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189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189</v>
      </c>
      <c r="D34" s="35">
        <v>2</v>
      </c>
      <c r="E34" s="35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5" t="s">
        <v>192</v>
      </c>
      <c r="B35" s="35">
        <v>2</v>
      </c>
      <c r="C35" s="35" t="s">
        <v>189</v>
      </c>
      <c r="D35" s="35">
        <v>4</v>
      </c>
      <c r="E35" s="35" t="s">
        <v>38</v>
      </c>
      <c r="H35" s="35">
        <v>25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5" t="s">
        <v>60</v>
      </c>
      <c r="B37" s="35">
        <v>1</v>
      </c>
      <c r="C37" s="35" t="s">
        <v>189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189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189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189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189</v>
      </c>
      <c r="D41" s="35">
        <v>1</v>
      </c>
      <c r="E41" s="35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189</v>
      </c>
      <c r="D42" s="35">
        <v>2</v>
      </c>
      <c r="E42" s="35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5" t="s">
        <v>67</v>
      </c>
      <c r="B44" s="35">
        <v>0</v>
      </c>
      <c r="C44" s="35" t="s">
        <v>189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189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189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189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189</v>
      </c>
      <c r="D48" s="35">
        <v>2</v>
      </c>
      <c r="E48" s="35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189</v>
      </c>
      <c r="D49" s="35">
        <v>1</v>
      </c>
      <c r="E49" s="35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5" t="s">
        <v>69</v>
      </c>
      <c r="B51" s="35">
        <v>0</v>
      </c>
      <c r="C51" s="35" t="s">
        <v>189</v>
      </c>
      <c r="D51" s="35">
        <v>0</v>
      </c>
      <c r="E51" s="35" t="s">
        <v>205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189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205</v>
      </c>
      <c r="B53" s="35">
        <v>2</v>
      </c>
      <c r="C53" s="35" t="s">
        <v>189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189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205</v>
      </c>
      <c r="B55" s="35">
        <v>0</v>
      </c>
      <c r="C55" s="35" t="s">
        <v>189</v>
      </c>
      <c r="D55" s="35">
        <v>0</v>
      </c>
      <c r="E55" s="35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189</v>
      </c>
      <c r="D56" s="35">
        <v>1</v>
      </c>
      <c r="E56" s="35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0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0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6"/>
  <sheetViews>
    <sheetView topLeftCell="A10" zoomScale="85" zoomScaleNormal="85" workbookViewId="0">
      <selection activeCell="K61" sqref="K61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3" width="5.7109375" style="36" customWidth="1"/>
    <col min="34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242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4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3</v>
      </c>
      <c r="C10" s="35" t="s">
        <v>189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/>
      <c r="X10" s="128"/>
      <c r="Y10" s="128"/>
      <c r="AC10" s="128"/>
      <c r="AD10" s="128"/>
      <c r="AE10" s="128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245</v>
      </c>
      <c r="R11" s="185"/>
      <c r="S11" s="185"/>
      <c r="T11" s="185"/>
      <c r="U11" s="185"/>
      <c r="W11" s="128"/>
      <c r="X11" s="128"/>
      <c r="Y11" s="128"/>
      <c r="AC11" s="128"/>
      <c r="AD11" s="128"/>
      <c r="AE11" s="128"/>
    </row>
    <row r="12" spans="1:3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/>
      <c r="X12" s="128"/>
      <c r="Y12" s="128"/>
      <c r="AC12" s="128"/>
      <c r="AD12" s="128"/>
      <c r="AE12" s="128"/>
    </row>
    <row r="13" spans="1:31" x14ac:dyDescent="0.25">
      <c r="A13" s="37" t="s">
        <v>58</v>
      </c>
      <c r="B13" s="35">
        <v>2</v>
      </c>
      <c r="C13" s="35" t="s">
        <v>189</v>
      </c>
      <c r="D13" s="35">
        <v>4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1</v>
      </c>
      <c r="C14" s="35" t="s">
        <v>189</v>
      </c>
      <c r="D14" s="35">
        <v>2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4</v>
      </c>
      <c r="C16" s="35" t="s">
        <v>189</v>
      </c>
      <c r="D16" s="35">
        <v>2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3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1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3</v>
      </c>
      <c r="C20" s="35" t="s">
        <v>189</v>
      </c>
      <c r="D20" s="35">
        <v>4</v>
      </c>
      <c r="E20" s="39" t="s">
        <v>40</v>
      </c>
      <c r="H20" s="35">
        <v>10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/>
      <c r="R25" s="44">
        <v>3</v>
      </c>
      <c r="S25" s="44">
        <v>15</v>
      </c>
      <c r="T25" s="44">
        <v>10</v>
      </c>
      <c r="U25" s="44">
        <v>19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2</v>
      </c>
      <c r="C27" s="35" t="s">
        <v>189</v>
      </c>
      <c r="D27" s="35">
        <v>2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40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3</v>
      </c>
      <c r="C28" s="35" t="s">
        <v>189</v>
      </c>
      <c r="D28" s="35">
        <v>3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292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2</v>
      </c>
      <c r="E32" s="39" t="s">
        <v>192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1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4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2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6"/>
  <sheetViews>
    <sheetView topLeftCell="A13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1" width="5.7109375" style="36" customWidth="1"/>
    <col min="42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243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0</v>
      </c>
      <c r="C5" s="35" t="s">
        <v>189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0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0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0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58</v>
      </c>
      <c r="X10" s="128"/>
      <c r="Y10" s="128"/>
      <c r="Z10" s="78">
        <v>0</v>
      </c>
      <c r="AB10" s="78">
        <v>1</v>
      </c>
      <c r="AC10" s="128" t="s">
        <v>53</v>
      </c>
      <c r="AD10" s="128"/>
      <c r="AE10" s="128"/>
    </row>
    <row r="11" spans="1:31" x14ac:dyDescent="0.25">
      <c r="A11" s="37" t="s">
        <v>71</v>
      </c>
      <c r="B11" s="35">
        <v>0</v>
      </c>
      <c r="C11" s="35" t="s">
        <v>189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325</v>
      </c>
      <c r="R11" s="185"/>
      <c r="S11" s="185"/>
      <c r="T11" s="185"/>
      <c r="U11" s="185"/>
      <c r="W11" s="128" t="s">
        <v>68</v>
      </c>
      <c r="X11" s="128"/>
      <c r="Y11" s="128"/>
      <c r="Z11" s="78">
        <v>0</v>
      </c>
      <c r="AB11" s="78">
        <v>1</v>
      </c>
      <c r="AC11" s="128" t="s">
        <v>41</v>
      </c>
      <c r="AD11" s="128"/>
      <c r="AE11" s="128"/>
    </row>
    <row r="12" spans="1:31" x14ac:dyDescent="0.25">
      <c r="A12" s="37" t="s">
        <v>57</v>
      </c>
      <c r="B12" s="35">
        <v>0</v>
      </c>
      <c r="C12" s="35" t="s">
        <v>189</v>
      </c>
      <c r="D12" s="35">
        <v>1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59</v>
      </c>
      <c r="X12" s="128"/>
      <c r="Y12" s="128"/>
      <c r="Z12" s="78">
        <v>0</v>
      </c>
      <c r="AB12" s="78">
        <v>1</v>
      </c>
      <c r="AC12" s="128" t="s">
        <v>192</v>
      </c>
      <c r="AD12" s="128"/>
      <c r="AE12" s="128"/>
    </row>
    <row r="13" spans="1:31" x14ac:dyDescent="0.25">
      <c r="A13" s="37" t="s">
        <v>58</v>
      </c>
      <c r="B13" s="35">
        <v>0</v>
      </c>
      <c r="C13" s="35" t="s">
        <v>189</v>
      </c>
      <c r="D13" s="35">
        <v>1</v>
      </c>
      <c r="E13" s="39" t="s">
        <v>190</v>
      </c>
      <c r="H13" s="35">
        <v>25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1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0</v>
      </c>
      <c r="C16" s="35" t="s">
        <v>189</v>
      </c>
      <c r="D16" s="35">
        <v>1</v>
      </c>
      <c r="E16" s="39" t="s">
        <v>191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0</v>
      </c>
      <c r="C17" s="35" t="s">
        <v>189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0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1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0</v>
      </c>
      <c r="C23" s="35" t="s">
        <v>189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0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6</v>
      </c>
      <c r="S25" s="44">
        <v>9</v>
      </c>
      <c r="T25" s="44">
        <v>14</v>
      </c>
      <c r="U25" s="44">
        <v>15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0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52</v>
      </c>
      <c r="T27" s="190"/>
      <c r="U27" s="190" t="s">
        <v>41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0</v>
      </c>
      <c r="C28" s="35" t="s">
        <v>189</v>
      </c>
      <c r="D28" s="35">
        <v>1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293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0</v>
      </c>
      <c r="C30" s="35" t="s">
        <v>189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0</v>
      </c>
      <c r="C31" s="35" t="s">
        <v>189</v>
      </c>
      <c r="D31" s="35">
        <v>1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1</v>
      </c>
      <c r="E32" s="39" t="s">
        <v>192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189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1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189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189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189</v>
      </c>
      <c r="D42" s="35">
        <v>1</v>
      </c>
      <c r="E42" s="39" t="s">
        <v>60</v>
      </c>
      <c r="H42" s="35">
        <v>10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0</v>
      </c>
      <c r="C44" s="35" t="s">
        <v>189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189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189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0</v>
      </c>
      <c r="C51" s="35" t="s">
        <v>189</v>
      </c>
      <c r="D51" s="35">
        <v>1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189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189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1</v>
      </c>
      <c r="E55" s="39" t="s">
        <v>64</v>
      </c>
      <c r="H55" s="35">
        <v>5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1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1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0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6"/>
  <sheetViews>
    <sheetView topLeftCell="A10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5" width="5.7109375" style="36" customWidth="1"/>
    <col min="36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244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1</v>
      </c>
      <c r="C5" s="35" t="s">
        <v>189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1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1</v>
      </c>
      <c r="C7" s="35" t="s">
        <v>189</v>
      </c>
      <c r="D7" s="35">
        <v>0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1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68</v>
      </c>
      <c r="X10" s="128"/>
      <c r="Y10" s="128"/>
      <c r="Z10" s="78">
        <v>1</v>
      </c>
      <c r="AB10" s="78">
        <v>0</v>
      </c>
      <c r="AC10" s="128" t="s">
        <v>54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400</v>
      </c>
      <c r="R11" s="185"/>
      <c r="S11" s="185"/>
      <c r="T11" s="185"/>
      <c r="U11" s="185"/>
      <c r="W11" s="128" t="s">
        <v>41</v>
      </c>
      <c r="X11" s="128"/>
      <c r="Y11" s="128"/>
      <c r="Z11" s="78">
        <v>1</v>
      </c>
      <c r="AB11" s="78">
        <v>0</v>
      </c>
      <c r="AC11" s="128" t="s">
        <v>50</v>
      </c>
      <c r="AD11" s="128"/>
      <c r="AE11" s="128"/>
    </row>
    <row r="12" spans="1:31" x14ac:dyDescent="0.25">
      <c r="A12" s="37" t="s">
        <v>57</v>
      </c>
      <c r="B12" s="35">
        <v>1</v>
      </c>
      <c r="C12" s="35" t="s">
        <v>189</v>
      </c>
      <c r="D12" s="35">
        <v>0</v>
      </c>
      <c r="E12" s="39" t="s">
        <v>190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42</v>
      </c>
      <c r="X12" s="128"/>
      <c r="Y12" s="128"/>
      <c r="Z12" s="78">
        <v>1</v>
      </c>
      <c r="AB12" s="78">
        <v>0</v>
      </c>
      <c r="AC12" s="128" t="s">
        <v>45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67</v>
      </c>
      <c r="X13" s="128"/>
      <c r="Y13" s="128"/>
      <c r="Z13" s="78">
        <v>1</v>
      </c>
      <c r="AB13" s="78">
        <v>0</v>
      </c>
      <c r="AC13" s="128" t="s">
        <v>44</v>
      </c>
      <c r="AD13" s="128"/>
      <c r="AE13" s="128"/>
    </row>
    <row r="14" spans="1:31" x14ac:dyDescent="0.25">
      <c r="A14" s="37" t="s">
        <v>71</v>
      </c>
      <c r="B14" s="35">
        <v>1</v>
      </c>
      <c r="C14" s="35" t="s">
        <v>189</v>
      </c>
      <c r="D14" s="35">
        <v>0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43</v>
      </c>
      <c r="X14" s="128"/>
      <c r="Y14" s="128"/>
      <c r="Z14" s="78">
        <v>1</v>
      </c>
      <c r="AB14" s="78">
        <v>0</v>
      </c>
      <c r="AC14" s="128" t="s">
        <v>67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 t="s">
        <v>44</v>
      </c>
      <c r="X15" s="128"/>
      <c r="Y15" s="128"/>
      <c r="Z15" s="78">
        <v>1</v>
      </c>
      <c r="AB15" s="78">
        <v>0</v>
      </c>
      <c r="AC15" s="128" t="s">
        <v>43</v>
      </c>
      <c r="AD15" s="128"/>
      <c r="AE15" s="128"/>
    </row>
    <row r="16" spans="1:31" x14ac:dyDescent="0.25">
      <c r="A16" s="37" t="s">
        <v>40</v>
      </c>
      <c r="B16" s="35">
        <v>1</v>
      </c>
      <c r="C16" s="35" t="s">
        <v>189</v>
      </c>
      <c r="D16" s="35">
        <v>0</v>
      </c>
      <c r="E16" s="39" t="s">
        <v>191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0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0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1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6</v>
      </c>
      <c r="R25" s="44">
        <v>7</v>
      </c>
      <c r="S25" s="44">
        <v>7</v>
      </c>
      <c r="T25" s="44">
        <v>15</v>
      </c>
      <c r="U25" s="44">
        <v>12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1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0</v>
      </c>
      <c r="E27" s="39" t="s">
        <v>54</v>
      </c>
      <c r="H27" s="35">
        <v>25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56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0</v>
      </c>
      <c r="E28" s="39" t="s">
        <v>50</v>
      </c>
      <c r="H28" s="35">
        <v>25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294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1</v>
      </c>
      <c r="C30" s="35" t="s">
        <v>189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1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0</v>
      </c>
      <c r="E34" s="39" t="s">
        <v>52</v>
      </c>
      <c r="H34" s="35">
        <v>10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0</v>
      </c>
      <c r="E35" s="39" t="s">
        <v>38</v>
      </c>
      <c r="H35" s="35">
        <v>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0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189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0</v>
      </c>
      <c r="E48" s="39" t="s">
        <v>43</v>
      </c>
      <c r="H48" s="35">
        <v>25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0</v>
      </c>
      <c r="E55" s="39" t="s">
        <v>64</v>
      </c>
      <c r="H55" s="35">
        <v>10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0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59" spans="1:15" x14ac:dyDescent="0.25">
      <c r="A59" s="91" t="s">
        <v>56</v>
      </c>
      <c r="B59" s="2">
        <v>2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1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6"/>
  <sheetViews>
    <sheetView topLeftCell="A43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7" width="5.7109375" style="36" customWidth="1"/>
    <col min="38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37" t="s">
        <v>46</v>
      </c>
      <c r="B2" s="35">
        <v>1</v>
      </c>
      <c r="C2" s="35" t="s">
        <v>189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245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0</v>
      </c>
      <c r="C4" s="35" t="s">
        <v>189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1</v>
      </c>
      <c r="C6" s="35" t="s">
        <v>189</v>
      </c>
      <c r="D6" s="35">
        <v>1</v>
      </c>
      <c r="E6" s="39" t="s">
        <v>46</v>
      </c>
      <c r="H6" s="35">
        <v>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3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38</v>
      </c>
      <c r="X10" s="128"/>
      <c r="Y10" s="128"/>
      <c r="Z10" s="78">
        <v>1</v>
      </c>
      <c r="AB10" s="78">
        <v>2</v>
      </c>
      <c r="AC10" s="128" t="s">
        <v>59</v>
      </c>
      <c r="AD10" s="128"/>
      <c r="AE10" s="128"/>
    </row>
    <row r="11" spans="1:31" ht="15" customHeight="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335</v>
      </c>
      <c r="R11" s="185"/>
      <c r="S11" s="185"/>
      <c r="T11" s="185"/>
      <c r="U11" s="185"/>
      <c r="W11" s="128" t="s">
        <v>52</v>
      </c>
      <c r="X11" s="128"/>
      <c r="Y11" s="128"/>
      <c r="Z11" s="78">
        <v>1</v>
      </c>
      <c r="AB11" s="78">
        <v>1</v>
      </c>
      <c r="AC11" s="128" t="s">
        <v>38</v>
      </c>
      <c r="AD11" s="128"/>
      <c r="AE11" s="128"/>
    </row>
    <row r="12" spans="1:31" ht="15" customHeight="1" x14ac:dyDescent="0.25">
      <c r="A12" s="37" t="s">
        <v>57</v>
      </c>
      <c r="B12" s="35">
        <v>1</v>
      </c>
      <c r="C12" s="35" t="s">
        <v>189</v>
      </c>
      <c r="D12" s="35">
        <v>1</v>
      </c>
      <c r="E12" s="39" t="s">
        <v>190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59</v>
      </c>
      <c r="X12" s="128"/>
      <c r="Y12" s="128"/>
      <c r="Z12" s="78">
        <v>2</v>
      </c>
      <c r="AB12" s="78">
        <v>1</v>
      </c>
      <c r="AC12" s="128" t="s">
        <v>52</v>
      </c>
      <c r="AD12" s="128"/>
      <c r="AE12" s="128"/>
    </row>
    <row r="13" spans="1:31" ht="15" customHeight="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42</v>
      </c>
      <c r="X13" s="128"/>
      <c r="Y13" s="128"/>
      <c r="Z13" s="78">
        <v>1</v>
      </c>
      <c r="AB13" s="78">
        <v>0</v>
      </c>
      <c r="AC13" s="128" t="s">
        <v>45</v>
      </c>
      <c r="AD13" s="128"/>
      <c r="AE13" s="128"/>
    </row>
    <row r="14" spans="1:31" ht="15" customHeight="1" x14ac:dyDescent="0.25">
      <c r="A14" s="37" t="s">
        <v>71</v>
      </c>
      <c r="B14" s="35">
        <v>2</v>
      </c>
      <c r="C14" s="35" t="s">
        <v>189</v>
      </c>
      <c r="D14" s="35">
        <v>2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ht="15" customHeight="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2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0</v>
      </c>
      <c r="C18" s="35" t="s">
        <v>189</v>
      </c>
      <c r="D18" s="35">
        <v>0</v>
      </c>
      <c r="E18" s="39" t="s">
        <v>191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1</v>
      </c>
      <c r="C19" s="35" t="s">
        <v>189</v>
      </c>
      <c r="D19" s="35">
        <v>2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2</v>
      </c>
      <c r="C20" s="35" t="s">
        <v>189</v>
      </c>
      <c r="D20" s="35">
        <v>1</v>
      </c>
      <c r="E20" s="39" t="s">
        <v>40</v>
      </c>
      <c r="H20" s="35">
        <v>0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2</v>
      </c>
      <c r="C21" s="35" t="s">
        <v>189</v>
      </c>
      <c r="D21" s="35">
        <v>3</v>
      </c>
      <c r="E21" s="39" t="s">
        <v>61</v>
      </c>
      <c r="H21" s="35">
        <v>10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4</v>
      </c>
      <c r="R25" s="44">
        <v>6</v>
      </c>
      <c r="S25" s="44">
        <v>11</v>
      </c>
      <c r="T25" s="44">
        <v>7</v>
      </c>
      <c r="U25" s="44">
        <v>20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3</v>
      </c>
      <c r="C26" s="35" t="s">
        <v>189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190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2</v>
      </c>
      <c r="C28" s="35" t="s">
        <v>189</v>
      </c>
      <c r="D28" s="35">
        <v>0</v>
      </c>
      <c r="E28" s="39" t="s">
        <v>50</v>
      </c>
      <c r="H28" s="35">
        <v>15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296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1</v>
      </c>
      <c r="C30" s="35" t="s">
        <v>189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3</v>
      </c>
      <c r="E31" s="39" t="s">
        <v>192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2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189</v>
      </c>
      <c r="D34" s="35">
        <v>1</v>
      </c>
      <c r="E34" s="39" t="s">
        <v>52</v>
      </c>
      <c r="H34" s="35">
        <v>25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2</v>
      </c>
      <c r="E35" s="39" t="s">
        <v>38</v>
      </c>
      <c r="H35" s="35">
        <v>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2</v>
      </c>
      <c r="C37" s="35" t="s">
        <v>189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189</v>
      </c>
      <c r="D41" s="35">
        <v>1</v>
      </c>
      <c r="E41" s="39" t="s">
        <v>42</v>
      </c>
      <c r="H41" s="35">
        <v>5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189</v>
      </c>
      <c r="D42" s="35">
        <v>1</v>
      </c>
      <c r="E42" s="39" t="s">
        <v>60</v>
      </c>
      <c r="H42" s="35">
        <v>0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189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2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189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1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8" spans="1:15" x14ac:dyDescent="0.25">
      <c r="A58" s="38"/>
    </row>
    <row r="59" spans="1:15" x14ac:dyDescent="0.25">
      <c r="A59" s="91" t="s">
        <v>56</v>
      </c>
      <c r="B59" s="2">
        <v>1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1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2</v>
      </c>
      <c r="C63" s="2" t="s">
        <v>189</v>
      </c>
      <c r="D63" s="2">
        <v>0</v>
      </c>
      <c r="E63" s="90" t="s">
        <v>65</v>
      </c>
    </row>
    <row r="64" spans="1:15" x14ac:dyDescent="0.25">
      <c r="A64" s="91" t="s">
        <v>54</v>
      </c>
      <c r="B64" s="2">
        <v>3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2</v>
      </c>
      <c r="E66" s="90" t="s">
        <v>67</v>
      </c>
    </row>
  </sheetData>
  <mergeCells count="68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6"/>
  <sheetViews>
    <sheetView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9" width="5.7109375" style="36" customWidth="1"/>
    <col min="40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254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0</v>
      </c>
      <c r="C7" s="35" t="s">
        <v>189</v>
      </c>
      <c r="D7" s="35">
        <v>1</v>
      </c>
      <c r="E7" s="39" t="s">
        <v>65</v>
      </c>
      <c r="H7" s="35">
        <v>10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1</v>
      </c>
      <c r="C9" s="35" t="s">
        <v>189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2</v>
      </c>
      <c r="C10" s="35" t="s">
        <v>189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68</v>
      </c>
      <c r="X10" s="128"/>
      <c r="Y10" s="128"/>
      <c r="Z10" s="78">
        <v>0</v>
      </c>
      <c r="AB10" s="78">
        <v>1</v>
      </c>
      <c r="AC10" s="128" t="s">
        <v>41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295</v>
      </c>
      <c r="R11" s="185"/>
      <c r="S11" s="185"/>
      <c r="T11" s="185"/>
      <c r="U11" s="185"/>
      <c r="W11" s="128" t="s">
        <v>52</v>
      </c>
      <c r="X11" s="128"/>
      <c r="Y11" s="128"/>
      <c r="Z11" s="78">
        <v>1</v>
      </c>
      <c r="AB11" s="78">
        <v>1</v>
      </c>
      <c r="AC11" s="128" t="s">
        <v>38</v>
      </c>
      <c r="AD11" s="128"/>
      <c r="AE11" s="128"/>
    </row>
    <row r="12" spans="1:31" x14ac:dyDescent="0.25">
      <c r="A12" s="37" t="s">
        <v>57</v>
      </c>
      <c r="B12" s="35">
        <v>1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/>
      <c r="X12" s="128"/>
      <c r="Y12" s="128"/>
      <c r="AC12" s="128"/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2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0</v>
      </c>
      <c r="C18" s="35" t="s">
        <v>189</v>
      </c>
      <c r="D18" s="35">
        <v>1</v>
      </c>
      <c r="E18" s="39" t="s">
        <v>191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1</v>
      </c>
      <c r="C19" s="35" t="s">
        <v>189</v>
      </c>
      <c r="D19" s="35">
        <v>0</v>
      </c>
      <c r="E19" s="39" t="s">
        <v>61</v>
      </c>
      <c r="H19" s="35">
        <v>15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0</v>
      </c>
      <c r="C20" s="35" t="s">
        <v>189</v>
      </c>
      <c r="D20" s="35">
        <v>1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1</v>
      </c>
      <c r="C24" s="35" t="s">
        <v>189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0</v>
      </c>
      <c r="C25" s="35" t="s">
        <v>189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2</v>
      </c>
      <c r="R25" s="44">
        <v>9</v>
      </c>
      <c r="S25" s="44">
        <v>5</v>
      </c>
      <c r="T25" s="44">
        <v>12</v>
      </c>
      <c r="U25" s="44">
        <v>19</v>
      </c>
      <c r="V25" s="41"/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1</v>
      </c>
      <c r="C26" s="35" t="s">
        <v>189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1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56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Q29" s="41"/>
      <c r="R29" s="41"/>
      <c r="S29" s="41"/>
      <c r="T29" s="41"/>
      <c r="U29" s="41"/>
      <c r="V29" s="41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1</v>
      </c>
      <c r="E34" s="39" t="s">
        <v>52</v>
      </c>
      <c r="H34" s="35">
        <v>5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2</v>
      </c>
      <c r="C35" s="35" t="s">
        <v>189</v>
      </c>
      <c r="D35" s="35">
        <v>3</v>
      </c>
      <c r="E35" s="39" t="s">
        <v>38</v>
      </c>
      <c r="H35" s="35">
        <v>15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189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1</v>
      </c>
      <c r="E41" s="39" t="s">
        <v>42</v>
      </c>
      <c r="H41" s="35">
        <v>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1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0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1</v>
      </c>
      <c r="E56" s="39" t="s">
        <v>69</v>
      </c>
      <c r="H56" s="35">
        <v>0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3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3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3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2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4</v>
      </c>
      <c r="E65" s="90" t="s">
        <v>52</v>
      </c>
    </row>
    <row r="66" spans="1:5" x14ac:dyDescent="0.25">
      <c r="A66" s="91" t="s">
        <v>64</v>
      </c>
      <c r="B66" s="2">
        <v>3</v>
      </c>
      <c r="C66" s="2" t="s">
        <v>189</v>
      </c>
      <c r="D66" s="2">
        <v>2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6"/>
  <sheetViews>
    <sheetView topLeftCell="A13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78" customWidth="1"/>
    <col min="31" max="31" width="9.140625" style="78"/>
    <col min="32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247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0</v>
      </c>
      <c r="C4" s="35" t="s">
        <v>189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3</v>
      </c>
      <c r="C5" s="35" t="s">
        <v>189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5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2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4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53</v>
      </c>
      <c r="X10" s="128"/>
      <c r="Y10" s="128"/>
      <c r="Z10" s="78">
        <v>1</v>
      </c>
      <c r="AB10" s="78">
        <v>1</v>
      </c>
      <c r="AC10" s="128" t="s">
        <v>71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380</v>
      </c>
      <c r="R11" s="185"/>
      <c r="S11" s="185"/>
      <c r="T11" s="185"/>
      <c r="U11" s="185"/>
      <c r="W11" s="128" t="s">
        <v>71</v>
      </c>
      <c r="X11" s="128"/>
      <c r="Y11" s="128"/>
      <c r="Z11" s="78">
        <v>0</v>
      </c>
      <c r="AB11" s="78">
        <v>3</v>
      </c>
      <c r="AC11" s="128" t="s">
        <v>57</v>
      </c>
      <c r="AD11" s="128"/>
      <c r="AE11" s="128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63</v>
      </c>
      <c r="X12" s="128"/>
      <c r="Y12" s="128"/>
      <c r="Z12" s="78">
        <v>2</v>
      </c>
      <c r="AB12" s="78">
        <v>0</v>
      </c>
      <c r="AC12" s="128" t="s">
        <v>191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3</v>
      </c>
      <c r="E14" s="39" t="s">
        <v>57</v>
      </c>
      <c r="H14" s="35">
        <v>25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5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0</v>
      </c>
      <c r="C20" s="35" t="s">
        <v>189</v>
      </c>
      <c r="D20" s="35">
        <v>3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3</v>
      </c>
      <c r="C23" s="35" t="s">
        <v>189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9</v>
      </c>
      <c r="S25" s="44">
        <v>14</v>
      </c>
      <c r="T25" s="44">
        <v>6</v>
      </c>
      <c r="U25" s="44">
        <v>15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0</v>
      </c>
      <c r="C27" s="35" t="s">
        <v>189</v>
      </c>
      <c r="D27" s="35">
        <v>4</v>
      </c>
      <c r="E27" s="39" t="s">
        <v>54</v>
      </c>
      <c r="H27" s="35">
        <v>0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54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2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288</v>
      </c>
      <c r="T28" s="191"/>
      <c r="U28" s="191" t="s">
        <v>289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2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4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5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4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2</v>
      </c>
      <c r="C53" s="35" t="s">
        <v>189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4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2</v>
      </c>
      <c r="C59" s="2" t="s">
        <v>189</v>
      </c>
      <c r="D59" s="2">
        <v>1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0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0</v>
      </c>
      <c r="E62" s="90" t="s">
        <v>329</v>
      </c>
    </row>
    <row r="63" spans="1:15" x14ac:dyDescent="0.25">
      <c r="A63" s="91" t="s">
        <v>57</v>
      </c>
      <c r="B63" s="2">
        <v>2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0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6"/>
  <sheetViews>
    <sheetView topLeftCell="A10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36" width="5.7109375" style="36" customWidth="1"/>
    <col min="37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248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0</v>
      </c>
      <c r="C4" s="35" t="s">
        <v>189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1</v>
      </c>
      <c r="C5" s="35" t="s">
        <v>189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0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0</v>
      </c>
      <c r="C10" s="35" t="s">
        <v>189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65</v>
      </c>
      <c r="X10" s="128"/>
      <c r="Y10" s="128"/>
      <c r="Z10" s="78">
        <v>0</v>
      </c>
      <c r="AB10" s="78">
        <v>2</v>
      </c>
      <c r="AC10" s="128" t="s">
        <v>56</v>
      </c>
      <c r="AD10" s="128"/>
      <c r="AE10" s="128"/>
    </row>
    <row r="11" spans="1:31" x14ac:dyDescent="0.25">
      <c r="A11" s="37" t="s">
        <v>71</v>
      </c>
      <c r="B11" s="35">
        <v>0</v>
      </c>
      <c r="C11" s="35" t="s">
        <v>189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395</v>
      </c>
      <c r="R11" s="185"/>
      <c r="S11" s="185"/>
      <c r="T11" s="185"/>
      <c r="U11" s="185"/>
      <c r="W11" s="128" t="s">
        <v>56</v>
      </c>
      <c r="X11" s="128"/>
      <c r="Y11" s="128"/>
      <c r="Z11" s="78">
        <v>1</v>
      </c>
      <c r="AB11" s="78">
        <v>1</v>
      </c>
      <c r="AC11" s="128" t="s">
        <v>51</v>
      </c>
      <c r="AD11" s="128"/>
      <c r="AE11" s="128"/>
    </row>
    <row r="12" spans="1:31" x14ac:dyDescent="0.25">
      <c r="A12" s="37" t="s">
        <v>57</v>
      </c>
      <c r="B12" s="35">
        <v>2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63</v>
      </c>
      <c r="X12" s="128"/>
      <c r="Y12" s="128"/>
      <c r="Z12" s="78">
        <v>0</v>
      </c>
      <c r="AB12" s="78">
        <v>2</v>
      </c>
      <c r="AC12" s="128" t="s">
        <v>40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1</v>
      </c>
      <c r="E13" s="39" t="s">
        <v>190</v>
      </c>
      <c r="H13" s="35">
        <v>5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 t="s">
        <v>52</v>
      </c>
      <c r="X13" s="128"/>
      <c r="Y13" s="128"/>
      <c r="Z13" s="78">
        <v>1</v>
      </c>
      <c r="AB13" s="78">
        <v>1</v>
      </c>
      <c r="AC13" s="128" t="s">
        <v>38</v>
      </c>
      <c r="AD13" s="128"/>
      <c r="AE13" s="128"/>
    </row>
    <row r="14" spans="1:31" x14ac:dyDescent="0.25">
      <c r="A14" s="37" t="s">
        <v>71</v>
      </c>
      <c r="B14" s="35">
        <v>0</v>
      </c>
      <c r="C14" s="35" t="s">
        <v>189</v>
      </c>
      <c r="D14" s="35">
        <v>2</v>
      </c>
      <c r="E14" s="39" t="s">
        <v>57</v>
      </c>
      <c r="H14" s="35">
        <v>15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 t="s">
        <v>55</v>
      </c>
      <c r="X14" s="128"/>
      <c r="Y14" s="128"/>
      <c r="Z14" s="78">
        <v>0</v>
      </c>
      <c r="AB14" s="78">
        <v>2</v>
      </c>
      <c r="AC14" s="128" t="s">
        <v>69</v>
      </c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3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2</v>
      </c>
      <c r="C17" s="35" t="s">
        <v>189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1</v>
      </c>
      <c r="C18" s="35" t="s">
        <v>189</v>
      </c>
      <c r="D18" s="35">
        <v>0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1</v>
      </c>
      <c r="C19" s="35" t="s">
        <v>189</v>
      </c>
      <c r="D19" s="35">
        <v>1</v>
      </c>
      <c r="E19" s="39" t="s">
        <v>61</v>
      </c>
      <c r="H19" s="35">
        <v>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0</v>
      </c>
      <c r="C20" s="35" t="s">
        <v>189</v>
      </c>
      <c r="D20" s="35">
        <v>2</v>
      </c>
      <c r="E20" s="39" t="s">
        <v>40</v>
      </c>
      <c r="H20" s="35">
        <v>25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0</v>
      </c>
      <c r="C21" s="35" t="s">
        <v>189</v>
      </c>
      <c r="D21" s="35">
        <v>2</v>
      </c>
      <c r="E21" s="39" t="s">
        <v>61</v>
      </c>
      <c r="H21" s="35">
        <v>15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0</v>
      </c>
      <c r="C25" s="35" t="s">
        <v>189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5</v>
      </c>
      <c r="R25" s="44">
        <v>8</v>
      </c>
      <c r="S25" s="44">
        <v>8</v>
      </c>
      <c r="T25" s="44">
        <v>14</v>
      </c>
      <c r="U25" s="44">
        <v>12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2</v>
      </c>
      <c r="C26" s="35" t="s">
        <v>189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2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64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0</v>
      </c>
      <c r="C28" s="35" t="s">
        <v>189</v>
      </c>
      <c r="D28" s="35">
        <v>2</v>
      </c>
      <c r="E28" s="39" t="s">
        <v>50</v>
      </c>
      <c r="H28" s="35">
        <v>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292</v>
      </c>
      <c r="T28" s="191"/>
      <c r="U28" s="191" t="s">
        <v>289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1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189</v>
      </c>
      <c r="D32" s="35">
        <v>0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189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3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189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0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1</v>
      </c>
      <c r="C44" s="35" t="s">
        <v>189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189</v>
      </c>
      <c r="D49" s="35">
        <v>1</v>
      </c>
      <c r="E49" s="39" t="s">
        <v>67</v>
      </c>
      <c r="H49" s="35">
        <v>5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1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2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2</v>
      </c>
      <c r="C61" s="2" t="s">
        <v>189</v>
      </c>
      <c r="D61" s="2">
        <v>1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1</v>
      </c>
      <c r="C64" s="2" t="s">
        <v>189</v>
      </c>
      <c r="D64" s="2">
        <v>1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1</v>
      </c>
      <c r="E65" s="90" t="s">
        <v>52</v>
      </c>
    </row>
    <row r="66" spans="1:5" x14ac:dyDescent="0.25">
      <c r="A66" s="91" t="s">
        <v>64</v>
      </c>
      <c r="B66" s="2">
        <v>2</v>
      </c>
      <c r="C66" s="2" t="s">
        <v>189</v>
      </c>
      <c r="D66" s="2">
        <v>1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6"/>
  <sheetViews>
    <sheetView topLeftCell="A13" zoomScale="85" zoomScaleNormal="85" workbookViewId="0">
      <selection activeCell="A59" sqref="A59:E66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6" width="5.7109375" style="36" customWidth="1"/>
    <col min="47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249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0</v>
      </c>
      <c r="C3" s="35" t="s">
        <v>189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3</v>
      </c>
      <c r="C6" s="35" t="s">
        <v>189</v>
      </c>
      <c r="D6" s="35">
        <v>0</v>
      </c>
      <c r="E6" s="39" t="s">
        <v>46</v>
      </c>
      <c r="H6" s="35">
        <v>15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1</v>
      </c>
      <c r="C7" s="35" t="s">
        <v>189</v>
      </c>
      <c r="D7" s="35">
        <v>1</v>
      </c>
      <c r="E7" s="39" t="s">
        <v>65</v>
      </c>
      <c r="H7" s="35">
        <v>5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37" t="s">
        <v>57</v>
      </c>
      <c r="B9" s="35">
        <v>2</v>
      </c>
      <c r="C9" s="35" t="s">
        <v>189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65</v>
      </c>
      <c r="X10" s="128"/>
      <c r="Y10" s="128"/>
      <c r="Z10" s="78">
        <v>0</v>
      </c>
      <c r="AB10" s="78">
        <v>2</v>
      </c>
      <c r="AC10" s="128" t="s">
        <v>56</v>
      </c>
      <c r="AD10" s="128"/>
      <c r="AE10" s="128"/>
    </row>
    <row r="11" spans="1:31" x14ac:dyDescent="0.25">
      <c r="A11" s="37" t="s">
        <v>71</v>
      </c>
      <c r="B11" s="35">
        <v>2</v>
      </c>
      <c r="C11" s="35" t="s">
        <v>189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380</v>
      </c>
      <c r="R11" s="185"/>
      <c r="S11" s="185"/>
      <c r="T11" s="185"/>
      <c r="U11" s="185"/>
      <c r="W11" s="128" t="s">
        <v>63</v>
      </c>
      <c r="X11" s="128"/>
      <c r="Y11" s="128"/>
      <c r="Z11" s="78">
        <v>2</v>
      </c>
      <c r="AB11" s="78">
        <v>0</v>
      </c>
      <c r="AC11" s="128" t="s">
        <v>191</v>
      </c>
      <c r="AD11" s="128"/>
      <c r="AE11" s="128"/>
    </row>
    <row r="12" spans="1:31" x14ac:dyDescent="0.25">
      <c r="A12" s="37" t="s">
        <v>57</v>
      </c>
      <c r="B12" s="35">
        <v>3</v>
      </c>
      <c r="C12" s="35" t="s">
        <v>189</v>
      </c>
      <c r="D12" s="35">
        <v>2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55</v>
      </c>
      <c r="X12" s="128"/>
      <c r="Y12" s="128"/>
      <c r="Z12" s="78">
        <v>0</v>
      </c>
      <c r="AB12" s="78">
        <v>2</v>
      </c>
      <c r="AC12" s="128" t="s">
        <v>69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2</v>
      </c>
      <c r="E13" s="39" t="s">
        <v>190</v>
      </c>
      <c r="H13" s="35">
        <v>10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1</v>
      </c>
      <c r="C14" s="35" t="s">
        <v>189</v>
      </c>
      <c r="D14" s="35">
        <v>1</v>
      </c>
      <c r="E14" s="39" t="s">
        <v>57</v>
      </c>
      <c r="H14" s="35">
        <v>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2</v>
      </c>
      <c r="C16" s="35" t="s">
        <v>189</v>
      </c>
      <c r="D16" s="35">
        <v>0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1</v>
      </c>
      <c r="C17" s="35" t="s">
        <v>189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0</v>
      </c>
      <c r="E18" s="39" t="s">
        <v>191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1</v>
      </c>
      <c r="E21" s="39" t="s">
        <v>61</v>
      </c>
      <c r="H21" s="35">
        <v>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2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3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1</v>
      </c>
      <c r="C25" s="35" t="s">
        <v>189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10</v>
      </c>
      <c r="S25" s="44">
        <v>11</v>
      </c>
      <c r="T25" s="44">
        <v>9</v>
      </c>
      <c r="U25" s="44">
        <v>14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2</v>
      </c>
      <c r="C26" s="35" t="s">
        <v>189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54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1</v>
      </c>
      <c r="C28" s="35" t="s">
        <v>189</v>
      </c>
      <c r="D28" s="35">
        <v>1</v>
      </c>
      <c r="E28" s="39" t="s">
        <v>50</v>
      </c>
      <c r="H28" s="35">
        <v>5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289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3</v>
      </c>
      <c r="C30" s="35" t="s">
        <v>189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2</v>
      </c>
      <c r="C31" s="35" t="s">
        <v>189</v>
      </c>
      <c r="D31" s="35">
        <v>0</v>
      </c>
      <c r="E31" s="39" t="s">
        <v>192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189</v>
      </c>
      <c r="D32" s="35">
        <v>0</v>
      </c>
      <c r="E32" s="39" t="s">
        <v>192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189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0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0</v>
      </c>
      <c r="C37" s="35" t="s">
        <v>189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189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189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189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189</v>
      </c>
      <c r="D41" s="35">
        <v>1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1</v>
      </c>
      <c r="E42" s="39" t="s">
        <v>60</v>
      </c>
      <c r="H42" s="35">
        <v>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189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189</v>
      </c>
      <c r="D48" s="35">
        <v>3</v>
      </c>
      <c r="E48" s="39" t="s">
        <v>43</v>
      </c>
      <c r="H48" s="35">
        <v>0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189</v>
      </c>
      <c r="D49" s="35">
        <v>1</v>
      </c>
      <c r="E49" s="39" t="s">
        <v>67</v>
      </c>
      <c r="H49" s="35">
        <v>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0</v>
      </c>
      <c r="E51" s="39" t="s">
        <v>205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189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0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189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0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189</v>
      </c>
      <c r="D56" s="35">
        <v>2</v>
      </c>
      <c r="E56" s="39" t="s">
        <v>69</v>
      </c>
      <c r="H56" s="35">
        <v>25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2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0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0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0</v>
      </c>
      <c r="E65" s="90" t="s">
        <v>52</v>
      </c>
    </row>
    <row r="66" spans="1:5" x14ac:dyDescent="0.25">
      <c r="A66" s="91" t="s">
        <v>64</v>
      </c>
      <c r="B66" s="2">
        <v>1</v>
      </c>
      <c r="C66" s="2" t="s">
        <v>189</v>
      </c>
      <c r="D66" s="2">
        <v>0</v>
      </c>
      <c r="E66" s="90" t="s">
        <v>67</v>
      </c>
    </row>
  </sheetData>
  <mergeCells count="69">
    <mergeCell ref="Q27:R27"/>
    <mergeCell ref="S27:T27"/>
    <mergeCell ref="U27:V27"/>
    <mergeCell ref="Q28:R28"/>
    <mergeCell ref="S28:T28"/>
    <mergeCell ref="U28:V2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6"/>
  <sheetViews>
    <sheetView topLeftCell="A34" zoomScale="85" zoomScaleNormal="85" workbookViewId="0">
      <selection activeCell="K61" sqref="K61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78" customWidth="1"/>
    <col min="32" max="43" width="5.7109375" style="36" customWidth="1"/>
    <col min="44" max="16384" width="9.140625" style="36"/>
  </cols>
  <sheetData>
    <row r="1" spans="1:31" x14ac:dyDescent="0.25">
      <c r="A1" s="186" t="s">
        <v>195</v>
      </c>
      <c r="B1" s="186"/>
      <c r="C1" s="186"/>
      <c r="D1" s="186"/>
      <c r="E1" s="186"/>
      <c r="K1" s="188" t="s">
        <v>195</v>
      </c>
      <c r="L1" s="188"/>
      <c r="M1" s="188"/>
      <c r="N1" s="188"/>
      <c r="O1" s="188"/>
    </row>
    <row r="2" spans="1:31" x14ac:dyDescent="0.25">
      <c r="A2" s="193" t="s">
        <v>173</v>
      </c>
      <c r="B2" s="193"/>
      <c r="C2" s="193"/>
      <c r="D2" s="193"/>
      <c r="E2" s="193"/>
      <c r="J2" s="36" t="s">
        <v>228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7" t="s">
        <v>250</v>
      </c>
      <c r="X2" s="187"/>
      <c r="Y2" s="187"/>
      <c r="Z2" s="187"/>
      <c r="AA2" s="187"/>
      <c r="AB2" s="187"/>
      <c r="AC2" s="187"/>
      <c r="AD2" s="187"/>
      <c r="AE2" s="187"/>
    </row>
    <row r="3" spans="1:31" x14ac:dyDescent="0.25">
      <c r="A3" s="37" t="s">
        <v>65</v>
      </c>
      <c r="B3" s="35">
        <v>1</v>
      </c>
      <c r="C3" s="35" t="s">
        <v>189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7"/>
      <c r="X3" s="187"/>
      <c r="Y3" s="187"/>
      <c r="Z3" s="187"/>
      <c r="AA3" s="187"/>
      <c r="AB3" s="187"/>
      <c r="AC3" s="187"/>
      <c r="AD3" s="187"/>
      <c r="AE3" s="187"/>
    </row>
    <row r="4" spans="1:31" x14ac:dyDescent="0.25">
      <c r="A4" s="37" t="s">
        <v>46</v>
      </c>
      <c r="B4" s="35">
        <v>1</v>
      </c>
      <c r="C4" s="35" t="s">
        <v>189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7"/>
      <c r="X4" s="187"/>
      <c r="Y4" s="187"/>
      <c r="Z4" s="187"/>
      <c r="AA4" s="187"/>
      <c r="AB4" s="187"/>
      <c r="AC4" s="187"/>
      <c r="AD4" s="187"/>
      <c r="AE4" s="187"/>
    </row>
    <row r="5" spans="1:31" x14ac:dyDescent="0.25">
      <c r="A5" s="37" t="s">
        <v>56</v>
      </c>
      <c r="B5" s="35">
        <v>2</v>
      </c>
      <c r="C5" s="35" t="s">
        <v>189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7"/>
      <c r="X5" s="187"/>
      <c r="Y5" s="187"/>
      <c r="Z5" s="187"/>
      <c r="AA5" s="187"/>
      <c r="AB5" s="187"/>
      <c r="AC5" s="187"/>
      <c r="AD5" s="187"/>
      <c r="AE5" s="187"/>
    </row>
    <row r="6" spans="1:31" x14ac:dyDescent="0.25">
      <c r="A6" s="37" t="s">
        <v>56</v>
      </c>
      <c r="B6" s="35">
        <v>3</v>
      </c>
      <c r="C6" s="35" t="s">
        <v>189</v>
      </c>
      <c r="D6" s="35">
        <v>1</v>
      </c>
      <c r="E6" s="39" t="s">
        <v>46</v>
      </c>
      <c r="H6" s="35">
        <v>10</v>
      </c>
      <c r="J6" s="36" t="str">
        <f>IF(Tabela!F7="","",Tabela!F7)</f>
        <v/>
      </c>
      <c r="K6" s="37" t="str">
        <f>Tabela!A7</f>
        <v>Holanda</v>
      </c>
      <c r="L6" s="35">
        <f>Tabela!B7</f>
        <v>2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7"/>
      <c r="X6" s="187"/>
      <c r="Y6" s="187"/>
      <c r="Z6" s="187"/>
      <c r="AA6" s="187"/>
      <c r="AB6" s="187"/>
      <c r="AC6" s="187"/>
      <c r="AD6" s="187"/>
      <c r="AE6" s="187"/>
    </row>
    <row r="7" spans="1:31" x14ac:dyDescent="0.25">
      <c r="A7" s="37" t="s">
        <v>51</v>
      </c>
      <c r="B7" s="35">
        <v>2</v>
      </c>
      <c r="C7" s="35" t="s">
        <v>189</v>
      </c>
      <c r="D7" s="35">
        <v>1</v>
      </c>
      <c r="E7" s="39" t="s">
        <v>65</v>
      </c>
      <c r="H7" s="35">
        <v>0</v>
      </c>
      <c r="J7" s="36" t="str">
        <f>IF(Tabela!F8="","",Tabela!F8)</f>
        <v/>
      </c>
      <c r="K7" s="37" t="str">
        <f>Tabela!A8</f>
        <v>Equador</v>
      </c>
      <c r="L7" s="35">
        <f>Tabela!B8</f>
        <v>1</v>
      </c>
      <c r="M7" s="35" t="str">
        <f>Tabela!C8</f>
        <v>x</v>
      </c>
      <c r="N7" s="35">
        <f>Tabela!D8</f>
        <v>2</v>
      </c>
      <c r="O7" s="39" t="str">
        <f>Tabela!E8</f>
        <v>Senegal</v>
      </c>
    </row>
    <row r="8" spans="1:31" x14ac:dyDescent="0.25">
      <c r="A8" s="186" t="s">
        <v>202</v>
      </c>
      <c r="B8" s="186"/>
      <c r="C8" s="186"/>
      <c r="D8" s="186"/>
      <c r="E8" s="186"/>
      <c r="J8" s="36" t="str">
        <f>IF(Tabela!F9="","",Tabela!F9)</f>
        <v/>
      </c>
      <c r="K8" s="188" t="s">
        <v>202</v>
      </c>
      <c r="L8" s="188"/>
      <c r="M8" s="188"/>
      <c r="N8" s="188"/>
      <c r="O8" s="188"/>
    </row>
    <row r="9" spans="1:31" x14ac:dyDescent="0.25">
      <c r="A9" s="193" t="s">
        <v>173</v>
      </c>
      <c r="B9" s="193"/>
      <c r="C9" s="193"/>
      <c r="D9" s="193"/>
      <c r="E9" s="193"/>
      <c r="J9" s="36" t="s">
        <v>228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4" t="s">
        <v>203</v>
      </c>
      <c r="R9" s="184"/>
      <c r="S9" s="184"/>
      <c r="T9" s="184"/>
      <c r="U9" s="184"/>
      <c r="W9" s="128" t="s">
        <v>285</v>
      </c>
      <c r="X9" s="128"/>
      <c r="Y9" s="128"/>
      <c r="Z9" s="128"/>
      <c r="AA9" s="128"/>
      <c r="AB9" s="128"/>
      <c r="AC9" s="128"/>
      <c r="AD9" s="128"/>
      <c r="AE9" s="128"/>
    </row>
    <row r="10" spans="1:31" x14ac:dyDescent="0.25">
      <c r="A10" s="37" t="s">
        <v>190</v>
      </c>
      <c r="B10" s="35">
        <v>1</v>
      </c>
      <c r="C10" s="35" t="s">
        <v>189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4"/>
      <c r="R10" s="184"/>
      <c r="S10" s="184"/>
      <c r="T10" s="184"/>
      <c r="U10" s="184"/>
      <c r="W10" s="128" t="s">
        <v>53</v>
      </c>
      <c r="X10" s="128"/>
      <c r="Y10" s="128"/>
      <c r="Z10" s="78">
        <v>1</v>
      </c>
      <c r="AB10" s="78">
        <v>1</v>
      </c>
      <c r="AC10" s="128" t="s">
        <v>71</v>
      </c>
      <c r="AD10" s="128"/>
      <c r="AE10" s="128"/>
    </row>
    <row r="11" spans="1:31" x14ac:dyDescent="0.25">
      <c r="A11" s="37" t="s">
        <v>71</v>
      </c>
      <c r="B11" s="35">
        <v>1</v>
      </c>
      <c r="C11" s="35" t="s">
        <v>189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5">
        <f>SUM(H2:H56)</f>
        <v>390</v>
      </c>
      <c r="R11" s="185"/>
      <c r="S11" s="185"/>
      <c r="T11" s="185"/>
      <c r="U11" s="185"/>
      <c r="W11" s="128" t="s">
        <v>191</v>
      </c>
      <c r="X11" s="128"/>
      <c r="Y11" s="128"/>
      <c r="Z11" s="78">
        <v>1</v>
      </c>
      <c r="AB11" s="78">
        <v>2</v>
      </c>
      <c r="AC11" s="128" t="s">
        <v>61</v>
      </c>
      <c r="AD11" s="128"/>
      <c r="AE11" s="128"/>
    </row>
    <row r="12" spans="1:31" x14ac:dyDescent="0.25">
      <c r="A12" s="37" t="s">
        <v>57</v>
      </c>
      <c r="B12" s="35">
        <v>3</v>
      </c>
      <c r="C12" s="35" t="s">
        <v>189</v>
      </c>
      <c r="D12" s="35">
        <v>1</v>
      </c>
      <c r="E12" s="39" t="s">
        <v>190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5"/>
      <c r="R12" s="185"/>
      <c r="S12" s="185"/>
      <c r="T12" s="185"/>
      <c r="U12" s="185"/>
      <c r="W12" s="128" t="s">
        <v>45</v>
      </c>
      <c r="X12" s="128"/>
      <c r="Y12" s="128"/>
      <c r="Z12" s="78">
        <v>1</v>
      </c>
      <c r="AB12" s="78">
        <v>2</v>
      </c>
      <c r="AC12" s="128" t="s">
        <v>60</v>
      </c>
      <c r="AD12" s="128"/>
      <c r="AE12" s="128"/>
    </row>
    <row r="13" spans="1:31" x14ac:dyDescent="0.25">
      <c r="A13" s="37" t="s">
        <v>58</v>
      </c>
      <c r="B13" s="35">
        <v>1</v>
      </c>
      <c r="C13" s="35" t="s">
        <v>189</v>
      </c>
      <c r="D13" s="35">
        <v>0</v>
      </c>
      <c r="E13" s="39" t="s">
        <v>190</v>
      </c>
      <c r="H13" s="35">
        <v>0</v>
      </c>
      <c r="J13" s="36" t="str">
        <f>IF(Tabela!F14="","",Tabela!F14)</f>
        <v/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1</v>
      </c>
      <c r="O13" s="39" t="str">
        <f>Tabela!E14</f>
        <v>Estados Unidos</v>
      </c>
      <c r="Q13" s="185"/>
      <c r="R13" s="185"/>
      <c r="S13" s="185"/>
      <c r="T13" s="185"/>
      <c r="U13" s="185"/>
      <c r="W13" s="128"/>
      <c r="X13" s="128"/>
      <c r="Y13" s="128"/>
      <c r="AC13" s="128"/>
      <c r="AD13" s="128"/>
      <c r="AE13" s="128"/>
    </row>
    <row r="14" spans="1:31" x14ac:dyDescent="0.25">
      <c r="A14" s="37" t="s">
        <v>71</v>
      </c>
      <c r="B14" s="35">
        <v>1</v>
      </c>
      <c r="C14" s="35" t="s">
        <v>189</v>
      </c>
      <c r="D14" s="35">
        <v>4</v>
      </c>
      <c r="E14" s="39" t="s">
        <v>57</v>
      </c>
      <c r="H14" s="35">
        <v>10</v>
      </c>
      <c r="J14" s="36" t="str">
        <f>IF(Tabela!F15="","",Tabela!F15)</f>
        <v/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3</v>
      </c>
      <c r="O14" s="39" t="str">
        <f>Tabela!E15</f>
        <v>Inglaterra</v>
      </c>
      <c r="Q14" s="185"/>
      <c r="R14" s="185"/>
      <c r="S14" s="185"/>
      <c r="T14" s="185"/>
      <c r="U14" s="185"/>
      <c r="W14" s="128"/>
      <c r="X14" s="128"/>
      <c r="Y14" s="128"/>
      <c r="AC14" s="128"/>
      <c r="AD14" s="128"/>
      <c r="AE14" s="128"/>
    </row>
    <row r="15" spans="1:31" x14ac:dyDescent="0.25">
      <c r="A15" s="186" t="s">
        <v>201</v>
      </c>
      <c r="B15" s="186"/>
      <c r="C15" s="186"/>
      <c r="D15" s="186"/>
      <c r="E15" s="186"/>
      <c r="J15" s="36" t="str">
        <f>IF(Tabela!F16="","",Tabela!F16)</f>
        <v/>
      </c>
      <c r="K15" s="188" t="s">
        <v>201</v>
      </c>
      <c r="L15" s="188"/>
      <c r="M15" s="188"/>
      <c r="N15" s="188"/>
      <c r="O15" s="188"/>
      <c r="Q15" s="185"/>
      <c r="R15" s="185"/>
      <c r="S15" s="185"/>
      <c r="T15" s="185"/>
      <c r="U15" s="185"/>
      <c r="W15" s="128"/>
      <c r="X15" s="128"/>
      <c r="Y15" s="128"/>
      <c r="AC15" s="128"/>
      <c r="AD15" s="128"/>
      <c r="AE15" s="128"/>
    </row>
    <row r="16" spans="1:31" x14ac:dyDescent="0.25">
      <c r="A16" s="37" t="s">
        <v>40</v>
      </c>
      <c r="B16" s="35">
        <v>3</v>
      </c>
      <c r="C16" s="35" t="s">
        <v>189</v>
      </c>
      <c r="D16" s="35">
        <v>1</v>
      </c>
      <c r="E16" s="39" t="s">
        <v>191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8"/>
      <c r="X16" s="128"/>
      <c r="Y16" s="128"/>
      <c r="AC16" s="128"/>
      <c r="AD16" s="128"/>
      <c r="AE16" s="128"/>
    </row>
    <row r="17" spans="1:31" x14ac:dyDescent="0.25">
      <c r="A17" s="37" t="s">
        <v>61</v>
      </c>
      <c r="B17" s="35">
        <v>2</v>
      </c>
      <c r="C17" s="35" t="s">
        <v>189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8"/>
      <c r="X17" s="128"/>
      <c r="Y17" s="128"/>
      <c r="AC17" s="128"/>
      <c r="AD17" s="128"/>
      <c r="AE17" s="128"/>
    </row>
    <row r="18" spans="1:31" x14ac:dyDescent="0.25">
      <c r="A18" s="37" t="s">
        <v>63</v>
      </c>
      <c r="B18" s="35">
        <v>2</v>
      </c>
      <c r="C18" s="35" t="s">
        <v>189</v>
      </c>
      <c r="D18" s="35">
        <v>1</v>
      </c>
      <c r="E18" s="39" t="s">
        <v>191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8"/>
      <c r="X18" s="128"/>
      <c r="Y18" s="128"/>
      <c r="AC18" s="128"/>
      <c r="AD18" s="128"/>
      <c r="AE18" s="128"/>
    </row>
    <row r="19" spans="1:31" x14ac:dyDescent="0.25">
      <c r="A19" s="37" t="s">
        <v>40</v>
      </c>
      <c r="B19" s="35">
        <v>3</v>
      </c>
      <c r="C19" s="35" t="s">
        <v>189</v>
      </c>
      <c r="D19" s="35">
        <v>1</v>
      </c>
      <c r="E19" s="39" t="s">
        <v>61</v>
      </c>
      <c r="H19" s="35">
        <v>10</v>
      </c>
      <c r="J19" s="36" t="str">
        <f>IF(Tabela!F20="","",Tabela!F20)</f>
        <v/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8"/>
      <c r="X19" s="128"/>
      <c r="Y19" s="128"/>
      <c r="AC19" s="128"/>
      <c r="AD19" s="128"/>
      <c r="AE19" s="128"/>
    </row>
    <row r="20" spans="1:31" x14ac:dyDescent="0.25">
      <c r="A20" s="37" t="s">
        <v>63</v>
      </c>
      <c r="B20" s="35">
        <v>1</v>
      </c>
      <c r="C20" s="35" t="s">
        <v>189</v>
      </c>
      <c r="D20" s="35">
        <v>2</v>
      </c>
      <c r="E20" s="39" t="s">
        <v>40</v>
      </c>
      <c r="H20" s="35">
        <v>15</v>
      </c>
      <c r="J20" s="36" t="str">
        <f>IF(Tabela!F21="","",Tabela!F21)</f>
        <v/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2</v>
      </c>
      <c r="O20" s="39" t="str">
        <f>Tabela!E21</f>
        <v>Argentina</v>
      </c>
      <c r="W20" s="128"/>
      <c r="X20" s="128"/>
      <c r="Y20" s="128"/>
      <c r="AC20" s="128"/>
      <c r="AD20" s="128"/>
      <c r="AE20" s="128"/>
    </row>
    <row r="21" spans="1:31" x14ac:dyDescent="0.25">
      <c r="A21" s="37" t="s">
        <v>191</v>
      </c>
      <c r="B21" s="35">
        <v>1</v>
      </c>
      <c r="C21" s="35" t="s">
        <v>189</v>
      </c>
      <c r="D21" s="35">
        <v>2</v>
      </c>
      <c r="E21" s="39" t="s">
        <v>61</v>
      </c>
      <c r="H21" s="35">
        <v>25</v>
      </c>
      <c r="J21" s="36" t="str">
        <f>IF(Tabela!F22="","",Tabela!F22)</f>
        <v/>
      </c>
      <c r="K21" s="37" t="str">
        <f>Tabela!A22</f>
        <v>ArábiaSaudita</v>
      </c>
      <c r="L21" s="37">
        <f>Tabela!B22</f>
        <v>1</v>
      </c>
      <c r="M21" s="37" t="str">
        <f>Tabela!C22</f>
        <v>x</v>
      </c>
      <c r="N21" s="37">
        <f>Tabela!D22</f>
        <v>2</v>
      </c>
      <c r="O21" s="39" t="str">
        <f>Tabela!E22</f>
        <v>México</v>
      </c>
      <c r="W21" s="128"/>
      <c r="X21" s="128"/>
      <c r="Y21" s="128"/>
      <c r="AC21" s="128"/>
      <c r="AD21" s="128"/>
      <c r="AE21" s="128"/>
    </row>
    <row r="22" spans="1:31" x14ac:dyDescent="0.25">
      <c r="A22" s="186" t="s">
        <v>200</v>
      </c>
      <c r="B22" s="186"/>
      <c r="C22" s="186"/>
      <c r="D22" s="186"/>
      <c r="E22" s="186"/>
      <c r="J22" s="36" t="str">
        <f>IF(Tabela!F23="","",Tabela!F23)</f>
        <v/>
      </c>
      <c r="K22" s="188" t="s">
        <v>200</v>
      </c>
      <c r="L22" s="188"/>
      <c r="M22" s="188"/>
      <c r="N22" s="188"/>
      <c r="O22" s="188"/>
      <c r="W22" s="128"/>
      <c r="X22" s="128"/>
      <c r="Y22" s="128"/>
      <c r="AC22" s="128"/>
      <c r="AD22" s="128"/>
      <c r="AE22" s="128"/>
    </row>
    <row r="23" spans="1:31" x14ac:dyDescent="0.25">
      <c r="A23" s="37" t="s">
        <v>50</v>
      </c>
      <c r="B23" s="35">
        <v>1</v>
      </c>
      <c r="C23" s="35" t="s">
        <v>189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8"/>
      <c r="X23" s="128"/>
      <c r="Y23" s="128"/>
      <c r="AC23" s="128"/>
      <c r="AD23" s="128"/>
      <c r="AE23" s="128"/>
    </row>
    <row r="24" spans="1:31" x14ac:dyDescent="0.25">
      <c r="A24" s="37" t="s">
        <v>54</v>
      </c>
      <c r="B24" s="35">
        <v>2</v>
      </c>
      <c r="C24" s="35" t="s">
        <v>189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8"/>
      <c r="X24" s="128"/>
      <c r="Y24" s="128"/>
      <c r="AC24" s="128"/>
      <c r="AD24" s="128"/>
      <c r="AE24" s="128"/>
    </row>
    <row r="25" spans="1:31" x14ac:dyDescent="0.25">
      <c r="A25" s="37" t="s">
        <v>68</v>
      </c>
      <c r="B25" s="35">
        <v>2</v>
      </c>
      <c r="C25" s="35" t="s">
        <v>189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4">
        <v>3</v>
      </c>
      <c r="R25" s="44">
        <v>8</v>
      </c>
      <c r="S25" s="44">
        <v>17</v>
      </c>
      <c r="T25" s="44">
        <v>5</v>
      </c>
      <c r="U25" s="44">
        <v>13</v>
      </c>
      <c r="W25" s="128"/>
      <c r="X25" s="128"/>
      <c r="Y25" s="128"/>
      <c r="AC25" s="128"/>
      <c r="AD25" s="128"/>
      <c r="AE25" s="128"/>
    </row>
    <row r="26" spans="1:31" x14ac:dyDescent="0.25">
      <c r="A26" s="37" t="s">
        <v>54</v>
      </c>
      <c r="B26" s="35">
        <v>3</v>
      </c>
      <c r="C26" s="35" t="s">
        <v>189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8"/>
      <c r="X26" s="128"/>
      <c r="Y26" s="128"/>
      <c r="AC26" s="128"/>
      <c r="AD26" s="128"/>
      <c r="AE26" s="128"/>
    </row>
    <row r="27" spans="1:31" x14ac:dyDescent="0.25">
      <c r="A27" s="37" t="s">
        <v>68</v>
      </c>
      <c r="B27" s="35">
        <v>1</v>
      </c>
      <c r="C27" s="35" t="s">
        <v>189</v>
      </c>
      <c r="D27" s="35">
        <v>3</v>
      </c>
      <c r="E27" s="39" t="s">
        <v>54</v>
      </c>
      <c r="H27" s="35">
        <v>5</v>
      </c>
      <c r="J27" s="36" t="str">
        <f>IF(Tabela!F28="","",Tabela!F28)</f>
        <v/>
      </c>
      <c r="K27" s="37" t="str">
        <f>Tabela!A28</f>
        <v>Tunísia</v>
      </c>
      <c r="L27" s="35">
        <f>Tabela!B28</f>
        <v>1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9" t="s">
        <v>89</v>
      </c>
      <c r="R27" s="189"/>
      <c r="S27" s="190" t="s">
        <v>43</v>
      </c>
      <c r="T27" s="190"/>
      <c r="U27" s="190" t="s">
        <v>52</v>
      </c>
      <c r="V27" s="190"/>
      <c r="W27" s="128"/>
      <c r="X27" s="128"/>
      <c r="Y27" s="128"/>
      <c r="AC27" s="128"/>
      <c r="AD27" s="128"/>
      <c r="AE27" s="128"/>
    </row>
    <row r="28" spans="1:31" x14ac:dyDescent="0.25">
      <c r="A28" s="37" t="s">
        <v>41</v>
      </c>
      <c r="B28" s="35">
        <v>2</v>
      </c>
      <c r="C28" s="35" t="s">
        <v>189</v>
      </c>
      <c r="D28" s="35">
        <v>1</v>
      </c>
      <c r="E28" s="39" t="s">
        <v>50</v>
      </c>
      <c r="H28" s="35">
        <v>10</v>
      </c>
      <c r="J28" s="36" t="str">
        <f>IF(Tabela!F29="","",Tabela!F29)</f>
        <v/>
      </c>
      <c r="K28" s="37" t="str">
        <f>Tabela!A29</f>
        <v>Austrália</v>
      </c>
      <c r="L28" s="35">
        <f>Tabela!B29</f>
        <v>1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9" t="s">
        <v>88</v>
      </c>
      <c r="R28" s="189"/>
      <c r="S28" s="191" t="s">
        <v>290</v>
      </c>
      <c r="T28" s="191"/>
      <c r="U28" s="191" t="s">
        <v>291</v>
      </c>
      <c r="V28" s="191"/>
      <c r="W28" s="128"/>
      <c r="X28" s="128"/>
      <c r="Y28" s="128"/>
      <c r="AC28" s="128"/>
      <c r="AD28" s="128"/>
      <c r="AE28" s="128"/>
    </row>
    <row r="29" spans="1:31" x14ac:dyDescent="0.25">
      <c r="A29" s="186" t="s">
        <v>199</v>
      </c>
      <c r="B29" s="186"/>
      <c r="C29" s="186"/>
      <c r="D29" s="186"/>
      <c r="E29" s="186"/>
      <c r="K29" s="188" t="s">
        <v>199</v>
      </c>
      <c r="L29" s="188"/>
      <c r="M29" s="188"/>
      <c r="N29" s="188"/>
      <c r="O29" s="188"/>
      <c r="W29" s="128"/>
      <c r="X29" s="128"/>
      <c r="Y29" s="128"/>
      <c r="AC29" s="128"/>
      <c r="AD29" s="128"/>
      <c r="AE29" s="128"/>
    </row>
    <row r="30" spans="1:31" x14ac:dyDescent="0.25">
      <c r="A30" s="37" t="s">
        <v>38</v>
      </c>
      <c r="B30" s="35">
        <v>3</v>
      </c>
      <c r="C30" s="35" t="s">
        <v>189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8"/>
      <c r="X30" s="128"/>
      <c r="Y30" s="128"/>
      <c r="AC30" s="128"/>
      <c r="AD30" s="128"/>
      <c r="AE30" s="128"/>
    </row>
    <row r="31" spans="1:31" x14ac:dyDescent="0.25">
      <c r="A31" s="37" t="s">
        <v>52</v>
      </c>
      <c r="B31" s="35">
        <v>3</v>
      </c>
      <c r="C31" s="35" t="s">
        <v>189</v>
      </c>
      <c r="D31" s="35">
        <v>2</v>
      </c>
      <c r="E31" s="39" t="s">
        <v>192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189</v>
      </c>
      <c r="D32" s="35">
        <v>1</v>
      </c>
      <c r="E32" s="39" t="s">
        <v>192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189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189</v>
      </c>
      <c r="D34" s="35">
        <v>2</v>
      </c>
      <c r="E34" s="39" t="s">
        <v>52</v>
      </c>
      <c r="H34" s="35">
        <v>0</v>
      </c>
      <c r="J34" s="36" t="str">
        <f>IF(Tabela!L7="","",Tabela!L7)</f>
        <v/>
      </c>
      <c r="K34" s="37" t="str">
        <f>Tabela!G7</f>
        <v>Japão</v>
      </c>
      <c r="L34" s="35">
        <f>Tabela!H7</f>
        <v>2</v>
      </c>
      <c r="M34" s="35" t="str">
        <f>Tabela!I7</f>
        <v>x</v>
      </c>
      <c r="N34" s="35">
        <f>Tabela!J7</f>
        <v>1</v>
      </c>
      <c r="O34" s="39" t="str">
        <f>Tabela!K7</f>
        <v>Espanha</v>
      </c>
    </row>
    <row r="35" spans="1:15" x14ac:dyDescent="0.25">
      <c r="A35" s="37" t="s">
        <v>192</v>
      </c>
      <c r="B35" s="35">
        <v>1</v>
      </c>
      <c r="C35" s="35" t="s">
        <v>189</v>
      </c>
      <c r="D35" s="35">
        <v>3</v>
      </c>
      <c r="E35" s="39" t="s">
        <v>38</v>
      </c>
      <c r="H35" s="35">
        <v>10</v>
      </c>
      <c r="J35" s="36" t="str">
        <f>IF(Tabela!L8="","",Tabela!L8)</f>
        <v/>
      </c>
      <c r="K35" s="37" t="str">
        <f>Tabela!G8</f>
        <v>CostaRica</v>
      </c>
      <c r="L35" s="35">
        <f>Tabela!H8</f>
        <v>2</v>
      </c>
      <c r="M35" s="35" t="str">
        <f>Tabela!I8</f>
        <v>x</v>
      </c>
      <c r="N35" s="35">
        <f>Tabela!J8</f>
        <v>4</v>
      </c>
      <c r="O35" s="39" t="str">
        <f>Tabela!K8</f>
        <v>Alemanha</v>
      </c>
    </row>
    <row r="36" spans="1:15" x14ac:dyDescent="0.25">
      <c r="A36" s="186" t="s">
        <v>198</v>
      </c>
      <c r="B36" s="186"/>
      <c r="C36" s="186"/>
      <c r="D36" s="186"/>
      <c r="E36" s="186"/>
      <c r="J36" s="36" t="str">
        <f>IF(Tabela!L9="","",Tabela!L9)</f>
        <v/>
      </c>
      <c r="K36" s="188" t="s">
        <v>198</v>
      </c>
      <c r="L36" s="188"/>
      <c r="M36" s="188"/>
      <c r="N36" s="188"/>
      <c r="O36" s="188"/>
    </row>
    <row r="37" spans="1:15" x14ac:dyDescent="0.25">
      <c r="A37" s="37" t="s">
        <v>60</v>
      </c>
      <c r="B37" s="35">
        <v>1</v>
      </c>
      <c r="C37" s="35" t="s">
        <v>189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189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189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189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189</v>
      </c>
      <c r="D41" s="35">
        <v>2</v>
      </c>
      <c r="E41" s="39" t="s">
        <v>42</v>
      </c>
      <c r="H41" s="35">
        <v>10</v>
      </c>
      <c r="J41" s="36" t="str">
        <f>IF(Tabela!L14="","",Tabela!L14)</f>
        <v/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189</v>
      </c>
      <c r="D42" s="35">
        <v>2</v>
      </c>
      <c r="E42" s="39" t="s">
        <v>60</v>
      </c>
      <c r="H42" s="35">
        <v>25</v>
      </c>
      <c r="J42" s="36" t="str">
        <f>IF(Tabela!L15="","",Tabela!L15)</f>
        <v/>
      </c>
      <c r="K42" s="37" t="str">
        <f>Tabela!G15</f>
        <v>Canadá</v>
      </c>
      <c r="L42" s="35">
        <f>Tabela!H15</f>
        <v>1</v>
      </c>
      <c r="M42" s="35" t="str">
        <f>Tabela!I15</f>
        <v>x</v>
      </c>
      <c r="N42" s="35">
        <f>Tabela!J15</f>
        <v>2</v>
      </c>
      <c r="O42" s="39" t="str">
        <f>Tabela!K15</f>
        <v>Marrocos</v>
      </c>
    </row>
    <row r="43" spans="1:15" x14ac:dyDescent="0.25">
      <c r="A43" s="186" t="s">
        <v>197</v>
      </c>
      <c r="B43" s="186"/>
      <c r="C43" s="186"/>
      <c r="D43" s="186"/>
      <c r="E43" s="186"/>
      <c r="J43" s="36" t="str">
        <f>IF(Tabela!L16="","",Tabela!L16)</f>
        <v/>
      </c>
      <c r="K43" s="188" t="s">
        <v>197</v>
      </c>
      <c r="L43" s="188"/>
      <c r="M43" s="188"/>
      <c r="N43" s="188"/>
      <c r="O43" s="188"/>
    </row>
    <row r="44" spans="1:15" x14ac:dyDescent="0.25">
      <c r="A44" s="37" t="s">
        <v>67</v>
      </c>
      <c r="B44" s="35">
        <v>2</v>
      </c>
      <c r="C44" s="35" t="s">
        <v>189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189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189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189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189</v>
      </c>
      <c r="D48" s="35">
        <v>3</v>
      </c>
      <c r="E48" s="39" t="s">
        <v>43</v>
      </c>
      <c r="H48" s="35">
        <v>5</v>
      </c>
      <c r="J48" s="36" t="str">
        <f>IF(Tabela!L21="","",Tabela!L21)</f>
        <v/>
      </c>
      <c r="K48" s="37" t="str">
        <f>Tabela!G21</f>
        <v>Camarões</v>
      </c>
      <c r="L48" s="35">
        <f>Tabela!H21</f>
        <v>1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189</v>
      </c>
      <c r="D49" s="35">
        <v>1</v>
      </c>
      <c r="E49" s="39" t="s">
        <v>67</v>
      </c>
      <c r="H49" s="35">
        <v>10</v>
      </c>
      <c r="J49" s="36" t="str">
        <f>IF(Tabela!L22="","",Tabela!L22)</f>
        <v/>
      </c>
      <c r="K49" s="37" t="str">
        <f>Tabela!G22</f>
        <v>Sérvia</v>
      </c>
      <c r="L49" s="35">
        <f>Tabela!H22</f>
        <v>2</v>
      </c>
      <c r="M49" s="35" t="str">
        <f>Tabela!I22</f>
        <v>x</v>
      </c>
      <c r="N49" s="35">
        <f>Tabela!J22</f>
        <v>3</v>
      </c>
      <c r="O49" s="39" t="str">
        <f>Tabela!K22</f>
        <v>Suíça</v>
      </c>
    </row>
    <row r="50" spans="1:15" x14ac:dyDescent="0.25">
      <c r="A50" s="186" t="s">
        <v>196</v>
      </c>
      <c r="B50" s="186"/>
      <c r="C50" s="186"/>
      <c r="D50" s="186"/>
      <c r="E50" s="186"/>
      <c r="J50" s="36" t="str">
        <f>IF(Tabela!L23="","",Tabela!L23)</f>
        <v/>
      </c>
      <c r="K50" s="188" t="s">
        <v>196</v>
      </c>
      <c r="L50" s="188"/>
      <c r="M50" s="188"/>
      <c r="N50" s="188"/>
      <c r="O50" s="188"/>
    </row>
    <row r="51" spans="1:15" x14ac:dyDescent="0.25">
      <c r="A51" s="37" t="s">
        <v>69</v>
      </c>
      <c r="B51" s="35">
        <v>2</v>
      </c>
      <c r="C51" s="35" t="s">
        <v>189</v>
      </c>
      <c r="D51" s="35">
        <v>1</v>
      </c>
      <c r="E51" s="39" t="s">
        <v>205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189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205</v>
      </c>
      <c r="B53" s="35">
        <v>1</v>
      </c>
      <c r="C53" s="35" t="s">
        <v>189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189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205</v>
      </c>
      <c r="B55" s="35">
        <v>1</v>
      </c>
      <c r="C55" s="35" t="s">
        <v>189</v>
      </c>
      <c r="D55" s="35">
        <v>3</v>
      </c>
      <c r="E55" s="39" t="s">
        <v>64</v>
      </c>
      <c r="H55" s="35">
        <v>0</v>
      </c>
      <c r="J55" s="36" t="str">
        <f>IF(Tabela!L28="","",Tabela!L28)</f>
        <v/>
      </c>
      <c r="K55" s="37" t="str">
        <f>Tabela!G28</f>
        <v>CoreiaDoSul</v>
      </c>
      <c r="L55" s="35">
        <f>Tabela!H28</f>
        <v>2</v>
      </c>
      <c r="M55" s="35" t="str">
        <f>Tabela!I28</f>
        <v>x</v>
      </c>
      <c r="N55" s="35">
        <f>Tabela!J28</f>
        <v>1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189</v>
      </c>
      <c r="D56" s="35">
        <v>2</v>
      </c>
      <c r="E56" s="39" t="s">
        <v>69</v>
      </c>
      <c r="H56" s="35">
        <v>15</v>
      </c>
      <c r="J56" s="36" t="str">
        <f>IF(Tabela!L29="","",Tabela!L29)</f>
        <v/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2</v>
      </c>
      <c r="O56" s="39" t="str">
        <f>Tabela!K29</f>
        <v>Uruguai</v>
      </c>
    </row>
    <row r="59" spans="1:15" x14ac:dyDescent="0.25">
      <c r="A59" s="91" t="s">
        <v>56</v>
      </c>
      <c r="B59" s="2">
        <v>1</v>
      </c>
      <c r="C59" s="2" t="s">
        <v>189</v>
      </c>
      <c r="D59" s="2">
        <v>0</v>
      </c>
      <c r="E59" s="90" t="s">
        <v>328</v>
      </c>
    </row>
    <row r="60" spans="1:15" x14ac:dyDescent="0.25">
      <c r="A60" s="91" t="s">
        <v>40</v>
      </c>
      <c r="B60" s="2">
        <v>2</v>
      </c>
      <c r="C60" s="2" t="s">
        <v>189</v>
      </c>
      <c r="D60" s="2">
        <v>1</v>
      </c>
      <c r="E60" s="90" t="s">
        <v>41</v>
      </c>
    </row>
    <row r="61" spans="1:15" x14ac:dyDescent="0.25">
      <c r="A61" s="91" t="s">
        <v>59</v>
      </c>
      <c r="B61" s="2">
        <v>1</v>
      </c>
      <c r="C61" s="2" t="s">
        <v>189</v>
      </c>
      <c r="D61" s="2">
        <v>2</v>
      </c>
      <c r="E61" s="90" t="s">
        <v>49</v>
      </c>
    </row>
    <row r="62" spans="1:15" x14ac:dyDescent="0.25">
      <c r="A62" s="91" t="s">
        <v>43</v>
      </c>
      <c r="B62" s="2">
        <v>2</v>
      </c>
      <c r="C62" s="2" t="s">
        <v>189</v>
      </c>
      <c r="D62" s="2">
        <v>1</v>
      </c>
      <c r="E62" s="90" t="s">
        <v>329</v>
      </c>
    </row>
    <row r="63" spans="1:15" x14ac:dyDescent="0.25">
      <c r="A63" s="91" t="s">
        <v>57</v>
      </c>
      <c r="B63" s="2">
        <v>1</v>
      </c>
      <c r="C63" s="2" t="s">
        <v>189</v>
      </c>
      <c r="D63" s="2">
        <v>1</v>
      </c>
      <c r="E63" s="90" t="s">
        <v>65</v>
      </c>
    </row>
    <row r="64" spans="1:15" x14ac:dyDescent="0.25">
      <c r="A64" s="91" t="s">
        <v>54</v>
      </c>
      <c r="B64" s="2">
        <v>2</v>
      </c>
      <c r="C64" s="2" t="s">
        <v>189</v>
      </c>
      <c r="D64" s="2">
        <v>0</v>
      </c>
      <c r="E64" s="90" t="s">
        <v>63</v>
      </c>
    </row>
    <row r="65" spans="1:5" x14ac:dyDescent="0.25">
      <c r="A65" s="91" t="s">
        <v>60</v>
      </c>
      <c r="B65" s="2">
        <v>1</v>
      </c>
      <c r="C65" s="2" t="s">
        <v>189</v>
      </c>
      <c r="D65" s="2">
        <v>2</v>
      </c>
      <c r="E65" s="90" t="s">
        <v>52</v>
      </c>
    </row>
    <row r="66" spans="1:5" x14ac:dyDescent="0.25">
      <c r="A66" s="91" t="s">
        <v>64</v>
      </c>
      <c r="B66" s="2">
        <v>0</v>
      </c>
      <c r="C66" s="2" t="s">
        <v>189</v>
      </c>
      <c r="D66" s="2">
        <v>1</v>
      </c>
      <c r="E66" s="90" t="s">
        <v>67</v>
      </c>
    </row>
  </sheetData>
  <mergeCells count="70">
    <mergeCell ref="Q27:R27"/>
    <mergeCell ref="S27:T27"/>
    <mergeCell ref="U27:V27"/>
    <mergeCell ref="Q28:R28"/>
    <mergeCell ref="S28:T28"/>
    <mergeCell ref="U28:V28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93" t="s">
        <v>104</v>
      </c>
      <c r="C1" s="93"/>
      <c r="D1" s="93"/>
      <c r="E1" s="94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92" t="str">
        <f>Tabela!A3</f>
        <v>Catar</v>
      </c>
      <c r="I2" s="92"/>
      <c r="J2" s="92"/>
      <c r="K2" s="92"/>
      <c r="L2" s="2">
        <f>Tabela!B3</f>
        <v>0</v>
      </c>
      <c r="M2" s="2" t="s">
        <v>70</v>
      </c>
      <c r="N2" s="2">
        <f>Tabela!D3</f>
        <v>2</v>
      </c>
      <c r="O2" s="92" t="str">
        <f>Tabela!E3</f>
        <v>Equador</v>
      </c>
      <c r="P2" s="92"/>
      <c r="Q2" s="92"/>
      <c r="R2" s="92"/>
      <c r="T2" s="92" t="str">
        <f>Tabela!G3</f>
        <v>Alemanha</v>
      </c>
      <c r="U2" s="92"/>
      <c r="V2" s="92"/>
      <c r="W2" s="92"/>
      <c r="X2">
        <f>Tabela!H3</f>
        <v>1</v>
      </c>
      <c r="Y2" s="2" t="s">
        <v>70</v>
      </c>
      <c r="Z2">
        <f>Tabela!J3</f>
        <v>2</v>
      </c>
      <c r="AA2" s="92" t="str">
        <f>Tabela!K3</f>
        <v>Japão</v>
      </c>
      <c r="AB2" s="92"/>
      <c r="AC2" s="92"/>
      <c r="AD2" s="92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92" t="str">
        <f>Tabela!A4</f>
        <v>Senegal</v>
      </c>
      <c r="I3" s="92"/>
      <c r="J3" s="92"/>
      <c r="K3" s="92"/>
      <c r="L3" s="2">
        <f>Tabela!B4</f>
        <v>0</v>
      </c>
      <c r="M3" s="2" t="s">
        <v>70</v>
      </c>
      <c r="N3" s="2">
        <f>Tabela!D4</f>
        <v>2</v>
      </c>
      <c r="O3" s="92" t="str">
        <f>Tabela!E4</f>
        <v>Holanda</v>
      </c>
      <c r="P3" s="92"/>
      <c r="Q3" s="92"/>
      <c r="R3" s="92"/>
      <c r="T3" s="92" t="str">
        <f>Tabela!G4</f>
        <v>Espanha</v>
      </c>
      <c r="U3" s="92"/>
      <c r="V3" s="92"/>
      <c r="W3" s="92"/>
      <c r="X3">
        <f>Tabela!H4</f>
        <v>7</v>
      </c>
      <c r="Y3" s="2" t="s">
        <v>70</v>
      </c>
      <c r="Z3">
        <f>Tabela!J4</f>
        <v>0</v>
      </c>
      <c r="AA3" s="92" t="str">
        <f>Tabela!K4</f>
        <v>CostaRica</v>
      </c>
      <c r="AB3" s="92"/>
      <c r="AC3" s="92"/>
      <c r="AD3" s="92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92" t="str">
        <f>Tabela!A5</f>
        <v>Catar</v>
      </c>
      <c r="I4" s="92"/>
      <c r="J4" s="92"/>
      <c r="K4" s="92"/>
      <c r="L4" s="2">
        <f>Tabela!B5</f>
        <v>1</v>
      </c>
      <c r="M4" s="2" t="s">
        <v>70</v>
      </c>
      <c r="N4" s="2">
        <f>Tabela!D5</f>
        <v>3</v>
      </c>
      <c r="O4" s="92" t="str">
        <f>Tabela!E5</f>
        <v>Senegal</v>
      </c>
      <c r="P4" s="92"/>
      <c r="Q4" s="92"/>
      <c r="R4" s="92"/>
      <c r="T4" s="92" t="str">
        <f>Tabela!G5</f>
        <v>Japão</v>
      </c>
      <c r="U4" s="92"/>
      <c r="V4" s="92"/>
      <c r="W4" s="92"/>
      <c r="X4">
        <f>Tabela!H5</f>
        <v>0</v>
      </c>
      <c r="Y4" s="2" t="s">
        <v>70</v>
      </c>
      <c r="Z4">
        <f>Tabela!J5</f>
        <v>1</v>
      </c>
      <c r="AA4" s="92" t="str">
        <f>Tabela!K5</f>
        <v>CostaRica</v>
      </c>
      <c r="AB4" s="92"/>
      <c r="AC4" s="92"/>
      <c r="AD4" s="92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92" t="str">
        <f>Tabela!A6</f>
        <v>Holanda</v>
      </c>
      <c r="I5" s="92"/>
      <c r="J5" s="92"/>
      <c r="K5" s="92"/>
      <c r="L5" s="2">
        <f>Tabela!B6</f>
        <v>1</v>
      </c>
      <c r="M5" s="2" t="s">
        <v>70</v>
      </c>
      <c r="N5" s="2">
        <f>Tabela!D6</f>
        <v>1</v>
      </c>
      <c r="O5" s="92" t="str">
        <f>Tabela!E6</f>
        <v>Equador</v>
      </c>
      <c r="P5" s="92"/>
      <c r="Q5" s="92"/>
      <c r="R5" s="92"/>
      <c r="T5" s="92" t="str">
        <f>Tabela!G6</f>
        <v>Espanha</v>
      </c>
      <c r="U5" s="92"/>
      <c r="V5" s="92"/>
      <c r="W5" s="92"/>
      <c r="X5">
        <f>Tabela!H6</f>
        <v>1</v>
      </c>
      <c r="Y5" s="2" t="s">
        <v>70</v>
      </c>
      <c r="Z5">
        <f>Tabela!J6</f>
        <v>1</v>
      </c>
      <c r="AA5" s="92" t="str">
        <f>Tabela!K6</f>
        <v>Alemanha</v>
      </c>
      <c r="AB5" s="92"/>
      <c r="AC5" s="92"/>
      <c r="AD5" s="92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92" t="str">
        <f>Tabela!A7</f>
        <v>Holanda</v>
      </c>
      <c r="I6" s="92"/>
      <c r="J6" s="92"/>
      <c r="K6" s="92"/>
      <c r="L6" s="2">
        <f>Tabela!B7</f>
        <v>2</v>
      </c>
      <c r="M6" s="2" t="s">
        <v>70</v>
      </c>
      <c r="N6" s="2">
        <f>Tabela!D7</f>
        <v>0</v>
      </c>
      <c r="O6" s="92" t="str">
        <f>Tabela!E7</f>
        <v>Catar</v>
      </c>
      <c r="P6" s="92"/>
      <c r="Q6" s="92"/>
      <c r="R6" s="92"/>
      <c r="T6" s="92" t="str">
        <f>Tabela!G7</f>
        <v>Japão</v>
      </c>
      <c r="U6" s="92"/>
      <c r="V6" s="92"/>
      <c r="W6" s="92"/>
      <c r="X6">
        <f>Tabela!H7</f>
        <v>2</v>
      </c>
      <c r="Y6" s="2" t="s">
        <v>70</v>
      </c>
      <c r="Z6">
        <f>Tabela!J7</f>
        <v>1</v>
      </c>
      <c r="AA6" s="92" t="str">
        <f>Tabela!K7</f>
        <v>Espanha</v>
      </c>
      <c r="AB6" s="92"/>
      <c r="AC6" s="92"/>
      <c r="AD6" s="92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92" t="str">
        <f>Tabela!A8</f>
        <v>Equador</v>
      </c>
      <c r="I7" s="92"/>
      <c r="J7" s="92"/>
      <c r="K7" s="92"/>
      <c r="L7" s="2">
        <f>Tabela!B8</f>
        <v>1</v>
      </c>
      <c r="M7" s="2" t="s">
        <v>70</v>
      </c>
      <c r="N7" s="2">
        <f>Tabela!D8</f>
        <v>2</v>
      </c>
      <c r="O7" s="92" t="str">
        <f>Tabela!E8</f>
        <v>Senegal</v>
      </c>
      <c r="P7" s="92"/>
      <c r="Q7" s="92"/>
      <c r="R7" s="92"/>
      <c r="T7" s="92" t="str">
        <f>Tabela!G8</f>
        <v>CostaRica</v>
      </c>
      <c r="U7" s="92"/>
      <c r="V7" s="92"/>
      <c r="W7" s="92"/>
      <c r="X7">
        <f>Tabela!H8</f>
        <v>2</v>
      </c>
      <c r="Y7" s="2" t="s">
        <v>70</v>
      </c>
      <c r="Z7">
        <f>Tabela!J8</f>
        <v>4</v>
      </c>
      <c r="AA7" s="92" t="str">
        <f>Tabela!K8</f>
        <v>Alemanha</v>
      </c>
      <c r="AB7" s="92"/>
      <c r="AC7" s="92"/>
      <c r="AD7" s="92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92" t="str">
        <f>Tabela!A9</f>
        <v>Grupo B</v>
      </c>
      <c r="I8" s="92"/>
      <c r="J8" s="92"/>
      <c r="K8" s="92"/>
      <c r="L8" s="2">
        <f>Tabela!B9</f>
        <v>0</v>
      </c>
      <c r="M8" s="2" t="s">
        <v>70</v>
      </c>
      <c r="N8" s="2">
        <f>Tabela!D9</f>
        <v>0</v>
      </c>
      <c r="O8" s="92">
        <f>Tabela!E9</f>
        <v>0</v>
      </c>
      <c r="P8" s="92"/>
      <c r="Q8" s="92"/>
      <c r="R8" s="92"/>
      <c r="T8" s="92" t="str">
        <f>Tabela!G9</f>
        <v>Grupo F</v>
      </c>
      <c r="U8" s="92"/>
      <c r="V8" s="92"/>
      <c r="W8" s="92"/>
      <c r="X8">
        <f>Tabela!H9</f>
        <v>0</v>
      </c>
      <c r="Y8" s="2" t="s">
        <v>70</v>
      </c>
      <c r="Z8">
        <f>Tabela!J9</f>
        <v>0</v>
      </c>
      <c r="AA8" s="92">
        <f>Tabela!K9</f>
        <v>0</v>
      </c>
      <c r="AB8" s="92"/>
      <c r="AC8" s="92"/>
      <c r="AD8" s="92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92" t="str">
        <f>Tabela!A10</f>
        <v>Inglaterra</v>
      </c>
      <c r="I9" s="92"/>
      <c r="J9" s="92"/>
      <c r="K9" s="92"/>
      <c r="L9" s="2">
        <f>Tabela!B10</f>
        <v>6</v>
      </c>
      <c r="M9" s="2" t="s">
        <v>70</v>
      </c>
      <c r="N9" s="2">
        <f>Tabela!D10</f>
        <v>2</v>
      </c>
      <c r="O9" s="92" t="str">
        <f>Tabela!E10</f>
        <v>Irã</v>
      </c>
      <c r="P9" s="92"/>
      <c r="Q9" s="92"/>
      <c r="R9" s="92"/>
      <c r="T9" s="92" t="str">
        <f>Tabela!G10</f>
        <v>Marrocos</v>
      </c>
      <c r="U9" s="92"/>
      <c r="V9" s="92"/>
      <c r="W9" s="92"/>
      <c r="X9">
        <f>Tabela!H10</f>
        <v>0</v>
      </c>
      <c r="Y9" s="2" t="s">
        <v>70</v>
      </c>
      <c r="Z9">
        <f>Tabela!J10</f>
        <v>0</v>
      </c>
      <c r="AA9" s="92" t="str">
        <f>Tabela!K10</f>
        <v>Croácia</v>
      </c>
      <c r="AB9" s="92"/>
      <c r="AC9" s="92"/>
      <c r="AD9" s="92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92" t="str">
        <f>Tabela!A11</f>
        <v>Estados Unidos</v>
      </c>
      <c r="I10" s="92"/>
      <c r="J10" s="92"/>
      <c r="K10" s="92"/>
      <c r="L10" s="2">
        <f>Tabela!B11</f>
        <v>1</v>
      </c>
      <c r="M10" s="2" t="s">
        <v>70</v>
      </c>
      <c r="N10" s="2">
        <f>Tabela!D11</f>
        <v>1</v>
      </c>
      <c r="O10" s="92" t="str">
        <f>Tabela!E11</f>
        <v>Gales</v>
      </c>
      <c r="P10" s="92"/>
      <c r="Q10" s="92"/>
      <c r="R10" s="92"/>
      <c r="T10" s="92" t="str">
        <f>Tabela!G11</f>
        <v>Bélgica</v>
      </c>
      <c r="U10" s="92"/>
      <c r="V10" s="92"/>
      <c r="W10" s="92"/>
      <c r="X10">
        <f>Tabela!H11</f>
        <v>1</v>
      </c>
      <c r="Y10" s="2" t="s">
        <v>70</v>
      </c>
      <c r="Z10">
        <f>Tabela!J11</f>
        <v>0</v>
      </c>
      <c r="AA10" s="92" t="str">
        <f>Tabela!K11</f>
        <v>Canadá</v>
      </c>
      <c r="AB10" s="92"/>
      <c r="AC10" s="92"/>
      <c r="AD10" s="92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92" t="str">
        <f>Tabela!A12</f>
        <v>Gales</v>
      </c>
      <c r="I11" s="92"/>
      <c r="J11" s="92"/>
      <c r="K11" s="92"/>
      <c r="L11" s="2">
        <f>Tabela!B12</f>
        <v>0</v>
      </c>
      <c r="M11" s="2" t="s">
        <v>70</v>
      </c>
      <c r="N11" s="2">
        <f>Tabela!D12</f>
        <v>2</v>
      </c>
      <c r="O11" s="92" t="str">
        <f>Tabela!E12</f>
        <v>Irã</v>
      </c>
      <c r="P11" s="92"/>
      <c r="Q11" s="92"/>
      <c r="R11" s="92"/>
      <c r="T11" s="92" t="str">
        <f>Tabela!G12</f>
        <v>Bélgica</v>
      </c>
      <c r="U11" s="92"/>
      <c r="V11" s="92"/>
      <c r="W11" s="92"/>
      <c r="X11">
        <f>Tabela!H12</f>
        <v>0</v>
      </c>
      <c r="Y11" s="2" t="s">
        <v>70</v>
      </c>
      <c r="Z11">
        <f>Tabela!J12</f>
        <v>2</v>
      </c>
      <c r="AA11" s="92" t="str">
        <f>Tabela!K12</f>
        <v>Marrocos</v>
      </c>
      <c r="AB11" s="92"/>
      <c r="AC11" s="92"/>
      <c r="AD11" s="92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92" t="str">
        <f>Tabela!A13</f>
        <v>Inglaterra</v>
      </c>
      <c r="I12" s="92"/>
      <c r="J12" s="92"/>
      <c r="K12" s="92"/>
      <c r="L12" s="2">
        <f>Tabela!B13</f>
        <v>0</v>
      </c>
      <c r="M12" s="2" t="s">
        <v>70</v>
      </c>
      <c r="N12" s="2">
        <f>Tabela!D13</f>
        <v>0</v>
      </c>
      <c r="O12" s="92" t="str">
        <f>Tabela!E13</f>
        <v>Estados Unidos</v>
      </c>
      <c r="P12" s="92"/>
      <c r="Q12" s="92"/>
      <c r="R12" s="92"/>
      <c r="T12" s="92" t="str">
        <f>Tabela!G13</f>
        <v>Croácia</v>
      </c>
      <c r="U12" s="92"/>
      <c r="V12" s="92"/>
      <c r="W12" s="92"/>
      <c r="X12">
        <f>Tabela!H13</f>
        <v>4</v>
      </c>
      <c r="Y12" s="2" t="s">
        <v>70</v>
      </c>
      <c r="Z12">
        <f>Tabela!J13</f>
        <v>1</v>
      </c>
      <c r="AA12" s="92" t="str">
        <f>Tabela!K13</f>
        <v>Canadá</v>
      </c>
      <c r="AB12" s="92"/>
      <c r="AC12" s="92"/>
      <c r="AD12" s="92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92" t="str">
        <f>Tabela!A14</f>
        <v>Irã</v>
      </c>
      <c r="I13" s="92"/>
      <c r="J13" s="92"/>
      <c r="K13" s="92"/>
      <c r="L13" s="2">
        <f>Tabela!B14</f>
        <v>0</v>
      </c>
      <c r="M13" s="2" t="s">
        <v>70</v>
      </c>
      <c r="N13" s="2">
        <f>Tabela!D14</f>
        <v>1</v>
      </c>
      <c r="O13" s="92" t="str">
        <f>Tabela!E14</f>
        <v>Estados Unidos</v>
      </c>
      <c r="P13" s="92"/>
      <c r="Q13" s="92"/>
      <c r="R13" s="92"/>
      <c r="T13" s="92" t="str">
        <f>Tabela!G14</f>
        <v>Croácia</v>
      </c>
      <c r="U13" s="92"/>
      <c r="V13" s="92"/>
      <c r="W13" s="92"/>
      <c r="X13">
        <f>Tabela!H14</f>
        <v>0</v>
      </c>
      <c r="Y13" s="2" t="s">
        <v>70</v>
      </c>
      <c r="Z13">
        <f>Tabela!J14</f>
        <v>0</v>
      </c>
      <c r="AA13" s="92" t="str">
        <f>Tabela!K14</f>
        <v>Bélgica</v>
      </c>
      <c r="AB13" s="92"/>
      <c r="AC13" s="92"/>
      <c r="AD13" s="92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222</v>
      </c>
      <c r="H14" s="92" t="str">
        <f>Tabela!A15</f>
        <v>Gales</v>
      </c>
      <c r="I14" s="92"/>
      <c r="J14" s="92"/>
      <c r="K14" s="92"/>
      <c r="L14" s="2">
        <f>Tabela!B15</f>
        <v>0</v>
      </c>
      <c r="M14" s="2" t="s">
        <v>70</v>
      </c>
      <c r="N14" s="2">
        <f>Tabela!D15</f>
        <v>3</v>
      </c>
      <c r="O14" s="92" t="str">
        <f>Tabela!E15</f>
        <v>Inglaterra</v>
      </c>
      <c r="P14" s="92"/>
      <c r="Q14" s="92"/>
      <c r="R14" s="92"/>
      <c r="T14" s="92" t="str">
        <f>Tabela!G15</f>
        <v>Canadá</v>
      </c>
      <c r="U14" s="92"/>
      <c r="V14" s="92"/>
      <c r="W14" s="92"/>
      <c r="X14">
        <f>Tabela!H15</f>
        <v>1</v>
      </c>
      <c r="Y14" s="2" t="s">
        <v>70</v>
      </c>
      <c r="Z14">
        <f>Tabela!J15</f>
        <v>2</v>
      </c>
      <c r="AA14" s="92" t="str">
        <f>Tabela!K15</f>
        <v>Marrocos</v>
      </c>
      <c r="AB14" s="92"/>
      <c r="AC14" s="92"/>
      <c r="AD14" s="92"/>
    </row>
    <row r="15" spans="1:30" x14ac:dyDescent="0.25">
      <c r="A15" s="20" t="s">
        <v>6</v>
      </c>
      <c r="B15" s="21"/>
      <c r="C15" s="21" t="s">
        <v>218</v>
      </c>
      <c r="D15" s="21"/>
      <c r="E15" s="24" t="s">
        <v>101</v>
      </c>
      <c r="H15" s="92" t="str">
        <f>Tabela!A16</f>
        <v>Grupo C</v>
      </c>
      <c r="I15" s="92"/>
      <c r="J15" s="92"/>
      <c r="K15" s="92"/>
      <c r="L15" s="2">
        <f>Tabela!B16</f>
        <v>0</v>
      </c>
      <c r="M15" s="2" t="s">
        <v>70</v>
      </c>
      <c r="N15" s="2">
        <f>Tabela!D16</f>
        <v>0</v>
      </c>
      <c r="O15" s="92">
        <f>Tabela!E16</f>
        <v>0</v>
      </c>
      <c r="P15" s="92"/>
      <c r="Q15" s="92"/>
      <c r="R15" s="92"/>
      <c r="T15" s="92" t="str">
        <f>Tabela!G16</f>
        <v>Grupo G</v>
      </c>
      <c r="U15" s="92"/>
      <c r="V15" s="92"/>
      <c r="W15" s="92"/>
      <c r="X15">
        <f>Tabela!H16</f>
        <v>0</v>
      </c>
      <c r="Y15" s="2" t="s">
        <v>70</v>
      </c>
      <c r="Z15">
        <f>Tabela!J16</f>
        <v>0</v>
      </c>
      <c r="AA15" s="92">
        <f>Tabela!K16</f>
        <v>0</v>
      </c>
      <c r="AB15" s="92"/>
      <c r="AC15" s="92"/>
      <c r="AD15" s="92"/>
    </row>
    <row r="16" spans="1:30" x14ac:dyDescent="0.25">
      <c r="A16" s="20" t="s">
        <v>7</v>
      </c>
      <c r="B16" s="21"/>
      <c r="C16" s="21" t="s">
        <v>213</v>
      </c>
      <c r="D16" s="21"/>
      <c r="E16" s="24" t="s">
        <v>227</v>
      </c>
      <c r="H16" s="92" t="str">
        <f>Tabela!A17</f>
        <v>Argentina</v>
      </c>
      <c r="I16" s="92"/>
      <c r="J16" s="92"/>
      <c r="K16" s="92"/>
      <c r="L16" s="2">
        <f>Tabela!B17</f>
        <v>1</v>
      </c>
      <c r="M16" s="2" t="s">
        <v>70</v>
      </c>
      <c r="N16" s="2">
        <f>Tabela!D17</f>
        <v>2</v>
      </c>
      <c r="O16" s="92" t="str">
        <f>Tabela!E17</f>
        <v>ArábiaSaudita</v>
      </c>
      <c r="P16" s="92"/>
      <c r="Q16" s="92"/>
      <c r="R16" s="92"/>
      <c r="T16" s="92" t="str">
        <f>Tabela!G17</f>
        <v>Suíça</v>
      </c>
      <c r="U16" s="92"/>
      <c r="V16" s="92"/>
      <c r="W16" s="92"/>
      <c r="X16">
        <f>Tabela!H17</f>
        <v>1</v>
      </c>
      <c r="Y16" s="2" t="s">
        <v>70</v>
      </c>
      <c r="Z16">
        <f>Tabela!J17</f>
        <v>0</v>
      </c>
      <c r="AA16" s="92" t="str">
        <f>Tabela!K17</f>
        <v>Camarões</v>
      </c>
      <c r="AB16" s="92"/>
      <c r="AC16" s="92"/>
      <c r="AD16" s="92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92" t="str">
        <f>Tabela!A18</f>
        <v>México</v>
      </c>
      <c r="I17" s="92"/>
      <c r="J17" s="92"/>
      <c r="K17" s="92"/>
      <c r="L17" s="2">
        <f>Tabela!B18</f>
        <v>0</v>
      </c>
      <c r="M17" s="2" t="s">
        <v>70</v>
      </c>
      <c r="N17" s="2">
        <f>Tabela!D18</f>
        <v>0</v>
      </c>
      <c r="O17" s="92" t="str">
        <f>Tabela!E18</f>
        <v>Polônia</v>
      </c>
      <c r="P17" s="92"/>
      <c r="Q17" s="92"/>
      <c r="R17" s="92"/>
      <c r="T17" s="92" t="str">
        <f>Tabela!G18</f>
        <v>Brasil</v>
      </c>
      <c r="U17" s="92"/>
      <c r="V17" s="92"/>
      <c r="W17" s="92"/>
      <c r="X17">
        <f>Tabela!H18</f>
        <v>2</v>
      </c>
      <c r="Y17" s="2" t="s">
        <v>70</v>
      </c>
      <c r="Z17">
        <f>Tabela!J18</f>
        <v>0</v>
      </c>
      <c r="AA17" s="92" t="str">
        <f>Tabela!K18</f>
        <v>Sérvia</v>
      </c>
      <c r="AB17" s="92"/>
      <c r="AC17" s="92"/>
      <c r="AD17" s="92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226</v>
      </c>
      <c r="H18" s="92" t="str">
        <f>Tabela!A19</f>
        <v>Polônia</v>
      </c>
      <c r="I18" s="92"/>
      <c r="J18" s="92"/>
      <c r="K18" s="92"/>
      <c r="L18" s="2">
        <f>Tabela!B19</f>
        <v>2</v>
      </c>
      <c r="M18" s="2" t="s">
        <v>70</v>
      </c>
      <c r="N18" s="2">
        <f>Tabela!D19</f>
        <v>0</v>
      </c>
      <c r="O18" s="92" t="str">
        <f>Tabela!E19</f>
        <v>ArábiaSaudita</v>
      </c>
      <c r="P18" s="92"/>
      <c r="Q18" s="92"/>
      <c r="R18" s="92"/>
      <c r="T18" s="92" t="str">
        <f>Tabela!G19</f>
        <v>Camarões</v>
      </c>
      <c r="U18" s="92"/>
      <c r="V18" s="92"/>
      <c r="W18" s="92"/>
      <c r="X18">
        <f>Tabela!H19</f>
        <v>3</v>
      </c>
      <c r="Y18" s="2" t="s">
        <v>70</v>
      </c>
      <c r="Z18">
        <f>Tabela!J19</f>
        <v>3</v>
      </c>
      <c r="AA18" s="92" t="str">
        <f>Tabela!K19</f>
        <v>Sérvia</v>
      </c>
      <c r="AB18" s="92"/>
      <c r="AC18" s="92"/>
      <c r="AD18" s="92"/>
    </row>
    <row r="19" spans="1:30" x14ac:dyDescent="0.25">
      <c r="A19" s="20" t="s">
        <v>86</v>
      </c>
      <c r="B19" s="21"/>
      <c r="C19" s="21" t="s">
        <v>219</v>
      </c>
      <c r="D19" s="21"/>
      <c r="E19" s="24" t="s">
        <v>103</v>
      </c>
      <c r="H19" s="92" t="str">
        <f>Tabela!A20</f>
        <v>Argentina</v>
      </c>
      <c r="I19" s="92"/>
      <c r="J19" s="92"/>
      <c r="K19" s="92"/>
      <c r="L19" s="2">
        <f>Tabela!B20</f>
        <v>2</v>
      </c>
      <c r="M19" s="2" t="s">
        <v>70</v>
      </c>
      <c r="N19" s="2">
        <f>Tabela!D20</f>
        <v>0</v>
      </c>
      <c r="O19" s="92" t="str">
        <f>Tabela!E20</f>
        <v>México</v>
      </c>
      <c r="P19" s="92"/>
      <c r="Q19" s="92"/>
      <c r="R19" s="92"/>
      <c r="T19" s="92" t="str">
        <f>Tabela!G20</f>
        <v>Brasil</v>
      </c>
      <c r="U19" s="92"/>
      <c r="V19" s="92"/>
      <c r="W19" s="92"/>
      <c r="X19">
        <f>Tabela!H20</f>
        <v>1</v>
      </c>
      <c r="Y19" s="2" t="s">
        <v>70</v>
      </c>
      <c r="Z19">
        <f>Tabela!J20</f>
        <v>0</v>
      </c>
      <c r="AA19" s="92" t="str">
        <f>Tabela!K20</f>
        <v>Suíça</v>
      </c>
      <c r="AB19" s="92"/>
      <c r="AC19" s="92"/>
      <c r="AD19" s="92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92" t="str">
        <f>Tabela!A21</f>
        <v>Polônia</v>
      </c>
      <c r="I20" s="92"/>
      <c r="J20" s="92"/>
      <c r="K20" s="92"/>
      <c r="L20" s="2">
        <f>Tabela!B21</f>
        <v>0</v>
      </c>
      <c r="M20" s="2" t="s">
        <v>70</v>
      </c>
      <c r="N20" s="2">
        <f>Tabela!D21</f>
        <v>2</v>
      </c>
      <c r="O20" s="92" t="str">
        <f>Tabela!E21</f>
        <v>Argentina</v>
      </c>
      <c r="P20" s="92"/>
      <c r="Q20" s="92"/>
      <c r="R20" s="92"/>
      <c r="T20" s="92" t="str">
        <f>Tabela!G21</f>
        <v>Camarões</v>
      </c>
      <c r="U20" s="92"/>
      <c r="V20" s="92"/>
      <c r="W20" s="92"/>
      <c r="X20">
        <f>Tabela!H21</f>
        <v>1</v>
      </c>
      <c r="Y20" s="2" t="s">
        <v>70</v>
      </c>
      <c r="Z20">
        <f>Tabela!J21</f>
        <v>0</v>
      </c>
      <c r="AA20" s="92" t="str">
        <f>Tabela!K21</f>
        <v>Brasil</v>
      </c>
      <c r="AB20" s="92"/>
      <c r="AC20" s="92"/>
      <c r="AD20" s="92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92" t="str">
        <f>Tabela!A22</f>
        <v>ArábiaSaudita</v>
      </c>
      <c r="I21" s="92"/>
      <c r="J21" s="92"/>
      <c r="K21" s="92"/>
      <c r="L21" s="2">
        <f>Tabela!B22</f>
        <v>1</v>
      </c>
      <c r="M21" s="2" t="s">
        <v>70</v>
      </c>
      <c r="N21" s="2">
        <f>Tabela!D22</f>
        <v>2</v>
      </c>
      <c r="O21" s="92" t="str">
        <f>Tabela!E22</f>
        <v>México</v>
      </c>
      <c r="P21" s="92"/>
      <c r="Q21" s="92"/>
      <c r="R21" s="92"/>
      <c r="T21" s="92" t="str">
        <f>Tabela!G22</f>
        <v>Sérvia</v>
      </c>
      <c r="U21" s="92"/>
      <c r="V21" s="92"/>
      <c r="W21" s="92"/>
      <c r="X21">
        <f>Tabela!H22</f>
        <v>2</v>
      </c>
      <c r="Y21" s="2" t="s">
        <v>70</v>
      </c>
      <c r="Z21">
        <f>Tabela!J22</f>
        <v>3</v>
      </c>
      <c r="AA21" s="92" t="str">
        <f>Tabela!K22</f>
        <v>Suíça</v>
      </c>
      <c r="AB21" s="92"/>
      <c r="AC21" s="92"/>
      <c r="AD21" s="92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92" t="str">
        <f>Tabela!A23</f>
        <v>Grupo D</v>
      </c>
      <c r="I22" s="92"/>
      <c r="J22" s="92"/>
      <c r="K22" s="92"/>
      <c r="L22" s="2">
        <f>Tabela!B23</f>
        <v>0</v>
      </c>
      <c r="M22" s="2" t="s">
        <v>70</v>
      </c>
      <c r="N22" s="2">
        <f>Tabela!D23</f>
        <v>0</v>
      </c>
      <c r="O22" s="92">
        <f>Tabela!E23</f>
        <v>0</v>
      </c>
      <c r="P22" s="92"/>
      <c r="Q22" s="92"/>
      <c r="R22" s="92"/>
      <c r="T22" s="92" t="str">
        <f>Tabela!G23</f>
        <v>Grupo H</v>
      </c>
      <c r="U22" s="92"/>
      <c r="V22" s="92"/>
      <c r="W22" s="92"/>
      <c r="X22">
        <f>Tabela!H23</f>
        <v>0</v>
      </c>
      <c r="Y22" s="2" t="s">
        <v>70</v>
      </c>
      <c r="Z22">
        <f>Tabela!J23</f>
        <v>0</v>
      </c>
      <c r="AA22" s="92">
        <f>Tabela!K23</f>
        <v>0</v>
      </c>
      <c r="AB22" s="92"/>
      <c r="AC22" s="92"/>
      <c r="AD22" s="92"/>
    </row>
    <row r="23" spans="1:30" x14ac:dyDescent="0.25">
      <c r="A23" s="20" t="s">
        <v>210</v>
      </c>
      <c r="B23" s="21"/>
      <c r="C23" s="21" t="s">
        <v>98</v>
      </c>
      <c r="D23" s="21"/>
      <c r="E23" s="24" t="s">
        <v>145</v>
      </c>
      <c r="H23" s="92" t="str">
        <f>Tabela!A24</f>
        <v>Dinamarca</v>
      </c>
      <c r="I23" s="92"/>
      <c r="J23" s="92"/>
      <c r="K23" s="92"/>
      <c r="L23" s="2">
        <f>Tabela!B24</f>
        <v>0</v>
      </c>
      <c r="M23" s="2" t="s">
        <v>70</v>
      </c>
      <c r="N23" s="2">
        <f>Tabela!D24</f>
        <v>0</v>
      </c>
      <c r="O23" s="92" t="str">
        <f>Tabela!E24</f>
        <v>Tunísia</v>
      </c>
      <c r="P23" s="92"/>
      <c r="Q23" s="92"/>
      <c r="R23" s="92"/>
      <c r="T23" s="92" t="str">
        <f>Tabela!G24</f>
        <v>Uruguai</v>
      </c>
      <c r="U23" s="92"/>
      <c r="V23" s="92"/>
      <c r="W23" s="92"/>
      <c r="X23">
        <f>Tabela!H24</f>
        <v>0</v>
      </c>
      <c r="Y23" s="2" t="s">
        <v>70</v>
      </c>
      <c r="Z23">
        <f>Tabela!J24</f>
        <v>0</v>
      </c>
      <c r="AA23" s="92" t="str">
        <f>Tabela!K24</f>
        <v>CoreiaDoSul</v>
      </c>
      <c r="AB23" s="92"/>
      <c r="AC23" s="92"/>
      <c r="AD23" s="92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92" t="str">
        <f>Tabela!A25</f>
        <v>França</v>
      </c>
      <c r="I24" s="92"/>
      <c r="J24" s="92"/>
      <c r="K24" s="92"/>
      <c r="L24" s="2">
        <f>Tabela!B25</f>
        <v>4</v>
      </c>
      <c r="M24" s="2" t="s">
        <v>70</v>
      </c>
      <c r="N24" s="2">
        <f>Tabela!D25</f>
        <v>1</v>
      </c>
      <c r="O24" s="92" t="str">
        <f>Tabela!E25</f>
        <v>Austrália</v>
      </c>
      <c r="P24" s="92"/>
      <c r="Q24" s="92"/>
      <c r="R24" s="92"/>
      <c r="T24" s="92" t="str">
        <f>Tabela!G25</f>
        <v>Portugal</v>
      </c>
      <c r="U24" s="92"/>
      <c r="V24" s="92"/>
      <c r="W24" s="92"/>
      <c r="X24">
        <f>Tabela!H25</f>
        <v>3</v>
      </c>
      <c r="Y24" s="2" t="s">
        <v>70</v>
      </c>
      <c r="Z24">
        <f>Tabela!J25</f>
        <v>2</v>
      </c>
      <c r="AA24" s="92" t="str">
        <f>Tabela!K25</f>
        <v>Gana</v>
      </c>
      <c r="AB24" s="92"/>
      <c r="AC24" s="92"/>
      <c r="AD24" s="92"/>
    </row>
    <row r="25" spans="1:30" x14ac:dyDescent="0.25">
      <c r="A25" s="20" t="s">
        <v>209</v>
      </c>
      <c r="B25" s="21"/>
      <c r="C25" s="21" t="s">
        <v>83</v>
      </c>
      <c r="D25" s="21"/>
      <c r="E25" s="19" t="s">
        <v>88</v>
      </c>
      <c r="H25" s="92" t="str">
        <f>Tabela!A26</f>
        <v>Tunísia</v>
      </c>
      <c r="I25" s="92"/>
      <c r="J25" s="92"/>
      <c r="K25" s="92"/>
      <c r="L25" s="2">
        <f>Tabela!B26</f>
        <v>0</v>
      </c>
      <c r="M25" s="2" t="s">
        <v>70</v>
      </c>
      <c r="N25" s="2">
        <f>Tabela!D26</f>
        <v>1</v>
      </c>
      <c r="O25" s="92" t="str">
        <f>Tabela!E26</f>
        <v>Austrália</v>
      </c>
      <c r="P25" s="92"/>
      <c r="Q25" s="92"/>
      <c r="R25" s="92"/>
      <c r="T25" s="92" t="str">
        <f>Tabela!G26</f>
        <v>CoreiaDoSul</v>
      </c>
      <c r="U25" s="92"/>
      <c r="V25" s="92"/>
      <c r="W25" s="92"/>
      <c r="X25">
        <f>Tabela!H26</f>
        <v>2</v>
      </c>
      <c r="Y25" s="2" t="s">
        <v>70</v>
      </c>
      <c r="Z25">
        <f>Tabela!J26</f>
        <v>3</v>
      </c>
      <c r="AA25" s="92" t="str">
        <f>Tabela!K26</f>
        <v>Gana</v>
      </c>
      <c r="AB25" s="92"/>
      <c r="AC25" s="92"/>
      <c r="AD25" s="92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92" t="str">
        <f>Tabela!A27</f>
        <v>França</v>
      </c>
      <c r="I26" s="92"/>
      <c r="J26" s="92"/>
      <c r="K26" s="92"/>
      <c r="L26" s="2">
        <f>Tabela!B27</f>
        <v>2</v>
      </c>
      <c r="M26" s="2" t="s">
        <v>70</v>
      </c>
      <c r="N26" s="2">
        <f>Tabela!D27</f>
        <v>1</v>
      </c>
      <c r="O26" s="92" t="str">
        <f>Tabela!E27</f>
        <v>Dinamarca</v>
      </c>
      <c r="P26" s="92"/>
      <c r="Q26" s="92"/>
      <c r="R26" s="92"/>
      <c r="T26" s="92" t="str">
        <f>Tabela!G27</f>
        <v>Portugal</v>
      </c>
      <c r="U26" s="92"/>
      <c r="V26" s="92"/>
      <c r="W26" s="92"/>
      <c r="X26">
        <f>Tabela!H27</f>
        <v>2</v>
      </c>
      <c r="Y26" s="2" t="s">
        <v>70</v>
      </c>
      <c r="Z26">
        <f>Tabela!J27</f>
        <v>0</v>
      </c>
      <c r="AA26" s="92" t="str">
        <f>Tabela!K27</f>
        <v>Uruguai</v>
      </c>
      <c r="AB26" s="92"/>
      <c r="AC26" s="92"/>
      <c r="AD26" s="92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92" t="str">
        <f>Tabela!A28</f>
        <v>Tunísia</v>
      </c>
      <c r="I27" s="92"/>
      <c r="J27" s="92"/>
      <c r="K27" s="92"/>
      <c r="L27" s="2">
        <f>Tabela!B28</f>
        <v>1</v>
      </c>
      <c r="M27" s="2" t="s">
        <v>70</v>
      </c>
      <c r="N27" s="2">
        <f>Tabela!D28</f>
        <v>0</v>
      </c>
      <c r="O27" s="92" t="str">
        <f>Tabela!E28</f>
        <v>França</v>
      </c>
      <c r="P27" s="92"/>
      <c r="Q27" s="92"/>
      <c r="R27" s="92"/>
      <c r="T27" s="92" t="str">
        <f>Tabela!G28</f>
        <v>CoreiaDoSul</v>
      </c>
      <c r="U27" s="92"/>
      <c r="V27" s="92"/>
      <c r="W27" s="92"/>
      <c r="X27">
        <f>Tabela!H28</f>
        <v>2</v>
      </c>
      <c r="Y27" s="2" t="s">
        <v>70</v>
      </c>
      <c r="Z27">
        <f>Tabela!J28</f>
        <v>1</v>
      </c>
      <c r="AA27" s="92" t="str">
        <f>Tabela!K28</f>
        <v>Portugal</v>
      </c>
      <c r="AB27" s="92"/>
      <c r="AC27" s="92"/>
      <c r="AD27" s="92"/>
    </row>
    <row r="28" spans="1:30" ht="15.75" thickBot="1" x14ac:dyDescent="0.3">
      <c r="A28" s="22" t="s">
        <v>206</v>
      </c>
      <c r="B28" s="23"/>
      <c r="C28" s="23" t="s">
        <v>21</v>
      </c>
      <c r="D28" s="23"/>
      <c r="E28" s="25"/>
      <c r="H28" s="92" t="str">
        <f>Tabela!A29</f>
        <v>Austrália</v>
      </c>
      <c r="I28" s="92"/>
      <c r="J28" s="92"/>
      <c r="K28" s="92"/>
      <c r="L28" s="2">
        <f>Tabela!B29</f>
        <v>1</v>
      </c>
      <c r="M28" s="2" t="s">
        <v>70</v>
      </c>
      <c r="N28" s="2">
        <f>Tabela!D29</f>
        <v>0</v>
      </c>
      <c r="O28" s="92" t="str">
        <f>Tabela!E29</f>
        <v>Dinamarca</v>
      </c>
      <c r="P28" s="92"/>
      <c r="Q28" s="92"/>
      <c r="R28" s="92"/>
      <c r="T28" s="92" t="str">
        <f>Tabela!G29</f>
        <v>Gana</v>
      </c>
      <c r="U28" s="92"/>
      <c r="V28" s="92"/>
      <c r="W28" s="92"/>
      <c r="X28">
        <f>Tabela!H29</f>
        <v>0</v>
      </c>
      <c r="Y28" s="2" t="s">
        <v>70</v>
      </c>
      <c r="Z28">
        <f>Tabela!J29</f>
        <v>2</v>
      </c>
      <c r="AA28" s="92" t="str">
        <f>Tabela!K29</f>
        <v>Uruguai</v>
      </c>
      <c r="AB28" s="92"/>
      <c r="AC28" s="92"/>
      <c r="AD28" s="92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92"/>
      <c r="P32" s="92"/>
      <c r="Q32" s="92"/>
      <c r="R32" s="92"/>
    </row>
    <row r="33" spans="15:18" x14ac:dyDescent="0.25">
      <c r="O33" s="92"/>
      <c r="P33" s="92"/>
      <c r="Q33" s="92"/>
      <c r="R33" s="92"/>
    </row>
    <row r="34" spans="15:18" x14ac:dyDescent="0.25">
      <c r="O34" s="92"/>
      <c r="P34" s="92"/>
      <c r="Q34" s="92"/>
      <c r="R34" s="92"/>
    </row>
    <row r="35" spans="15:18" x14ac:dyDescent="0.25">
      <c r="O35" s="92"/>
      <c r="P35" s="92"/>
      <c r="Q35" s="92"/>
      <c r="R35" s="92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Ivan (2)</vt:lpstr>
      <vt:lpstr>Seleções</vt:lpstr>
      <vt:lpstr>Jean (2)</vt:lpstr>
      <vt:lpstr>Simulador</vt:lpstr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 (2)</vt:lpstr>
      <vt:lpstr>Luana</vt:lpstr>
      <vt:lpstr>Mácio (2)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2022-12-03T16:26:27Z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2022-12-03T16:26:27Z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2cf87ce8-b915-4cdc-a1d7-76dfdb13a004</vt:lpwstr>
  </property>
  <property fmtid="{D5CDD505-2E9C-101B-9397-08002B2CF9AE}" pid="8" name="MSIP_Label_c06de4a7-0f08-40d9-aeea-6b6c28cbe58e_ContentBits">
    <vt:lpwstr>2</vt:lpwstr>
  </property>
</Properties>
</file>