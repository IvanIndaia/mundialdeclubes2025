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65487994-CD98-4C67-9C00-4142DA6BE78F}" xr6:coauthVersionLast="47" xr6:coauthVersionMax="47" xr10:uidLastSave="{00000000-0000-0000-0000-000000000000}"/>
  <bookViews>
    <workbookView xWindow="-108" yWindow="-108" windowWidth="23256" windowHeight="12456" tabRatio="891" firstSheet="2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7" i="31"/>
  <c r="L15" i="31"/>
  <c r="L18" i="31"/>
  <c r="L22" i="31"/>
  <c r="L4" i="31"/>
  <c r="L8" i="31"/>
  <c r="L14" i="31"/>
  <c r="L10" i="31"/>
  <c r="L3" i="31"/>
  <c r="L19" i="31"/>
  <c r="L12" i="31"/>
  <c r="L9" i="31"/>
  <c r="L21" i="31"/>
  <c r="L11" i="31"/>
  <c r="L6" i="31"/>
  <c r="L23" i="31"/>
  <c r="L16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<sst xmlns="http://schemas.openxmlformats.org/spreadsheetml/2006/main" count="3666" uniqueCount="288">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</sst>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5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0" t="s">
        <v>201</v>
      </c>
      <c r="C2" s="130"/>
      <c r="D2" s="130"/>
      <c r="E2" s="2">
        <v>1</v>
      </c>
      <c r="F2" s="2"/>
      <c r="G2" s="2">
        <v>1</v>
      </c>
      <c r="H2" s="130" t="s">
        <v>202</v>
      </c>
      <c r="I2" s="130"/>
      <c r="J2" s="130"/>
      <c r="L2" t="s">
        <v>282</v>
      </c>
    </row>
    <row r="4" spans="2:12" x14ac:dyDescent="0.3">
      <c r="B4" s="130" t="s">
        <v>195</v>
      </c>
      <c r="C4" s="130"/>
      <c r="D4" s="130"/>
      <c r="E4" s="2">
        <v>2</v>
      </c>
      <c r="F4" s="2"/>
      <c r="G4" s="2">
        <v>0</v>
      </c>
      <c r="H4" s="130" t="s">
        <v>196</v>
      </c>
      <c r="I4" s="130"/>
      <c r="J4" s="130"/>
      <c r="L4" t="s">
        <v>266</v>
      </c>
    </row>
    <row r="5" spans="2:12" x14ac:dyDescent="0.3">
      <c r="B5" s="130" t="s">
        <v>197</v>
      </c>
      <c r="C5" s="130"/>
      <c r="D5" s="130"/>
      <c r="E5" s="2">
        <v>2</v>
      </c>
      <c r="F5" s="2"/>
      <c r="G5" s="2">
        <v>0</v>
      </c>
      <c r="H5" s="130" t="s">
        <v>198</v>
      </c>
      <c r="I5" s="130"/>
      <c r="J5" s="130"/>
    </row>
    <row r="7" spans="2:12" x14ac:dyDescent="0.3">
      <c r="B7" s="130" t="s">
        <v>185</v>
      </c>
      <c r="C7" s="130"/>
      <c r="D7" s="130"/>
      <c r="E7" s="2">
        <v>2</v>
      </c>
      <c r="F7" s="2"/>
      <c r="G7" s="2">
        <v>0</v>
      </c>
      <c r="H7" s="130" t="s">
        <v>183</v>
      </c>
      <c r="I7" s="130"/>
      <c r="J7" s="130"/>
      <c r="L7" t="s">
        <v>265</v>
      </c>
    </row>
    <row r="8" spans="2:12" x14ac:dyDescent="0.3">
      <c r="B8" s="130" t="s">
        <v>195</v>
      </c>
      <c r="C8" s="130"/>
      <c r="D8" s="130"/>
      <c r="E8" s="2">
        <v>2</v>
      </c>
      <c r="F8" s="2"/>
      <c r="G8" s="2">
        <v>0</v>
      </c>
      <c r="H8" s="130" t="s">
        <v>196</v>
      </c>
      <c r="I8" s="130"/>
      <c r="J8" s="130"/>
    </row>
    <row r="9" spans="2:12" x14ac:dyDescent="0.3">
      <c r="B9" s="130" t="s">
        <v>199</v>
      </c>
      <c r="C9" s="130"/>
      <c r="D9" s="130"/>
      <c r="E9" s="2">
        <v>0</v>
      </c>
      <c r="F9" s="2"/>
      <c r="G9" s="2">
        <v>0</v>
      </c>
      <c r="H9" s="130" t="s">
        <v>201</v>
      </c>
      <c r="I9" s="130"/>
      <c r="J9" s="130"/>
    </row>
    <row r="10" spans="2:12" x14ac:dyDescent="0.3">
      <c r="B10" s="130" t="s">
        <v>207</v>
      </c>
      <c r="C10" s="130"/>
      <c r="D10" s="130"/>
      <c r="E10" s="2">
        <v>2</v>
      </c>
      <c r="F10" s="2"/>
      <c r="G10" s="2">
        <v>0</v>
      </c>
      <c r="H10" s="130" t="s">
        <v>208</v>
      </c>
      <c r="I10" s="130"/>
      <c r="J10" s="130"/>
    </row>
    <row r="12" spans="2:12" x14ac:dyDescent="0.3">
      <c r="B12" s="130" t="s">
        <v>189</v>
      </c>
      <c r="C12" s="130"/>
      <c r="D12" s="130"/>
      <c r="E12" s="2">
        <v>2</v>
      </c>
      <c r="F12" s="2"/>
      <c r="G12" s="2">
        <v>1</v>
      </c>
      <c r="H12" s="130" t="s">
        <v>190</v>
      </c>
      <c r="I12" s="130"/>
      <c r="J12" s="130"/>
      <c r="L12" t="s">
        <v>255</v>
      </c>
    </row>
    <row r="13" spans="2:12" x14ac:dyDescent="0.3">
      <c r="B13" s="130" t="s">
        <v>190</v>
      </c>
      <c r="C13" s="130"/>
      <c r="D13" s="130"/>
      <c r="E13" s="2">
        <v>1</v>
      </c>
      <c r="F13" s="2"/>
      <c r="G13" s="2">
        <v>3</v>
      </c>
      <c r="H13" s="130" t="s">
        <v>188</v>
      </c>
      <c r="I13" s="130"/>
      <c r="J13" s="130"/>
    </row>
    <row r="14" spans="2:12" x14ac:dyDescent="0.3">
      <c r="B14" s="130" t="s">
        <v>195</v>
      </c>
      <c r="C14" s="130"/>
      <c r="D14" s="130"/>
      <c r="E14" s="2">
        <v>2</v>
      </c>
      <c r="F14" s="2"/>
      <c r="G14" s="2">
        <v>0</v>
      </c>
      <c r="H14" s="130" t="s">
        <v>196</v>
      </c>
      <c r="I14" s="130"/>
      <c r="J14" s="130"/>
    </row>
    <row r="15" spans="2:12" x14ac:dyDescent="0.3">
      <c r="B15" s="130" t="s">
        <v>213</v>
      </c>
      <c r="C15" s="130"/>
      <c r="D15" s="130"/>
      <c r="E15" s="2">
        <v>1</v>
      </c>
      <c r="F15" s="2"/>
      <c r="G15" s="2">
        <v>2</v>
      </c>
      <c r="H15" s="130" t="s">
        <v>214</v>
      </c>
      <c r="I15" s="130"/>
      <c r="J15" s="130"/>
    </row>
    <row r="17" spans="2:12" x14ac:dyDescent="0.3">
      <c r="B17" s="130" t="s">
        <v>184</v>
      </c>
      <c r="C17" s="130"/>
      <c r="D17" s="130"/>
      <c r="E17" s="2">
        <v>2</v>
      </c>
      <c r="F17" s="2"/>
      <c r="G17" s="2">
        <v>1</v>
      </c>
      <c r="H17" s="130" t="s">
        <v>186</v>
      </c>
      <c r="I17" s="130"/>
      <c r="J17" s="130"/>
      <c r="L17" t="s">
        <v>274</v>
      </c>
    </row>
    <row r="18" spans="2:12" x14ac:dyDescent="0.3">
      <c r="B18" s="130" t="s">
        <v>197</v>
      </c>
      <c r="C18" s="130"/>
      <c r="D18" s="130"/>
      <c r="E18" s="2">
        <v>2</v>
      </c>
      <c r="F18" s="2"/>
      <c r="G18" s="2">
        <v>0</v>
      </c>
      <c r="H18" s="130" t="s">
        <v>198</v>
      </c>
      <c r="I18" s="130"/>
      <c r="J18" s="130"/>
    </row>
    <row r="19" spans="2:12" x14ac:dyDescent="0.3">
      <c r="B19" s="130" t="s">
        <v>210</v>
      </c>
      <c r="C19" s="130"/>
      <c r="D19" s="130"/>
      <c r="E19" s="2">
        <v>3</v>
      </c>
      <c r="F19" s="2"/>
      <c r="G19" s="2">
        <v>1</v>
      </c>
      <c r="H19" s="130" t="s">
        <v>208</v>
      </c>
      <c r="I19" s="130"/>
      <c r="J19" s="130"/>
    </row>
    <row r="21" spans="2:12" x14ac:dyDescent="0.3">
      <c r="B21" s="130" t="s">
        <v>185</v>
      </c>
      <c r="C21" s="130"/>
      <c r="D21" s="130"/>
      <c r="E21" s="2">
        <v>2</v>
      </c>
      <c r="F21" s="2"/>
      <c r="G21" s="2">
        <v>0</v>
      </c>
      <c r="H21" s="130" t="s">
        <v>183</v>
      </c>
      <c r="I21" s="130"/>
      <c r="J21" s="130"/>
      <c r="L21" t="s">
        <v>286</v>
      </c>
    </row>
    <row r="22" spans="2:12" x14ac:dyDescent="0.3">
      <c r="B22" s="130" t="s">
        <v>213</v>
      </c>
      <c r="C22" s="130"/>
      <c r="D22" s="130"/>
      <c r="E22" s="2">
        <v>1</v>
      </c>
      <c r="F22" s="2"/>
      <c r="G22" s="2">
        <v>2</v>
      </c>
      <c r="H22" s="130" t="s">
        <v>214</v>
      </c>
      <c r="I22" s="130"/>
      <c r="J22" s="130"/>
    </row>
    <row r="24" spans="2:12" x14ac:dyDescent="0.3">
      <c r="B24" s="130" t="s">
        <v>213</v>
      </c>
      <c r="C24" s="130"/>
      <c r="D24" s="130"/>
      <c r="E24" s="2">
        <v>1</v>
      </c>
      <c r="F24" s="2"/>
      <c r="G24" s="2">
        <v>2</v>
      </c>
      <c r="H24" s="130" t="s">
        <v>214</v>
      </c>
      <c r="I24" s="130"/>
      <c r="J24" s="130"/>
      <c r="L24" t="s">
        <v>285</v>
      </c>
    </row>
    <row r="25" spans="2:12" x14ac:dyDescent="0.3">
      <c r="B25" s="130" t="s">
        <v>213</v>
      </c>
      <c r="C25" s="130"/>
      <c r="D25" s="130"/>
      <c r="E25" s="2">
        <v>1</v>
      </c>
      <c r="F25" s="2"/>
      <c r="G25" s="2">
        <v>2</v>
      </c>
      <c r="H25" s="130" t="s">
        <v>214</v>
      </c>
      <c r="I25" s="130"/>
      <c r="J25" s="130"/>
    </row>
    <row r="27" spans="2:12" x14ac:dyDescent="0.3">
      <c r="B27" s="130" t="s">
        <v>191</v>
      </c>
      <c r="C27" s="130"/>
      <c r="D27" s="130"/>
      <c r="E27" s="2">
        <v>2</v>
      </c>
      <c r="F27" s="2"/>
      <c r="G27" s="2">
        <v>1</v>
      </c>
      <c r="H27" s="130" t="s">
        <v>193</v>
      </c>
      <c r="I27" s="130"/>
      <c r="J27" s="130"/>
      <c r="L27" t="s">
        <v>284</v>
      </c>
    </row>
    <row r="28" spans="2:12" x14ac:dyDescent="0.3">
      <c r="B28" s="130" t="s">
        <v>202</v>
      </c>
      <c r="C28" s="130"/>
      <c r="D28" s="130"/>
      <c r="E28" s="2">
        <v>2</v>
      </c>
      <c r="F28" s="2"/>
      <c r="G28" s="2">
        <v>1</v>
      </c>
      <c r="H28" s="130" t="s">
        <v>200</v>
      </c>
      <c r="I28" s="130"/>
      <c r="J28" s="130"/>
    </row>
    <row r="29" spans="2:12" x14ac:dyDescent="0.3">
      <c r="B29" s="130" t="s">
        <v>213</v>
      </c>
      <c r="C29" s="130"/>
      <c r="D29" s="130"/>
      <c r="E29" s="2">
        <v>1</v>
      </c>
      <c r="F29" s="2"/>
      <c r="G29" s="2">
        <v>2</v>
      </c>
      <c r="H29" s="130" t="s">
        <v>214</v>
      </c>
      <c r="I29" s="130"/>
      <c r="J29" s="130"/>
    </row>
    <row r="31" spans="2:12" x14ac:dyDescent="0.3">
      <c r="B31" s="130" t="s">
        <v>190</v>
      </c>
      <c r="C31" s="130"/>
      <c r="D31" s="130"/>
      <c r="E31" s="2">
        <v>1</v>
      </c>
      <c r="F31" s="2"/>
      <c r="G31" s="2">
        <v>3</v>
      </c>
      <c r="H31" s="130" t="s">
        <v>188</v>
      </c>
      <c r="I31" s="130"/>
      <c r="J31" s="130"/>
      <c r="L31" t="s">
        <v>273</v>
      </c>
    </row>
    <row r="32" spans="2:12" x14ac:dyDescent="0.3">
      <c r="B32" s="130" t="s">
        <v>197</v>
      </c>
      <c r="C32" s="130"/>
      <c r="D32" s="130"/>
      <c r="E32" s="2">
        <v>2</v>
      </c>
      <c r="F32" s="2"/>
      <c r="G32" s="2">
        <v>0</v>
      </c>
      <c r="H32" s="130" t="s">
        <v>198</v>
      </c>
      <c r="I32" s="130"/>
      <c r="J32" s="130"/>
    </row>
    <row r="33" spans="2:12" x14ac:dyDescent="0.3">
      <c r="B33" s="130" t="s">
        <v>205</v>
      </c>
      <c r="C33" s="130"/>
      <c r="D33" s="130"/>
      <c r="E33" s="2">
        <v>0</v>
      </c>
      <c r="F33" s="2"/>
      <c r="G33" s="2">
        <v>1</v>
      </c>
      <c r="H33" s="130" t="s">
        <v>206</v>
      </c>
      <c r="I33" s="130"/>
      <c r="J33" s="130"/>
    </row>
    <row r="35" spans="2:12" x14ac:dyDescent="0.3">
      <c r="B35" s="130" t="s">
        <v>191</v>
      </c>
      <c r="C35" s="130"/>
      <c r="D35" s="130"/>
      <c r="E35" s="2">
        <v>2</v>
      </c>
      <c r="F35" s="2"/>
      <c r="G35" s="2">
        <v>1</v>
      </c>
      <c r="H35" s="130" t="s">
        <v>193</v>
      </c>
      <c r="I35" s="130"/>
      <c r="J35" s="130"/>
      <c r="L35" t="s">
        <v>264</v>
      </c>
    </row>
    <row r="36" spans="2:12" x14ac:dyDescent="0.3">
      <c r="B36" s="130" t="s">
        <v>195</v>
      </c>
      <c r="C36" s="130"/>
      <c r="D36" s="130"/>
      <c r="E36" s="2">
        <v>2</v>
      </c>
      <c r="F36" s="2"/>
      <c r="G36" s="2">
        <v>0</v>
      </c>
      <c r="H36" s="130" t="s">
        <v>196</v>
      </c>
      <c r="I36" s="130"/>
      <c r="J36" s="130"/>
    </row>
    <row r="37" spans="2:12" x14ac:dyDescent="0.3">
      <c r="B37" s="130" t="s">
        <v>202</v>
      </c>
      <c r="C37" s="130"/>
      <c r="D37" s="130"/>
      <c r="E37" s="2">
        <v>2</v>
      </c>
      <c r="F37" s="2"/>
      <c r="G37" s="2">
        <v>1</v>
      </c>
      <c r="H37" s="130" t="s">
        <v>200</v>
      </c>
      <c r="I37" s="130"/>
      <c r="J37" s="130"/>
    </row>
    <row r="38" spans="2:12" x14ac:dyDescent="0.3">
      <c r="B38" s="130" t="s">
        <v>213</v>
      </c>
      <c r="C38" s="130"/>
      <c r="D38" s="130"/>
      <c r="E38" s="2">
        <v>1</v>
      </c>
      <c r="F38" s="2"/>
      <c r="G38" s="2">
        <v>2</v>
      </c>
      <c r="H38" s="130" t="s">
        <v>214</v>
      </c>
      <c r="I38" s="130"/>
      <c r="J38" s="130"/>
    </row>
    <row r="40" spans="2:12" x14ac:dyDescent="0.3">
      <c r="B40" s="130" t="s">
        <v>190</v>
      </c>
      <c r="C40" s="130"/>
      <c r="D40" s="130"/>
      <c r="E40" s="2">
        <v>1</v>
      </c>
      <c r="F40" s="2"/>
      <c r="G40" s="2">
        <v>3</v>
      </c>
      <c r="H40" s="130" t="s">
        <v>188</v>
      </c>
      <c r="I40" s="130"/>
      <c r="J40" s="130"/>
      <c r="L40" t="s">
        <v>263</v>
      </c>
    </row>
    <row r="41" spans="2:12" x14ac:dyDescent="0.3">
      <c r="B41" s="130" t="s">
        <v>195</v>
      </c>
      <c r="C41" s="130"/>
      <c r="D41" s="130"/>
      <c r="E41" s="2">
        <v>2</v>
      </c>
      <c r="F41" s="2"/>
      <c r="G41" s="2">
        <v>0</v>
      </c>
      <c r="H41" s="130" t="s">
        <v>196</v>
      </c>
      <c r="I41" s="130"/>
      <c r="J41" s="130"/>
    </row>
    <row r="42" spans="2:12" x14ac:dyDescent="0.3">
      <c r="B42" s="130" t="s">
        <v>207</v>
      </c>
      <c r="C42" s="130"/>
      <c r="D42" s="130"/>
      <c r="E42" s="2">
        <v>2</v>
      </c>
      <c r="F42" s="2"/>
      <c r="G42" s="2">
        <v>0</v>
      </c>
      <c r="H42" s="130" t="s">
        <v>208</v>
      </c>
      <c r="I42" s="130"/>
      <c r="J42" s="130"/>
    </row>
    <row r="44" spans="2:12" x14ac:dyDescent="0.3">
      <c r="B44" s="130" t="s">
        <v>196</v>
      </c>
      <c r="C44" s="130"/>
      <c r="D44" s="130"/>
      <c r="E44" s="2">
        <v>0</v>
      </c>
      <c r="F44" s="2"/>
      <c r="G44" s="2">
        <v>1</v>
      </c>
      <c r="H44" s="130" t="s">
        <v>198</v>
      </c>
      <c r="I44" s="130"/>
      <c r="J44" s="130"/>
      <c r="L44" t="s">
        <v>281</v>
      </c>
    </row>
    <row r="45" spans="2:12" x14ac:dyDescent="0.3">
      <c r="B45" s="130" t="s">
        <v>203</v>
      </c>
      <c r="C45" s="130"/>
      <c r="D45" s="130"/>
      <c r="E45" s="2">
        <v>0</v>
      </c>
      <c r="F45" s="2"/>
      <c r="G45" s="2">
        <v>0</v>
      </c>
      <c r="H45" s="130" t="s">
        <v>218</v>
      </c>
      <c r="I45" s="130"/>
      <c r="J45" s="130"/>
    </row>
    <row r="47" spans="2:12" x14ac:dyDescent="0.3">
      <c r="B47" s="130" t="s">
        <v>185</v>
      </c>
      <c r="C47" s="130"/>
      <c r="D47" s="130"/>
      <c r="E47" s="2">
        <v>2</v>
      </c>
      <c r="F47" s="2"/>
      <c r="G47" s="2">
        <v>0</v>
      </c>
      <c r="H47" s="130" t="s">
        <v>183</v>
      </c>
      <c r="I47" s="130"/>
      <c r="J47" s="130"/>
      <c r="L47" t="s">
        <v>254</v>
      </c>
    </row>
    <row r="48" spans="2:12" x14ac:dyDescent="0.3">
      <c r="B48" s="130" t="s">
        <v>189</v>
      </c>
      <c r="C48" s="130"/>
      <c r="D48" s="130"/>
      <c r="E48" s="2">
        <v>2</v>
      </c>
      <c r="F48" s="2"/>
      <c r="G48" s="2">
        <v>1</v>
      </c>
      <c r="H48" s="130" t="s">
        <v>190</v>
      </c>
      <c r="I48" s="130"/>
      <c r="J48" s="130"/>
    </row>
    <row r="49" spans="2:12" x14ac:dyDescent="0.3">
      <c r="B49" s="130" t="s">
        <v>213</v>
      </c>
      <c r="C49" s="130"/>
      <c r="D49" s="130"/>
      <c r="E49" s="2">
        <v>1</v>
      </c>
      <c r="F49" s="2"/>
      <c r="G49" s="2">
        <v>2</v>
      </c>
      <c r="H49" s="130" t="s">
        <v>214</v>
      </c>
      <c r="I49" s="130"/>
      <c r="J49" s="130"/>
    </row>
    <row r="51" spans="2:12" x14ac:dyDescent="0.3">
      <c r="B51" s="130" t="s">
        <v>195</v>
      </c>
      <c r="C51" s="130"/>
      <c r="D51" s="130"/>
      <c r="E51" s="2">
        <v>2</v>
      </c>
      <c r="F51" s="2"/>
      <c r="G51" s="2">
        <v>0</v>
      </c>
      <c r="H51" s="130" t="s">
        <v>196</v>
      </c>
      <c r="I51" s="130"/>
      <c r="J51" s="130"/>
      <c r="L51" t="s">
        <v>262</v>
      </c>
    </row>
    <row r="52" spans="2:12" x14ac:dyDescent="0.3">
      <c r="B52" s="130" t="s">
        <v>202</v>
      </c>
      <c r="C52" s="130"/>
      <c r="D52" s="130"/>
      <c r="E52" s="2">
        <v>2</v>
      </c>
      <c r="F52" s="2"/>
      <c r="G52" s="2">
        <v>1</v>
      </c>
      <c r="H52" s="130" t="s">
        <v>200</v>
      </c>
      <c r="I52" s="130"/>
      <c r="J52" s="130"/>
    </row>
    <row r="53" spans="2:12" x14ac:dyDescent="0.3">
      <c r="B53" s="130" t="s">
        <v>207</v>
      </c>
      <c r="C53" s="130"/>
      <c r="D53" s="130"/>
      <c r="E53" s="2">
        <v>2</v>
      </c>
      <c r="F53" s="2"/>
      <c r="G53" s="2">
        <v>0</v>
      </c>
      <c r="H53" s="130" t="s">
        <v>208</v>
      </c>
      <c r="I53" s="130"/>
      <c r="J53" s="130"/>
    </row>
    <row r="55" spans="2:12" x14ac:dyDescent="0.3">
      <c r="B55" s="130" t="s">
        <v>185</v>
      </c>
      <c r="C55" s="130"/>
      <c r="D55" s="130"/>
      <c r="E55" s="2">
        <v>2</v>
      </c>
      <c r="F55" s="2"/>
      <c r="G55" s="2">
        <v>0</v>
      </c>
      <c r="H55" s="130" t="s">
        <v>183</v>
      </c>
      <c r="I55" s="130"/>
      <c r="J55" s="130"/>
      <c r="L55" t="s">
        <v>272</v>
      </c>
    </row>
    <row r="56" spans="2:12" x14ac:dyDescent="0.3">
      <c r="B56" s="130" t="s">
        <v>197</v>
      </c>
      <c r="C56" s="130"/>
      <c r="D56" s="130"/>
      <c r="E56" s="2">
        <v>2</v>
      </c>
      <c r="F56" s="2"/>
      <c r="G56" s="2">
        <v>0</v>
      </c>
      <c r="H56" s="130" t="s">
        <v>198</v>
      </c>
      <c r="I56" s="130"/>
      <c r="J56" s="130"/>
    </row>
    <row r="57" spans="2:12" x14ac:dyDescent="0.3">
      <c r="B57" s="130" t="s">
        <v>202</v>
      </c>
      <c r="C57" s="130"/>
      <c r="D57" s="130"/>
      <c r="E57" s="2">
        <v>2</v>
      </c>
      <c r="F57" s="2"/>
      <c r="G57" s="2">
        <v>1</v>
      </c>
      <c r="H57" s="130" t="s">
        <v>200</v>
      </c>
      <c r="I57" s="130"/>
      <c r="J57" s="130"/>
    </row>
    <row r="58" spans="2:12" x14ac:dyDescent="0.3">
      <c r="B58" s="130" t="s">
        <v>207</v>
      </c>
      <c r="C58" s="130"/>
      <c r="D58" s="130"/>
      <c r="E58" s="2">
        <v>2</v>
      </c>
      <c r="F58" s="2"/>
      <c r="G58" s="2">
        <v>0</v>
      </c>
      <c r="H58" s="130" t="s">
        <v>208</v>
      </c>
      <c r="I58" s="130"/>
      <c r="J58" s="130"/>
    </row>
    <row r="59" spans="2:12" x14ac:dyDescent="0.3">
      <c r="B59" s="130" t="s">
        <v>213</v>
      </c>
      <c r="C59" s="130"/>
      <c r="D59" s="130"/>
      <c r="E59" s="2">
        <v>1</v>
      </c>
      <c r="F59" s="2"/>
      <c r="G59" s="2">
        <v>2</v>
      </c>
      <c r="H59" s="130" t="s">
        <v>214</v>
      </c>
      <c r="I59" s="130"/>
      <c r="J59" s="130"/>
    </row>
    <row r="61" spans="2:12" x14ac:dyDescent="0.3">
      <c r="B61" s="130" t="s">
        <v>190</v>
      </c>
      <c r="C61" s="130"/>
      <c r="D61" s="130"/>
      <c r="E61" s="2">
        <v>1</v>
      </c>
      <c r="F61" s="2"/>
      <c r="G61" s="2">
        <v>3</v>
      </c>
      <c r="H61" s="130" t="s">
        <v>188</v>
      </c>
      <c r="I61" s="130"/>
      <c r="J61" s="130"/>
      <c r="L61" t="s">
        <v>261</v>
      </c>
    </row>
    <row r="62" spans="2:12" x14ac:dyDescent="0.3">
      <c r="B62" s="130" t="s">
        <v>191</v>
      </c>
      <c r="C62" s="130"/>
      <c r="D62" s="130"/>
      <c r="E62" s="2">
        <v>2</v>
      </c>
      <c r="F62" s="2"/>
      <c r="G62" s="2">
        <v>1</v>
      </c>
      <c r="H62" s="130" t="s">
        <v>193</v>
      </c>
      <c r="I62" s="130"/>
      <c r="J62" s="130"/>
    </row>
    <row r="63" spans="2:12" x14ac:dyDescent="0.3">
      <c r="B63" s="130" t="s">
        <v>195</v>
      </c>
      <c r="C63" s="130"/>
      <c r="D63" s="130"/>
      <c r="E63" s="2">
        <v>2</v>
      </c>
      <c r="F63" s="2"/>
      <c r="G63" s="2">
        <v>0</v>
      </c>
      <c r="H63" s="130" t="s">
        <v>196</v>
      </c>
      <c r="I63" s="130"/>
      <c r="J63" s="130"/>
    </row>
    <row r="64" spans="2:12" x14ac:dyDescent="0.3">
      <c r="B64" s="130" t="s">
        <v>199</v>
      </c>
      <c r="C64" s="130"/>
      <c r="D64" s="130"/>
      <c r="E64" s="2">
        <v>0</v>
      </c>
      <c r="F64" s="2"/>
      <c r="G64" s="2">
        <v>0</v>
      </c>
      <c r="H64" s="130" t="s">
        <v>201</v>
      </c>
      <c r="I64" s="130"/>
      <c r="J64" s="130"/>
    </row>
    <row r="65" spans="2:12" x14ac:dyDescent="0.3">
      <c r="B65" s="130" t="s">
        <v>207</v>
      </c>
      <c r="C65" s="130"/>
      <c r="D65" s="130"/>
      <c r="E65" s="2">
        <v>2</v>
      </c>
      <c r="F65" s="2"/>
      <c r="G65" s="2">
        <v>0</v>
      </c>
      <c r="H65" s="130" t="s">
        <v>208</v>
      </c>
      <c r="I65" s="130"/>
      <c r="J65" s="130"/>
    </row>
    <row r="67" spans="2:12" x14ac:dyDescent="0.3">
      <c r="B67" s="130" t="s">
        <v>195</v>
      </c>
      <c r="C67" s="130"/>
      <c r="D67" s="130"/>
      <c r="E67" s="2">
        <v>2</v>
      </c>
      <c r="F67" s="2"/>
      <c r="G67" s="2">
        <v>0</v>
      </c>
      <c r="H67" s="130" t="s">
        <v>196</v>
      </c>
      <c r="I67" s="130"/>
      <c r="J67" s="130"/>
      <c r="L67" t="s">
        <v>260</v>
      </c>
    </row>
    <row r="68" spans="2:12" x14ac:dyDescent="0.3">
      <c r="B68" s="130" t="s">
        <v>213</v>
      </c>
      <c r="C68" s="130"/>
      <c r="D68" s="130"/>
      <c r="E68" s="2">
        <v>1</v>
      </c>
      <c r="F68" s="2"/>
      <c r="G68" s="2">
        <v>2</v>
      </c>
      <c r="H68" s="130" t="s">
        <v>214</v>
      </c>
      <c r="I68" s="130"/>
      <c r="J68" s="130"/>
    </row>
    <row r="70" spans="2:12" x14ac:dyDescent="0.3">
      <c r="B70" s="130" t="s">
        <v>189</v>
      </c>
      <c r="C70" s="130"/>
      <c r="D70" s="130"/>
      <c r="E70" s="2">
        <v>2</v>
      </c>
      <c r="F70" s="2"/>
      <c r="G70" s="2">
        <v>1</v>
      </c>
      <c r="H70" s="130" t="s">
        <v>190</v>
      </c>
      <c r="I70" s="130"/>
      <c r="J70" s="130"/>
      <c r="L70" t="s">
        <v>253</v>
      </c>
    </row>
    <row r="71" spans="2:12" x14ac:dyDescent="0.3">
      <c r="B71" s="130" t="s">
        <v>207</v>
      </c>
      <c r="C71" s="130"/>
      <c r="D71" s="130"/>
      <c r="E71" s="2">
        <v>2</v>
      </c>
      <c r="F71" s="2"/>
      <c r="G71" s="2">
        <v>0</v>
      </c>
      <c r="H71" s="130" t="s">
        <v>208</v>
      </c>
      <c r="I71" s="130"/>
      <c r="J71" s="130"/>
    </row>
    <row r="73" spans="2:12" x14ac:dyDescent="0.3">
      <c r="B73" s="130" t="s">
        <v>189</v>
      </c>
      <c r="C73" s="130"/>
      <c r="D73" s="130"/>
      <c r="E73" s="2">
        <v>2</v>
      </c>
      <c r="F73" s="2"/>
      <c r="G73" s="2">
        <v>1</v>
      </c>
      <c r="H73" s="130" t="s">
        <v>190</v>
      </c>
      <c r="I73" s="130"/>
      <c r="J73" s="130"/>
      <c r="L73" t="s">
        <v>252</v>
      </c>
    </row>
    <row r="74" spans="2:12" x14ac:dyDescent="0.3">
      <c r="B74" s="130" t="s">
        <v>193</v>
      </c>
      <c r="C74" s="130"/>
      <c r="D74" s="130"/>
      <c r="E74" s="2">
        <v>2</v>
      </c>
      <c r="F74" s="2"/>
      <c r="G74" s="2">
        <v>2</v>
      </c>
      <c r="H74" s="130" t="s">
        <v>194</v>
      </c>
      <c r="I74" s="130"/>
      <c r="J74" s="130"/>
    </row>
    <row r="75" spans="2:12" x14ac:dyDescent="0.3">
      <c r="B75" s="130" t="s">
        <v>195</v>
      </c>
      <c r="C75" s="130"/>
      <c r="D75" s="130"/>
      <c r="E75" s="2">
        <v>2</v>
      </c>
      <c r="F75" s="2"/>
      <c r="G75" s="2">
        <v>0</v>
      </c>
      <c r="H75" s="130" t="s">
        <v>196</v>
      </c>
      <c r="I75" s="130"/>
      <c r="J75" s="130"/>
    </row>
    <row r="76" spans="2:12" x14ac:dyDescent="0.3">
      <c r="B76" s="130" t="s">
        <v>197</v>
      </c>
      <c r="C76" s="130"/>
      <c r="D76" s="130"/>
      <c r="E76" s="2">
        <v>2</v>
      </c>
      <c r="F76" s="2"/>
      <c r="G76" s="2">
        <v>0</v>
      </c>
      <c r="H76" s="130" t="s">
        <v>198</v>
      </c>
      <c r="I76" s="130"/>
      <c r="J76" s="130"/>
    </row>
    <row r="77" spans="2:12" x14ac:dyDescent="0.3">
      <c r="B77" s="130" t="s">
        <v>202</v>
      </c>
      <c r="C77" s="130"/>
      <c r="D77" s="130"/>
      <c r="E77" s="2">
        <v>2</v>
      </c>
      <c r="F77" s="2"/>
      <c r="G77" s="2">
        <v>1</v>
      </c>
      <c r="H77" s="130" t="s">
        <v>200</v>
      </c>
      <c r="I77" s="130"/>
      <c r="J77" s="130"/>
    </row>
    <row r="79" spans="2:12" x14ac:dyDescent="0.3">
      <c r="B79" s="130" t="s">
        <v>195</v>
      </c>
      <c r="C79" s="130"/>
      <c r="D79" s="130"/>
      <c r="E79" s="2">
        <v>2</v>
      </c>
      <c r="F79" s="2"/>
      <c r="G79" s="2">
        <v>0</v>
      </c>
      <c r="H79" s="130" t="s">
        <v>196</v>
      </c>
      <c r="I79" s="130"/>
      <c r="J79" s="130"/>
      <c r="L79" t="s">
        <v>259</v>
      </c>
    </row>
    <row r="80" spans="2:12" x14ac:dyDescent="0.3">
      <c r="B80" s="130" t="s">
        <v>210</v>
      </c>
      <c r="C80" s="130"/>
      <c r="D80" s="130"/>
      <c r="E80" s="2">
        <v>3</v>
      </c>
      <c r="F80" s="2"/>
      <c r="G80" s="2">
        <v>1</v>
      </c>
      <c r="H80" s="130" t="s">
        <v>208</v>
      </c>
      <c r="I80" s="130"/>
      <c r="J80" s="130"/>
    </row>
    <row r="82" spans="2:12" x14ac:dyDescent="0.3">
      <c r="B82" s="130" t="s">
        <v>184</v>
      </c>
      <c r="C82" s="130"/>
      <c r="D82" s="130"/>
      <c r="E82" s="2">
        <v>2</v>
      </c>
      <c r="F82" s="2"/>
      <c r="G82" s="2">
        <v>1</v>
      </c>
      <c r="H82" s="130" t="s">
        <v>186</v>
      </c>
      <c r="I82" s="130"/>
      <c r="J82" s="130"/>
      <c r="L82" t="s">
        <v>251</v>
      </c>
    </row>
    <row r="83" spans="2:12" x14ac:dyDescent="0.3">
      <c r="B83" s="130" t="s">
        <v>189</v>
      </c>
      <c r="C83" s="130"/>
      <c r="D83" s="130"/>
      <c r="E83" s="2">
        <v>2</v>
      </c>
      <c r="F83" s="2"/>
      <c r="G83" s="2">
        <v>1</v>
      </c>
      <c r="H83" s="130" t="s">
        <v>190</v>
      </c>
      <c r="I83" s="130"/>
      <c r="J83" s="130"/>
    </row>
    <row r="84" spans="2:12" x14ac:dyDescent="0.3">
      <c r="B84" s="130" t="s">
        <v>191</v>
      </c>
      <c r="C84" s="130"/>
      <c r="D84" s="130"/>
      <c r="E84" s="2">
        <v>2</v>
      </c>
      <c r="F84" s="2"/>
      <c r="G84" s="2">
        <v>1</v>
      </c>
      <c r="H84" s="130" t="s">
        <v>193</v>
      </c>
      <c r="I84" s="130"/>
      <c r="J84" s="130"/>
    </row>
    <row r="85" spans="2:12" x14ac:dyDescent="0.3">
      <c r="B85" s="130" t="s">
        <v>197</v>
      </c>
      <c r="C85" s="130"/>
      <c r="D85" s="130"/>
      <c r="E85" s="2">
        <v>2</v>
      </c>
      <c r="F85" s="2"/>
      <c r="G85" s="2">
        <v>0</v>
      </c>
      <c r="H85" s="130" t="s">
        <v>198</v>
      </c>
      <c r="I85" s="130"/>
      <c r="J85" s="130"/>
    </row>
  </sheetData>
  <mergeCells count="128">
    <mergeCell ref="B4:D4"/>
    <mergeCell ref="H4:J4"/>
    <mergeCell ref="B5:D5"/>
    <mergeCell ref="H5:J5"/>
    <mergeCell ref="B2:D2"/>
    <mergeCell ref="H2:J2"/>
    <mergeCell ref="B12:D12"/>
    <mergeCell ref="H12:J12"/>
    <mergeCell ref="B13:D13"/>
    <mergeCell ref="H13:J13"/>
    <mergeCell ref="B14:D14"/>
    <mergeCell ref="H14:J14"/>
    <mergeCell ref="B15:D15"/>
    <mergeCell ref="H15:J15"/>
    <mergeCell ref="B7:D7"/>
    <mergeCell ref="H7:J7"/>
    <mergeCell ref="B8:D8"/>
    <mergeCell ref="H8:J8"/>
    <mergeCell ref="B9:D9"/>
    <mergeCell ref="H9:J9"/>
    <mergeCell ref="B10:D10"/>
    <mergeCell ref="H10:J10"/>
    <mergeCell ref="B21:D21"/>
    <mergeCell ref="H21:J21"/>
    <mergeCell ref="B22:D22"/>
    <mergeCell ref="H22:J22"/>
    <mergeCell ref="B17:D17"/>
    <mergeCell ref="H17:J17"/>
    <mergeCell ref="B18:D18"/>
    <mergeCell ref="H18:J18"/>
    <mergeCell ref="B19:D19"/>
    <mergeCell ref="H19:J19"/>
    <mergeCell ref="B27:D27"/>
    <mergeCell ref="H27:J27"/>
    <mergeCell ref="B28:D28"/>
    <mergeCell ref="H28:J28"/>
    <mergeCell ref="B29:D29"/>
    <mergeCell ref="H29:J29"/>
    <mergeCell ref="B24:D24"/>
    <mergeCell ref="H24:J24"/>
    <mergeCell ref="B25:D25"/>
    <mergeCell ref="H25:J25"/>
    <mergeCell ref="B35:D35"/>
    <mergeCell ref="H35:J35"/>
    <mergeCell ref="B36:D36"/>
    <mergeCell ref="H36:J36"/>
    <mergeCell ref="B37:D37"/>
    <mergeCell ref="H37:J37"/>
    <mergeCell ref="B38:D38"/>
    <mergeCell ref="H38:J38"/>
    <mergeCell ref="B31:D31"/>
    <mergeCell ref="H31:J31"/>
    <mergeCell ref="B32:D32"/>
    <mergeCell ref="H32:J32"/>
    <mergeCell ref="B33:D33"/>
    <mergeCell ref="H33:J33"/>
    <mergeCell ref="B44:D44"/>
    <mergeCell ref="H44:J44"/>
    <mergeCell ref="B45:D45"/>
    <mergeCell ref="H45:J45"/>
    <mergeCell ref="B40:D40"/>
    <mergeCell ref="H40:J40"/>
    <mergeCell ref="B41:D41"/>
    <mergeCell ref="H41:J41"/>
    <mergeCell ref="B42:D42"/>
    <mergeCell ref="H42:J42"/>
    <mergeCell ref="B51:D51"/>
    <mergeCell ref="H51:J51"/>
    <mergeCell ref="B52:D52"/>
    <mergeCell ref="H52:J52"/>
    <mergeCell ref="B53:D53"/>
    <mergeCell ref="H53:J53"/>
    <mergeCell ref="B47:D47"/>
    <mergeCell ref="H47:J47"/>
    <mergeCell ref="B48:D48"/>
    <mergeCell ref="H48:J48"/>
    <mergeCell ref="B49:D49"/>
    <mergeCell ref="H49:J49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70:D70"/>
    <mergeCell ref="H70:J70"/>
    <mergeCell ref="B71:D71"/>
    <mergeCell ref="H71:J71"/>
    <mergeCell ref="B67:D67"/>
    <mergeCell ref="H67:J67"/>
    <mergeCell ref="B68:D68"/>
    <mergeCell ref="H68:J68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84:D84"/>
    <mergeCell ref="H84:J84"/>
    <mergeCell ref="B85:D85"/>
    <mergeCell ref="H85:J85"/>
    <mergeCell ref="B82:D82"/>
    <mergeCell ref="H82:J82"/>
    <mergeCell ref="B83:D83"/>
    <mergeCell ref="H83:J83"/>
    <mergeCell ref="B79:D79"/>
    <mergeCell ref="H79:J79"/>
    <mergeCell ref="B80:D80"/>
    <mergeCell ref="H80:J8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1" t="s">
        <v>172</v>
      </c>
      <c r="J2" s="131"/>
      <c r="K2" s="131"/>
      <c r="L2" s="131"/>
      <c r="M2" s="131"/>
      <c r="O2" s="131" t="s">
        <v>166</v>
      </c>
      <c r="P2" s="131"/>
      <c r="Q2" s="131"/>
      <c r="R2" s="131"/>
      <c r="S2" s="131"/>
      <c r="U2" s="131" t="s">
        <v>158</v>
      </c>
      <c r="V2" s="131"/>
      <c r="W2" s="131"/>
      <c r="X2" s="131"/>
      <c r="Y2" s="131"/>
      <c r="AA2" s="131" t="s">
        <v>150</v>
      </c>
      <c r="AB2" s="131"/>
      <c r="AC2" s="131"/>
      <c r="AD2" s="131"/>
      <c r="AE2" s="131"/>
      <c r="AG2" s="131" t="s">
        <v>140</v>
      </c>
      <c r="AH2" s="131"/>
      <c r="AI2" s="131"/>
      <c r="AJ2" s="131"/>
      <c r="AK2" s="131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2" t="s">
        <v>173</v>
      </c>
      <c r="J4" s="132"/>
      <c r="K4" s="132"/>
      <c r="L4" s="132"/>
      <c r="M4" s="132"/>
      <c r="O4" s="133" t="s">
        <v>167</v>
      </c>
      <c r="P4" s="133"/>
      <c r="Q4" s="133"/>
      <c r="R4" s="133"/>
      <c r="S4" s="133"/>
      <c r="U4" s="132" t="s">
        <v>159</v>
      </c>
      <c r="V4" s="132"/>
      <c r="W4" s="132"/>
      <c r="X4" s="132"/>
      <c r="Y4" s="132"/>
      <c r="AA4" s="133" t="s">
        <v>151</v>
      </c>
      <c r="AB4" s="133"/>
      <c r="AC4" s="133"/>
      <c r="AD4" s="133"/>
      <c r="AE4" s="133"/>
      <c r="AG4" s="132" t="s">
        <v>141</v>
      </c>
      <c r="AH4" s="132"/>
      <c r="AI4" s="132"/>
      <c r="AJ4" s="132"/>
      <c r="AK4" s="132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1" t="s">
        <v>170</v>
      </c>
      <c r="J7" s="131"/>
      <c r="K7" s="131"/>
      <c r="L7" s="131"/>
      <c r="M7" s="131"/>
      <c r="O7" s="131" t="s">
        <v>164</v>
      </c>
      <c r="P7" s="131"/>
      <c r="Q7" s="131"/>
      <c r="R7" s="131"/>
      <c r="S7" s="131"/>
      <c r="U7" s="131" t="s">
        <v>156</v>
      </c>
      <c r="V7" s="131"/>
      <c r="W7" s="131"/>
      <c r="X7" s="131"/>
      <c r="Y7" s="131"/>
      <c r="AA7" s="131" t="s">
        <v>148</v>
      </c>
      <c r="AB7" s="131"/>
      <c r="AC7" s="131"/>
      <c r="AD7" s="131"/>
      <c r="AE7" s="131"/>
      <c r="AG7" s="131" t="s">
        <v>138</v>
      </c>
      <c r="AH7" s="131"/>
      <c r="AI7" s="131"/>
      <c r="AJ7" s="131"/>
      <c r="AK7" s="131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3" t="s">
        <v>171</v>
      </c>
      <c r="J9" s="133"/>
      <c r="K9" s="133"/>
      <c r="L9" s="133"/>
      <c r="M9" s="133"/>
      <c r="O9" s="132" t="s">
        <v>165</v>
      </c>
      <c r="P9" s="132"/>
      <c r="Q9" s="132"/>
      <c r="R9" s="132"/>
      <c r="S9" s="132"/>
      <c r="U9" s="133" t="s">
        <v>157</v>
      </c>
      <c r="V9" s="133"/>
      <c r="W9" s="133"/>
      <c r="X9" s="133"/>
      <c r="Y9" s="133"/>
      <c r="AA9" s="132" t="s">
        <v>149</v>
      </c>
      <c r="AB9" s="132"/>
      <c r="AC9" s="132"/>
      <c r="AD9" s="132"/>
      <c r="AE9" s="132"/>
      <c r="AG9" s="133" t="s">
        <v>139</v>
      </c>
      <c r="AH9" s="133"/>
      <c r="AI9" s="133"/>
      <c r="AJ9" s="133"/>
      <c r="AK9" s="133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1" t="s">
        <v>168</v>
      </c>
      <c r="J12" s="131"/>
      <c r="K12" s="131"/>
      <c r="L12" s="131"/>
      <c r="M12" s="131"/>
      <c r="O12" s="131" t="s">
        <v>162</v>
      </c>
      <c r="P12" s="131"/>
      <c r="Q12" s="131"/>
      <c r="R12" s="131"/>
      <c r="S12" s="131"/>
      <c r="U12" s="131" t="s">
        <v>154</v>
      </c>
      <c r="V12" s="131"/>
      <c r="W12" s="131"/>
      <c r="X12" s="131"/>
      <c r="Y12" s="131"/>
      <c r="AA12" s="131" t="s">
        <v>146</v>
      </c>
      <c r="AB12" s="131"/>
      <c r="AC12" s="131"/>
      <c r="AD12" s="131"/>
      <c r="AE12" s="131"/>
      <c r="AG12" s="131" t="s">
        <v>175</v>
      </c>
      <c r="AH12" s="131"/>
      <c r="AI12" s="131"/>
      <c r="AJ12" s="131"/>
      <c r="AK12" s="131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2" t="s">
        <v>169</v>
      </c>
      <c r="J14" s="132"/>
      <c r="K14" s="132"/>
      <c r="L14" s="132"/>
      <c r="M14" s="132"/>
      <c r="O14" s="133" t="s">
        <v>163</v>
      </c>
      <c r="P14" s="133"/>
      <c r="Q14" s="133"/>
      <c r="R14" s="133"/>
      <c r="S14" s="133"/>
      <c r="U14" s="132" t="s">
        <v>155</v>
      </c>
      <c r="V14" s="132"/>
      <c r="W14" s="132"/>
      <c r="X14" s="132"/>
      <c r="Y14" s="132"/>
      <c r="AA14" s="133" t="s">
        <v>147</v>
      </c>
      <c r="AB14" s="133"/>
      <c r="AC14" s="133"/>
      <c r="AD14" s="133"/>
      <c r="AE14" s="133"/>
      <c r="AG14" s="132" t="s">
        <v>176</v>
      </c>
      <c r="AH14" s="132"/>
      <c r="AI14" s="132"/>
      <c r="AJ14" s="132"/>
      <c r="AK14" s="132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1" t="s">
        <v>160</v>
      </c>
      <c r="J17" s="131"/>
      <c r="K17" s="131"/>
      <c r="L17" s="131"/>
      <c r="M17" s="131"/>
      <c r="O17" s="131" t="s">
        <v>152</v>
      </c>
      <c r="P17" s="131"/>
      <c r="Q17" s="131"/>
      <c r="R17" s="131"/>
      <c r="S17" s="131"/>
      <c r="U17" s="131" t="s">
        <v>144</v>
      </c>
      <c r="V17" s="131"/>
      <c r="W17" s="131"/>
      <c r="X17" s="131"/>
      <c r="Y17" s="131"/>
      <c r="AA17" s="131" t="s">
        <v>142</v>
      </c>
      <c r="AB17" s="131"/>
      <c r="AC17" s="131"/>
      <c r="AD17" s="131"/>
      <c r="AE17" s="131"/>
      <c r="AG17" s="131" t="s">
        <v>177</v>
      </c>
      <c r="AH17" s="131"/>
      <c r="AI17" s="131"/>
      <c r="AJ17" s="131"/>
      <c r="AK17" s="131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3" t="s">
        <v>161</v>
      </c>
      <c r="J19" s="133"/>
      <c r="K19" s="133"/>
      <c r="L19" s="133"/>
      <c r="M19" s="133"/>
      <c r="O19" s="132" t="s">
        <v>153</v>
      </c>
      <c r="P19" s="132"/>
      <c r="Q19" s="132"/>
      <c r="R19" s="132"/>
      <c r="S19" s="132"/>
      <c r="U19" s="133" t="s">
        <v>145</v>
      </c>
      <c r="V19" s="133"/>
      <c r="W19" s="133"/>
      <c r="X19" s="133"/>
      <c r="Y19" s="133"/>
      <c r="AA19" s="132" t="s">
        <v>143</v>
      </c>
      <c r="AB19" s="132"/>
      <c r="AC19" s="132"/>
      <c r="AD19" s="132"/>
      <c r="AE19" s="132"/>
      <c r="AG19" s="133" t="s">
        <v>178</v>
      </c>
      <c r="AH19" s="133"/>
      <c r="AI19" s="133"/>
      <c r="AJ19" s="133"/>
      <c r="AK19" s="133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1" t="s">
        <v>179</v>
      </c>
      <c r="J22" s="131"/>
      <c r="K22" s="131"/>
      <c r="L22" s="131"/>
      <c r="M22" s="131"/>
      <c r="O22" s="131" t="s">
        <v>181</v>
      </c>
      <c r="P22" s="131"/>
      <c r="Q22" s="131"/>
      <c r="R22" s="131"/>
      <c r="S22" s="131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2" t="s">
        <v>180</v>
      </c>
      <c r="J24" s="132"/>
      <c r="K24" s="132"/>
      <c r="L24" s="132"/>
      <c r="M24" s="132"/>
      <c r="O24" s="133" t="s">
        <v>182</v>
      </c>
      <c r="P24" s="133"/>
      <c r="Q24" s="133"/>
      <c r="R24" s="133"/>
      <c r="S24" s="133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7" t="s">
        <v>235</v>
      </c>
      <c r="C1" s="138"/>
      <c r="D1" s="138"/>
      <c r="E1" s="138"/>
      <c r="F1" s="138"/>
      <c r="G1" s="138"/>
      <c r="H1" s="138"/>
      <c r="I1" s="139"/>
      <c r="M1" s="134"/>
      <c r="N1" s="134"/>
      <c r="O1" s="134"/>
      <c r="P1" s="135"/>
      <c r="Q1" s="135"/>
      <c r="R1" s="135"/>
      <c r="S1" s="134"/>
      <c r="T1" s="134"/>
      <c r="U1" s="134"/>
      <c r="V1" s="135"/>
      <c r="W1" s="135"/>
      <c r="X1" s="135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5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Ivani</v>
      </c>
      <c r="D3" s="75">
        <f t="shared" ref="D3:D21" si="1">VLOOKUP(C3,O$3:U$23,2,0)</f>
        <v>335</v>
      </c>
      <c r="E3" s="75">
        <f t="shared" ref="E3:E20" si="2">VLOOKUP(C3,O$3:U$23,3,0)</f>
        <v>4</v>
      </c>
      <c r="F3" s="75">
        <f t="shared" ref="F3:F20" si="3">VLOOKUP(C3,O$3:U$23,4,0)</f>
        <v>7</v>
      </c>
      <c r="G3" s="75">
        <f t="shared" ref="G3:G20" si="4">VLOOKUP(C3,O$3:U$23,5,0)</f>
        <v>11</v>
      </c>
      <c r="H3" s="75">
        <f t="shared" ref="H3:H20" si="5">VLOOKUP(C3,O$3:U$23,6,0)</f>
        <v>4</v>
      </c>
      <c r="I3" s="83">
        <f t="shared" ref="I3:I20" si="6">VLOOKUP(C3,O$3:U$23,7,0)</f>
        <v>3</v>
      </c>
      <c r="K3" s="94" t="s">
        <v>59</v>
      </c>
      <c r="L3" s="94">
        <f>'12.Ivani'!Q11</f>
        <v>335</v>
      </c>
      <c r="O3" s="122" t="s">
        <v>231</v>
      </c>
      <c r="P3" s="123">
        <f>'1.Ivan'!Q$11</f>
        <v>280</v>
      </c>
      <c r="Q3" s="18">
        <v>4</v>
      </c>
      <c r="R3" s="18">
        <v>5</v>
      </c>
      <c r="S3" s="18">
        <v>8</v>
      </c>
      <c r="T3" s="18">
        <v>5</v>
      </c>
      <c r="U3" s="18">
        <v>7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320</v>
      </c>
      <c r="E4" s="74">
        <f t="shared" si="2"/>
        <v>4</v>
      </c>
      <c r="F4" s="74">
        <f t="shared" si="3"/>
        <v>5</v>
      </c>
      <c r="G4" s="74">
        <f t="shared" si="4"/>
        <v>11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320</v>
      </c>
      <c r="O4" s="122" t="s">
        <v>222</v>
      </c>
      <c r="P4" s="123">
        <f>'2.Sérginho'!Q$11</f>
        <v>240</v>
      </c>
      <c r="Q4" s="18">
        <v>1</v>
      </c>
      <c r="R4" s="18">
        <v>8</v>
      </c>
      <c r="S4" s="18">
        <v>6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310</v>
      </c>
      <c r="E5" s="75">
        <f t="shared" si="2"/>
        <v>5</v>
      </c>
      <c r="F5" s="75">
        <f t="shared" si="3"/>
        <v>6</v>
      </c>
      <c r="G5" s="75">
        <f t="shared" si="4"/>
        <v>7</v>
      </c>
      <c r="H5" s="75">
        <f t="shared" si="5"/>
        <v>5</v>
      </c>
      <c r="I5" s="83">
        <f t="shared" si="6"/>
        <v>6</v>
      </c>
      <c r="K5" s="94" t="s">
        <v>53</v>
      </c>
      <c r="L5" s="94">
        <f>'3.Jean'!Q$11</f>
        <v>310</v>
      </c>
      <c r="O5" s="122" t="s">
        <v>53</v>
      </c>
      <c r="P5" s="123">
        <f>'3.Jean'!Q$11</f>
        <v>310</v>
      </c>
      <c r="Q5" s="18">
        <v>5</v>
      </c>
      <c r="R5" s="18">
        <v>6</v>
      </c>
      <c r="S5" s="18">
        <v>7</v>
      </c>
      <c r="T5" s="18">
        <v>5</v>
      </c>
      <c r="U5" s="18">
        <v>6</v>
      </c>
      <c r="V5" s="122"/>
      <c r="W5" s="122"/>
    </row>
    <row r="6" spans="2:24" x14ac:dyDescent="0.3">
      <c r="B6" s="84" t="s">
        <v>70</v>
      </c>
      <c r="C6" s="74" t="str">
        <f t="shared" si="0"/>
        <v>Mateus Aires</v>
      </c>
      <c r="D6" s="74">
        <f t="shared" si="1"/>
        <v>310</v>
      </c>
      <c r="E6" s="74">
        <f t="shared" si="2"/>
        <v>5</v>
      </c>
      <c r="F6" s="74">
        <f t="shared" si="3"/>
        <v>6</v>
      </c>
      <c r="G6" s="74">
        <f t="shared" si="4"/>
        <v>6</v>
      </c>
      <c r="H6" s="74">
        <f t="shared" si="5"/>
        <v>7</v>
      </c>
      <c r="I6" s="85">
        <f t="shared" si="6"/>
        <v>5</v>
      </c>
      <c r="K6" s="94" t="s">
        <v>232</v>
      </c>
      <c r="L6" s="94">
        <f>'6.Mateus Aires'!Q11</f>
        <v>310</v>
      </c>
      <c r="O6" s="122" t="s">
        <v>223</v>
      </c>
      <c r="P6" s="123">
        <f>'4.Macélio Henrique'!Q11</f>
        <v>260</v>
      </c>
      <c r="Q6" s="18">
        <v>2</v>
      </c>
      <c r="R6" s="18">
        <v>5</v>
      </c>
      <c r="S6" s="18">
        <v>11</v>
      </c>
      <c r="T6" s="18">
        <v>5</v>
      </c>
      <c r="U6" s="18">
        <v>6</v>
      </c>
      <c r="V6" s="122"/>
      <c r="W6" s="122"/>
    </row>
    <row r="7" spans="2:24" x14ac:dyDescent="0.3">
      <c r="B7" s="86" t="s">
        <v>275</v>
      </c>
      <c r="C7" s="63" t="str">
        <f t="shared" si="0"/>
        <v>Francesco</v>
      </c>
      <c r="D7" s="63">
        <f t="shared" si="1"/>
        <v>305</v>
      </c>
      <c r="E7" s="63">
        <f t="shared" si="2"/>
        <v>2</v>
      </c>
      <c r="F7" s="63">
        <f t="shared" si="3"/>
        <v>12</v>
      </c>
      <c r="G7" s="63">
        <f t="shared" si="4"/>
        <v>4</v>
      </c>
      <c r="H7" s="63">
        <f t="shared" si="5"/>
        <v>7</v>
      </c>
      <c r="I7" s="87">
        <f t="shared" si="6"/>
        <v>3</v>
      </c>
      <c r="K7" s="94" t="s">
        <v>246</v>
      </c>
      <c r="L7" s="94">
        <f>'20.Francesco'!Q11</f>
        <v>305</v>
      </c>
      <c r="O7" s="122" t="s">
        <v>45</v>
      </c>
      <c r="P7" s="123">
        <f>'5.Macélio'!Q11</f>
        <v>210</v>
      </c>
      <c r="Q7" s="18">
        <v>2</v>
      </c>
      <c r="R7" s="18">
        <v>6</v>
      </c>
      <c r="S7" s="18">
        <v>5</v>
      </c>
      <c r="T7" s="18">
        <v>4</v>
      </c>
      <c r="U7" s="18">
        <v>12</v>
      </c>
      <c r="V7" s="122"/>
      <c r="W7" s="122"/>
    </row>
    <row r="8" spans="2:24" x14ac:dyDescent="0.3">
      <c r="B8" s="86" t="s">
        <v>271</v>
      </c>
      <c r="C8" s="63" t="str">
        <f t="shared" si="0"/>
        <v>Julio Oliveira</v>
      </c>
      <c r="D8" s="63">
        <f t="shared" si="1"/>
        <v>295</v>
      </c>
      <c r="E8" s="63">
        <f t="shared" si="2"/>
        <v>4</v>
      </c>
      <c r="F8" s="63">
        <f t="shared" si="3"/>
        <v>8</v>
      </c>
      <c r="G8" s="63">
        <f t="shared" si="4"/>
        <v>4</v>
      </c>
      <c r="H8" s="63">
        <f t="shared" si="5"/>
        <v>7</v>
      </c>
      <c r="I8" s="87">
        <f t="shared" si="6"/>
        <v>6</v>
      </c>
      <c r="K8" s="94" t="s">
        <v>230</v>
      </c>
      <c r="L8" s="94">
        <f>'18.Julio Oliveira'!Q11</f>
        <v>295</v>
      </c>
      <c r="O8" s="122" t="s">
        <v>232</v>
      </c>
      <c r="P8" s="123">
        <f>'6.Mateus Aires'!Q11</f>
        <v>310</v>
      </c>
      <c r="Q8" s="18">
        <v>5</v>
      </c>
      <c r="R8" s="18">
        <v>6</v>
      </c>
      <c r="S8" s="18">
        <v>6</v>
      </c>
      <c r="T8" s="18">
        <v>7</v>
      </c>
      <c r="U8" s="18">
        <v>5</v>
      </c>
      <c r="V8" s="122"/>
      <c r="W8" s="122"/>
    </row>
    <row r="9" spans="2:24" x14ac:dyDescent="0.3">
      <c r="B9" s="86" t="s">
        <v>270</v>
      </c>
      <c r="C9" s="63" t="str">
        <f t="shared" si="0"/>
        <v>Julio Santos</v>
      </c>
      <c r="D9" s="63">
        <f t="shared" si="1"/>
        <v>290</v>
      </c>
      <c r="E9" s="63">
        <f t="shared" si="2"/>
        <v>3</v>
      </c>
      <c r="F9" s="63">
        <f t="shared" si="3"/>
        <v>8</v>
      </c>
      <c r="G9" s="63">
        <f t="shared" si="4"/>
        <v>7</v>
      </c>
      <c r="H9" s="63">
        <f t="shared" si="5"/>
        <v>5</v>
      </c>
      <c r="I9" s="87">
        <f t="shared" si="6"/>
        <v>6</v>
      </c>
      <c r="K9" s="94" t="s">
        <v>224</v>
      </c>
      <c r="L9" s="94">
        <f>'9.Julio Santos'!Q11</f>
        <v>290</v>
      </c>
      <c r="O9" s="122" t="s">
        <v>236</v>
      </c>
      <c r="P9" s="123">
        <f>'7.Bruno'!Q11</f>
        <v>285</v>
      </c>
      <c r="Q9" s="18">
        <v>5</v>
      </c>
      <c r="R9" s="18">
        <v>7</v>
      </c>
      <c r="S9" s="18">
        <v>4</v>
      </c>
      <c r="T9" s="18">
        <v>3</v>
      </c>
      <c r="U9" s="18">
        <v>10</v>
      </c>
      <c r="V9" s="122"/>
      <c r="W9" s="122"/>
    </row>
    <row r="10" spans="2:24" x14ac:dyDescent="0.3">
      <c r="B10" s="86" t="s">
        <v>269</v>
      </c>
      <c r="C10" s="63" t="str">
        <f t="shared" si="0"/>
        <v>Mateus Henrique</v>
      </c>
      <c r="D10" s="63">
        <f t="shared" si="1"/>
        <v>285</v>
      </c>
      <c r="E10" s="63">
        <f t="shared" si="2"/>
        <v>3</v>
      </c>
      <c r="F10" s="63">
        <f t="shared" si="3"/>
        <v>6</v>
      </c>
      <c r="G10" s="63">
        <f t="shared" si="4"/>
        <v>8</v>
      </c>
      <c r="H10" s="63">
        <f t="shared" si="5"/>
        <v>8</v>
      </c>
      <c r="I10" s="87">
        <f t="shared" si="6"/>
        <v>4</v>
      </c>
      <c r="K10" s="94" t="s">
        <v>234</v>
      </c>
      <c r="L10" s="94">
        <f>'14.Mateus Henrique'!Q11</f>
        <v>285</v>
      </c>
      <c r="O10" s="122" t="s">
        <v>225</v>
      </c>
      <c r="P10" s="123">
        <f>'8.Naldinho'!Q11</f>
        <v>240</v>
      </c>
      <c r="Q10" s="18">
        <v>3</v>
      </c>
      <c r="R10" s="18">
        <v>5</v>
      </c>
      <c r="S10" s="18">
        <v>4</v>
      </c>
      <c r="T10" s="18">
        <v>10</v>
      </c>
      <c r="U10" s="18">
        <v>7</v>
      </c>
      <c r="V10" s="122"/>
      <c r="W10" s="122"/>
    </row>
    <row r="11" spans="2:24" x14ac:dyDescent="0.3">
      <c r="B11" s="86" t="s">
        <v>268</v>
      </c>
      <c r="C11" s="63" t="str">
        <f t="shared" si="0"/>
        <v>Bruno</v>
      </c>
      <c r="D11" s="63">
        <f t="shared" si="1"/>
        <v>285</v>
      </c>
      <c r="E11" s="63">
        <f t="shared" si="2"/>
        <v>5</v>
      </c>
      <c r="F11" s="63">
        <f t="shared" si="3"/>
        <v>7</v>
      </c>
      <c r="G11" s="63">
        <f t="shared" si="4"/>
        <v>4</v>
      </c>
      <c r="H11" s="63">
        <f t="shared" si="5"/>
        <v>3</v>
      </c>
      <c r="I11" s="87">
        <f t="shared" si="6"/>
        <v>10</v>
      </c>
      <c r="K11" s="94" t="s">
        <v>236</v>
      </c>
      <c r="L11" s="94">
        <f>'7.Bruno'!Q11</f>
        <v>285</v>
      </c>
      <c r="O11" s="122" t="s">
        <v>224</v>
      </c>
      <c r="P11" s="123">
        <f>'9.Julio Santos'!Q11</f>
        <v>290</v>
      </c>
      <c r="Q11" s="18">
        <v>3</v>
      </c>
      <c r="R11" s="18">
        <v>8</v>
      </c>
      <c r="S11" s="18">
        <v>7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267</v>
      </c>
      <c r="C12" s="63" t="str">
        <f t="shared" si="0"/>
        <v>Joseir</v>
      </c>
      <c r="D12" s="63">
        <f t="shared" si="1"/>
        <v>280</v>
      </c>
      <c r="E12" s="63">
        <f t="shared" si="2"/>
        <v>2</v>
      </c>
      <c r="F12" s="63">
        <f t="shared" si="3"/>
        <v>6</v>
      </c>
      <c r="G12" s="63">
        <f t="shared" si="4"/>
        <v>10</v>
      </c>
      <c r="H12" s="63">
        <f t="shared" si="5"/>
        <v>8</v>
      </c>
      <c r="I12" s="87">
        <f t="shared" si="6"/>
        <v>3</v>
      </c>
      <c r="K12" s="94" t="s">
        <v>227</v>
      </c>
      <c r="L12" s="94">
        <f>'10.Joseir'!Q11</f>
        <v>280</v>
      </c>
      <c r="O12" s="122" t="s">
        <v>227</v>
      </c>
      <c r="P12" s="123">
        <f>'10.Joseir'!Q11</f>
        <v>280</v>
      </c>
      <c r="Q12" s="18">
        <v>2</v>
      </c>
      <c r="R12" s="18">
        <v>6</v>
      </c>
      <c r="S12" s="18">
        <v>10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280</v>
      </c>
      <c r="E13" s="63">
        <f t="shared" si="2"/>
        <v>4</v>
      </c>
      <c r="F13" s="63">
        <f t="shared" si="3"/>
        <v>5</v>
      </c>
      <c r="G13" s="63">
        <f t="shared" si="4"/>
        <v>8</v>
      </c>
      <c r="H13" s="63">
        <f t="shared" si="5"/>
        <v>5</v>
      </c>
      <c r="I13" s="87">
        <f t="shared" si="6"/>
        <v>7</v>
      </c>
      <c r="K13" s="94" t="s">
        <v>231</v>
      </c>
      <c r="L13" s="94">
        <f>'1.Ivan'!Q$11</f>
        <v>280</v>
      </c>
      <c r="O13" s="122" t="s">
        <v>226</v>
      </c>
      <c r="P13" s="123">
        <f>'11.Juninho'!Q11</f>
        <v>245</v>
      </c>
      <c r="Q13" s="18">
        <v>3</v>
      </c>
      <c r="R13" s="18">
        <v>5</v>
      </c>
      <c r="S13" s="18">
        <v>7</v>
      </c>
      <c r="T13" s="18">
        <v>5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Luana</v>
      </c>
      <c r="D14" s="63">
        <f t="shared" si="1"/>
        <v>260</v>
      </c>
      <c r="E14" s="63">
        <f t="shared" si="2"/>
        <v>2</v>
      </c>
      <c r="F14" s="63">
        <f t="shared" si="3"/>
        <v>7</v>
      </c>
      <c r="G14" s="63">
        <f t="shared" si="4"/>
        <v>8</v>
      </c>
      <c r="H14" s="63">
        <f t="shared" si="5"/>
        <v>5</v>
      </c>
      <c r="I14" s="87">
        <f t="shared" si="6"/>
        <v>7</v>
      </c>
      <c r="K14" s="94" t="s">
        <v>50</v>
      </c>
      <c r="L14" s="94">
        <f>'17.Luana'!Q11</f>
        <v>260</v>
      </c>
      <c r="O14" s="122" t="s">
        <v>59</v>
      </c>
      <c r="P14" s="123">
        <f>'12.Ivani'!Q11</f>
        <v>335</v>
      </c>
      <c r="Q14" s="18">
        <v>4</v>
      </c>
      <c r="R14" s="18">
        <v>7</v>
      </c>
      <c r="S14" s="18">
        <v>11</v>
      </c>
      <c r="T14" s="18">
        <v>4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Gabriel</v>
      </c>
      <c r="D15" s="63">
        <f t="shared" si="1"/>
        <v>260</v>
      </c>
      <c r="E15" s="63">
        <f t="shared" si="2"/>
        <v>1</v>
      </c>
      <c r="F15" s="63">
        <f t="shared" si="3"/>
        <v>11</v>
      </c>
      <c r="G15" s="63">
        <f t="shared" si="4"/>
        <v>6</v>
      </c>
      <c r="H15" s="63">
        <f t="shared" si="5"/>
        <v>2</v>
      </c>
      <c r="I15" s="87">
        <f t="shared" si="6"/>
        <v>9</v>
      </c>
      <c r="K15" s="94" t="s">
        <v>47</v>
      </c>
      <c r="L15" s="94">
        <f>'15.Gabriel'!Q11</f>
        <v>260</v>
      </c>
      <c r="O15" s="122" t="s">
        <v>228</v>
      </c>
      <c r="P15" s="123">
        <f>'13.Manoel'!Q11</f>
        <v>250</v>
      </c>
      <c r="Q15" s="18">
        <v>3</v>
      </c>
      <c r="R15" s="18">
        <v>4</v>
      </c>
      <c r="S15" s="18">
        <v>10</v>
      </c>
      <c r="T15" s="18">
        <v>3</v>
      </c>
      <c r="U15" s="18">
        <v>9</v>
      </c>
      <c r="V15" s="122"/>
      <c r="W15" s="122"/>
    </row>
    <row r="16" spans="2:24" x14ac:dyDescent="0.3">
      <c r="B16" s="86" t="s">
        <v>74</v>
      </c>
      <c r="C16" s="63" t="str">
        <f t="shared" si="0"/>
        <v>Macélio Henrique</v>
      </c>
      <c r="D16" s="63">
        <f t="shared" si="1"/>
        <v>260</v>
      </c>
      <c r="E16" s="63">
        <f t="shared" si="2"/>
        <v>2</v>
      </c>
      <c r="F16" s="63">
        <f t="shared" si="3"/>
        <v>5</v>
      </c>
      <c r="G16" s="63">
        <f t="shared" si="4"/>
        <v>11</v>
      </c>
      <c r="H16" s="63">
        <f t="shared" si="5"/>
        <v>5</v>
      </c>
      <c r="I16" s="87">
        <f t="shared" si="6"/>
        <v>6</v>
      </c>
      <c r="K16" s="94" t="s">
        <v>223</v>
      </c>
      <c r="L16" s="94">
        <f>'4.Macélio Henrique'!Q11</f>
        <v>260</v>
      </c>
      <c r="O16" s="122" t="s">
        <v>234</v>
      </c>
      <c r="P16" s="123">
        <f>'14.Mateus Henrique'!Q11</f>
        <v>285</v>
      </c>
      <c r="Q16" s="18">
        <v>3</v>
      </c>
      <c r="R16" s="18">
        <v>6</v>
      </c>
      <c r="S16" s="18">
        <v>8</v>
      </c>
      <c r="T16" s="18">
        <v>8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255</v>
      </c>
      <c r="E17" s="63">
        <f t="shared" si="2"/>
        <v>2</v>
      </c>
      <c r="F17" s="63">
        <f t="shared" si="3"/>
        <v>7</v>
      </c>
      <c r="G17" s="63">
        <f t="shared" si="4"/>
        <v>7</v>
      </c>
      <c r="H17" s="63">
        <f t="shared" si="5"/>
        <v>6</v>
      </c>
      <c r="I17" s="87">
        <f t="shared" si="6"/>
        <v>7</v>
      </c>
      <c r="K17" s="94" t="s">
        <v>229</v>
      </c>
      <c r="L17" s="94">
        <f>'16.Marcel'!Q11</f>
        <v>255</v>
      </c>
      <c r="O17" s="122" t="s">
        <v>47</v>
      </c>
      <c r="P17" s="123">
        <f>'15.Gabriel'!Q11</f>
        <v>260</v>
      </c>
      <c r="Q17" s="18">
        <v>1</v>
      </c>
      <c r="R17" s="18">
        <v>11</v>
      </c>
      <c r="S17" s="18">
        <v>6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250</v>
      </c>
      <c r="E18" s="63">
        <f t="shared" si="2"/>
        <v>3</v>
      </c>
      <c r="F18" s="63">
        <f t="shared" si="3"/>
        <v>4</v>
      </c>
      <c r="G18" s="63">
        <f t="shared" si="4"/>
        <v>10</v>
      </c>
      <c r="H18" s="63">
        <f t="shared" si="5"/>
        <v>3</v>
      </c>
      <c r="I18" s="87">
        <f t="shared" si="6"/>
        <v>9</v>
      </c>
      <c r="K18" s="94" t="s">
        <v>228</v>
      </c>
      <c r="L18" s="94">
        <f>'13.Manoel'!Q11</f>
        <v>250</v>
      </c>
      <c r="O18" s="122" t="s">
        <v>229</v>
      </c>
      <c r="P18" s="123">
        <f>'16.Marcel'!Q11</f>
        <v>255</v>
      </c>
      <c r="Q18" s="18">
        <v>2</v>
      </c>
      <c r="R18" s="18">
        <v>7</v>
      </c>
      <c r="S18" s="18">
        <v>7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245</v>
      </c>
      <c r="E19" s="63">
        <f t="shared" si="2"/>
        <v>3</v>
      </c>
      <c r="F19" s="63">
        <f t="shared" si="3"/>
        <v>5</v>
      </c>
      <c r="G19" s="63">
        <f t="shared" si="4"/>
        <v>7</v>
      </c>
      <c r="H19" s="63">
        <f t="shared" si="5"/>
        <v>5</v>
      </c>
      <c r="I19" s="87">
        <f t="shared" si="6"/>
        <v>9</v>
      </c>
      <c r="K19" s="94" t="s">
        <v>226</v>
      </c>
      <c r="L19" s="94">
        <f>'11.Juninho'!Q11</f>
        <v>245</v>
      </c>
      <c r="O19" s="122" t="s">
        <v>50</v>
      </c>
      <c r="P19" s="123">
        <f>'17.Luana'!Q11</f>
        <v>260</v>
      </c>
      <c r="Q19" s="18">
        <v>2</v>
      </c>
      <c r="R19" s="18">
        <v>7</v>
      </c>
      <c r="S19" s="18">
        <v>8</v>
      </c>
      <c r="T19" s="18">
        <v>5</v>
      </c>
      <c r="U19" s="18">
        <v>7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240</v>
      </c>
      <c r="E20" s="63">
        <f t="shared" si="2"/>
        <v>1</v>
      </c>
      <c r="F20" s="63">
        <f t="shared" si="3"/>
        <v>8</v>
      </c>
      <c r="G20" s="63">
        <f t="shared" si="4"/>
        <v>6</v>
      </c>
      <c r="H20" s="63">
        <f t="shared" si="5"/>
        <v>7</v>
      </c>
      <c r="I20" s="87">
        <f t="shared" si="6"/>
        <v>7</v>
      </c>
      <c r="K20" s="94" t="s">
        <v>222</v>
      </c>
      <c r="L20" s="94">
        <f>'2.Sérginho'!Q$11</f>
        <v>240</v>
      </c>
      <c r="O20" s="122" t="s">
        <v>230</v>
      </c>
      <c r="P20" s="123">
        <f>'18.Julio Oliveira'!Q11</f>
        <v>295</v>
      </c>
      <c r="Q20" s="18">
        <v>4</v>
      </c>
      <c r="R20" s="18">
        <v>8</v>
      </c>
      <c r="S20" s="18">
        <v>4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257</v>
      </c>
      <c r="C21" s="76" t="str">
        <f t="shared" si="0"/>
        <v>Naldinho</v>
      </c>
      <c r="D21" s="63">
        <f t="shared" si="1"/>
        <v>240</v>
      </c>
      <c r="E21" s="76">
        <f t="shared" ref="E21:E23" si="7">VLOOKUP(C21,O$3:U$23,3,0)</f>
        <v>3</v>
      </c>
      <c r="F21" s="76">
        <f t="shared" ref="F21:F23" si="8">VLOOKUP(C21,O$3:U$23,4,0)</f>
        <v>5</v>
      </c>
      <c r="G21" s="76">
        <f t="shared" ref="G21:G23" si="9">VLOOKUP(C21,O$3:U$23,5,0)</f>
        <v>4</v>
      </c>
      <c r="H21" s="76">
        <f t="shared" ref="H21:H23" si="10">VLOOKUP(C21,O$3:U$23,6,0)</f>
        <v>10</v>
      </c>
      <c r="I21" s="89">
        <f t="shared" ref="I21:I23" si="11">VLOOKUP(C21,O$3:U$23,7,0)</f>
        <v>7</v>
      </c>
      <c r="K21" s="94" t="s">
        <v>225</v>
      </c>
      <c r="L21" s="94">
        <f>'8.Naldinho'!Q11</f>
        <v>240</v>
      </c>
      <c r="O21" s="122" t="s">
        <v>233</v>
      </c>
      <c r="P21" s="123">
        <f>'19.Miguel'!Q11</f>
        <v>320</v>
      </c>
      <c r="Q21" s="18">
        <v>4</v>
      </c>
      <c r="R21" s="18">
        <v>5</v>
      </c>
      <c r="S21" s="18">
        <v>11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Chicão</v>
      </c>
      <c r="D22" s="76">
        <f t="shared" ref="D22" si="12">VLOOKUP(C22,O$3:U$23,2,0)</f>
        <v>240</v>
      </c>
      <c r="E22" s="76">
        <f t="shared" si="7"/>
        <v>1</v>
      </c>
      <c r="F22" s="76">
        <f>VLOOKUP(C22,O$3:U$23,4,0)</f>
        <v>6</v>
      </c>
      <c r="G22" s="76">
        <f t="shared" si="9"/>
        <v>10</v>
      </c>
      <c r="H22" s="76">
        <f t="shared" si="10"/>
        <v>5</v>
      </c>
      <c r="I22" s="87">
        <f>VLOOKUP(C22,O$3:U$23,7,0)</f>
        <v>6</v>
      </c>
      <c r="K22" s="94" t="s">
        <v>247</v>
      </c>
      <c r="L22" s="94">
        <f>'21.Chicão'!Q11</f>
        <v>240</v>
      </c>
      <c r="O22" s="122" t="s">
        <v>246</v>
      </c>
      <c r="P22" s="123">
        <f>'20.Francesco'!Q11</f>
        <v>305</v>
      </c>
      <c r="Q22" s="18">
        <v>2</v>
      </c>
      <c r="R22" s="18">
        <v>12</v>
      </c>
      <c r="S22" s="18">
        <v>4</v>
      </c>
      <c r="T22" s="18">
        <v>7</v>
      </c>
      <c r="U22" s="18">
        <v>3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210</v>
      </c>
      <c r="E23" s="91">
        <f t="shared" si="7"/>
        <v>2</v>
      </c>
      <c r="F23" s="91">
        <f t="shared" si="8"/>
        <v>6</v>
      </c>
      <c r="G23" s="91">
        <f t="shared" si="9"/>
        <v>5</v>
      </c>
      <c r="H23" s="91">
        <f t="shared" si="10"/>
        <v>4</v>
      </c>
      <c r="I23" s="92">
        <f t="shared" si="11"/>
        <v>12</v>
      </c>
      <c r="K23" s="94" t="s">
        <v>45</v>
      </c>
      <c r="L23" s="94">
        <f>'5.Macélio'!Q11</f>
        <v>210</v>
      </c>
      <c r="O23" s="122" t="s">
        <v>247</v>
      </c>
      <c r="P23" s="123">
        <f>'21.Chicão'!Q11</f>
        <v>240</v>
      </c>
      <c r="Q23" s="18">
        <v>1</v>
      </c>
      <c r="R23" s="18">
        <v>6</v>
      </c>
      <c r="S23" s="18">
        <v>10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210</v>
      </c>
      <c r="D26" s="127"/>
      <c r="E26" s="128" t="s">
        <v>20</v>
      </c>
      <c r="F26" s="127"/>
      <c r="G26" s="129" t="s">
        <v>208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abSelected="1" zoomScale="80" zoomScaleNormal="80" workbookViewId="0">
      <selection activeCell="G20" sqref="G20:K20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.21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0" t="s">
        <v>217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47"/>
      <c r="O2" s="143" t="s">
        <v>258</v>
      </c>
      <c r="P2" s="144"/>
      <c r="R2" s="151" t="s">
        <v>215</v>
      </c>
      <c r="S2" s="152"/>
      <c r="T2" s="153"/>
      <c r="V2" s="148" t="s">
        <v>27</v>
      </c>
      <c r="W2" s="149"/>
      <c r="X2" s="150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9">
        <f>V12*0.4</f>
        <v>168</v>
      </c>
      <c r="S3" s="170"/>
      <c r="T3" s="171"/>
      <c r="V3" s="160">
        <v>21</v>
      </c>
      <c r="W3" s="161"/>
      <c r="X3" s="162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9"/>
      <c r="S4" s="170"/>
      <c r="T4" s="171"/>
      <c r="V4" s="160"/>
      <c r="W4" s="161"/>
      <c r="X4" s="162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2"/>
      <c r="S5" s="173"/>
      <c r="T5" s="174"/>
      <c r="V5" s="163"/>
      <c r="W5" s="164"/>
      <c r="X5" s="165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6" t="s">
        <v>30</v>
      </c>
      <c r="S7" s="167"/>
      <c r="T7" s="168"/>
      <c r="V7" s="148" t="s">
        <v>28</v>
      </c>
      <c r="W7" s="149"/>
      <c r="X7" s="150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9">
        <f>V12*0.3</f>
        <v>126</v>
      </c>
      <c r="S8" s="170"/>
      <c r="T8" s="171"/>
      <c r="V8" s="176">
        <v>20</v>
      </c>
      <c r="W8" s="177"/>
      <c r="X8" s="178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47"/>
      <c r="O9" s="5" t="s">
        <v>194</v>
      </c>
      <c r="P9" s="9" t="s">
        <v>185</v>
      </c>
      <c r="R9" s="172"/>
      <c r="S9" s="173"/>
      <c r="T9" s="174"/>
      <c r="V9" s="179"/>
      <c r="W9" s="180"/>
      <c r="X9" s="18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5" t="s">
        <v>31</v>
      </c>
      <c r="S11" s="186"/>
      <c r="T11" s="187"/>
      <c r="V11" s="148" t="s">
        <v>29</v>
      </c>
      <c r="W11" s="149"/>
      <c r="X11" s="150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9">
        <f>V12*0.2</f>
        <v>84</v>
      </c>
      <c r="S12" s="170"/>
      <c r="T12" s="171"/>
      <c r="V12" s="154">
        <f>V3*V8</f>
        <v>420</v>
      </c>
      <c r="W12" s="155"/>
      <c r="X12" s="156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2"/>
      <c r="S13" s="173"/>
      <c r="T13" s="174"/>
      <c r="V13" s="157"/>
      <c r="W13" s="158"/>
      <c r="X13" s="159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2" t="s">
        <v>216</v>
      </c>
      <c r="S15" s="183"/>
      <c r="T15" s="184"/>
      <c r="V15" s="175"/>
      <c r="W15" s="175"/>
      <c r="X15" s="175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47"/>
      <c r="O16" s="5" t="s">
        <v>203</v>
      </c>
      <c r="P16" s="9" t="s">
        <v>205</v>
      </c>
      <c r="R16" s="169">
        <f>V12*0.1</f>
        <v>42</v>
      </c>
      <c r="S16" s="170"/>
      <c r="T16" s="171"/>
      <c r="V16" s="155"/>
      <c r="W16" s="155"/>
      <c r="X16" s="155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2"/>
      <c r="S17" s="173"/>
      <c r="T17" s="174"/>
      <c r="V17" s="155"/>
      <c r="W17" s="155"/>
      <c r="X17" s="155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8" t="s">
        <v>81</v>
      </c>
      <c r="P20" s="188"/>
      <c r="Q20" s="188"/>
      <c r="R20" s="196"/>
      <c r="S20" s="196"/>
      <c r="T20" s="196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8" t="s">
        <v>82</v>
      </c>
      <c r="P21" s="188"/>
      <c r="Q21" s="188"/>
      <c r="R21" s="197"/>
      <c r="S21" s="197"/>
      <c r="T21" s="197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47"/>
      <c r="S23" s="195" t="s">
        <v>283</v>
      </c>
      <c r="T23" s="195"/>
      <c r="U23" s="195"/>
      <c r="V23" s="195"/>
      <c r="W23" s="195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211</v>
      </c>
      <c r="T24" s="49"/>
      <c r="U24" s="6" t="s">
        <v>20</v>
      </c>
      <c r="V24" s="49"/>
      <c r="W24" s="45" t="s">
        <v>213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8" t="s">
        <v>256</v>
      </c>
      <c r="S25" s="198"/>
      <c r="T25" s="198"/>
      <c r="U25" s="198"/>
      <c r="V25" s="198"/>
      <c r="W25" s="198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9"/>
      <c r="S26" s="199"/>
      <c r="T26" s="199"/>
      <c r="U26" s="199"/>
      <c r="V26" s="199"/>
      <c r="W26" s="199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7" t="s">
        <v>219</v>
      </c>
      <c r="S27" s="118" t="s">
        <v>211</v>
      </c>
      <c r="T27" s="119">
        <v>2</v>
      </c>
      <c r="U27" s="120" t="s">
        <v>33</v>
      </c>
      <c r="V27" s="119">
        <v>0</v>
      </c>
      <c r="W27" s="121" t="s">
        <v>213</v>
      </c>
      <c r="X27" s="105"/>
      <c r="Y27" s="3" t="s">
        <v>287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211</v>
      </c>
      <c r="T28" s="115">
        <v>2</v>
      </c>
      <c r="U28" s="108" t="s">
        <v>33</v>
      </c>
      <c r="V28" s="115">
        <v>0</v>
      </c>
      <c r="W28" s="109" t="s">
        <v>213</v>
      </c>
      <c r="X28" s="105"/>
      <c r="Y28" s="3" t="s">
        <v>287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211</v>
      </c>
      <c r="T29" s="119">
        <v>4</v>
      </c>
      <c r="U29" s="120" t="s">
        <v>33</v>
      </c>
      <c r="V29" s="119">
        <v>0</v>
      </c>
      <c r="W29" s="121" t="s">
        <v>213</v>
      </c>
      <c r="X29" s="105"/>
      <c r="Y29" s="3" t="s">
        <v>287</v>
      </c>
    </row>
    <row r="30" spans="1:25" ht="19.2" customHeight="1" thickTop="1" thickBot="1" x14ac:dyDescent="0.35">
      <c r="R30" s="113" t="s">
        <v>223</v>
      </c>
      <c r="S30" s="107" t="s">
        <v>211</v>
      </c>
      <c r="T30" s="115">
        <v>2</v>
      </c>
      <c r="U30" s="108" t="s">
        <v>33</v>
      </c>
      <c r="V30" s="115">
        <v>2</v>
      </c>
      <c r="W30" s="109" t="s">
        <v>213</v>
      </c>
      <c r="X30" s="105"/>
      <c r="Y30" s="3" t="s">
        <v>287</v>
      </c>
    </row>
    <row r="31" spans="1:25" ht="16.2" customHeight="1" thickTop="1" x14ac:dyDescent="0.3">
      <c r="A31" s="192" t="s">
        <v>126</v>
      </c>
      <c r="B31" s="193"/>
      <c r="C31" s="193"/>
      <c r="D31" s="193"/>
      <c r="E31" s="19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211</v>
      </c>
      <c r="T31" s="119">
        <v>2</v>
      </c>
      <c r="U31" s="120" t="s">
        <v>33</v>
      </c>
      <c r="V31" s="119">
        <v>0</v>
      </c>
      <c r="W31" s="121" t="s">
        <v>213</v>
      </c>
      <c r="X31" s="105"/>
      <c r="Y31" s="3" t="s">
        <v>287</v>
      </c>
    </row>
    <row r="32" spans="1:25" x14ac:dyDescent="0.3">
      <c r="A32" s="41"/>
      <c r="B32" s="49"/>
      <c r="C32" s="6" t="s">
        <v>33</v>
      </c>
      <c r="D32" s="49"/>
      <c r="E32" s="45"/>
      <c r="G32" s="189"/>
      <c r="H32" s="190"/>
      <c r="I32" s="190"/>
      <c r="J32" s="190"/>
      <c r="K32" s="191"/>
      <c r="R32" s="114" t="s">
        <v>232</v>
      </c>
      <c r="S32" s="110" t="s">
        <v>211</v>
      </c>
      <c r="T32" s="116">
        <v>2</v>
      </c>
      <c r="U32" s="111" t="s">
        <v>33</v>
      </c>
      <c r="V32" s="116">
        <v>1</v>
      </c>
      <c r="W32" s="112" t="s">
        <v>213</v>
      </c>
      <c r="X32" s="105"/>
      <c r="Y32" s="3" t="s">
        <v>287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211</v>
      </c>
      <c r="T33" s="119">
        <v>2</v>
      </c>
      <c r="U33" s="120" t="s">
        <v>33</v>
      </c>
      <c r="V33" s="119">
        <v>0</v>
      </c>
      <c r="W33" s="121" t="s">
        <v>213</v>
      </c>
      <c r="X33" s="105"/>
      <c r="Y33" s="3" t="s">
        <v>287</v>
      </c>
    </row>
    <row r="34" spans="1:25" x14ac:dyDescent="0.3">
      <c r="A34" s="41"/>
      <c r="B34" s="49"/>
      <c r="C34" s="6" t="s">
        <v>33</v>
      </c>
      <c r="D34" s="49"/>
      <c r="E34" s="45"/>
      <c r="G34" s="202" t="s">
        <v>82</v>
      </c>
      <c r="H34" s="203"/>
      <c r="I34" s="203"/>
      <c r="J34" s="203"/>
      <c r="K34" s="203"/>
      <c r="R34" s="114" t="s">
        <v>225</v>
      </c>
      <c r="S34" s="110" t="s">
        <v>211</v>
      </c>
      <c r="T34" s="116">
        <v>2</v>
      </c>
      <c r="U34" s="111" t="s">
        <v>33</v>
      </c>
      <c r="V34" s="116">
        <v>0</v>
      </c>
      <c r="W34" s="112" t="s">
        <v>213</v>
      </c>
      <c r="X34" s="105"/>
      <c r="Y34" s="3" t="s">
        <v>287</v>
      </c>
    </row>
    <row r="35" spans="1:25" x14ac:dyDescent="0.3">
      <c r="A35" s="41"/>
      <c r="B35" s="49"/>
      <c r="C35" s="6" t="s">
        <v>33</v>
      </c>
      <c r="D35" s="49"/>
      <c r="E35" s="45"/>
      <c r="G35" s="204"/>
      <c r="H35" s="204"/>
      <c r="I35" s="204"/>
      <c r="J35" s="204"/>
      <c r="K35" s="204"/>
      <c r="R35" s="117" t="s">
        <v>224</v>
      </c>
      <c r="S35" s="118" t="s">
        <v>211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287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211</v>
      </c>
      <c r="T36" s="116">
        <v>1</v>
      </c>
      <c r="U36" s="111" t="s">
        <v>33</v>
      </c>
      <c r="V36" s="116">
        <v>0</v>
      </c>
      <c r="W36" s="112" t="s">
        <v>213</v>
      </c>
      <c r="X36" s="105"/>
      <c r="Y36" s="3" t="s">
        <v>287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211</v>
      </c>
      <c r="T37" s="119">
        <v>3</v>
      </c>
      <c r="U37" s="120" t="s">
        <v>33</v>
      </c>
      <c r="V37" s="119">
        <v>0</v>
      </c>
      <c r="W37" s="121" t="s">
        <v>213</v>
      </c>
      <c r="X37" s="105"/>
      <c r="Y37" s="3" t="s">
        <v>287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211</v>
      </c>
      <c r="T38" s="116">
        <v>2</v>
      </c>
      <c r="U38" s="111" t="s">
        <v>33</v>
      </c>
      <c r="V38" s="116">
        <v>0</v>
      </c>
      <c r="W38" s="112" t="s">
        <v>213</v>
      </c>
      <c r="X38" s="105"/>
      <c r="Y38" s="3" t="s">
        <v>287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05"/>
      <c r="H39" s="205"/>
      <c r="I39" s="205"/>
      <c r="J39" s="205"/>
      <c r="K39" s="205"/>
      <c r="R39" s="117" t="s">
        <v>228</v>
      </c>
      <c r="S39" s="118" t="s">
        <v>211</v>
      </c>
      <c r="T39" s="119">
        <v>3</v>
      </c>
      <c r="U39" s="120" t="s">
        <v>33</v>
      </c>
      <c r="V39" s="119">
        <v>0</v>
      </c>
      <c r="W39" s="121" t="s">
        <v>213</v>
      </c>
      <c r="X39" s="105"/>
      <c r="Y39" s="3" t="s">
        <v>287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211</v>
      </c>
      <c r="T40" s="116">
        <v>3</v>
      </c>
      <c r="U40" s="111" t="s">
        <v>33</v>
      </c>
      <c r="V40" s="116">
        <v>1</v>
      </c>
      <c r="W40" s="112" t="s">
        <v>213</v>
      </c>
      <c r="X40" s="105"/>
      <c r="Y40" s="3" t="s">
        <v>287</v>
      </c>
    </row>
    <row r="41" spans="1:25" ht="18.600000000000001" thickTop="1" x14ac:dyDescent="0.3">
      <c r="A41" s="192" t="s">
        <v>95</v>
      </c>
      <c r="B41" s="193"/>
      <c r="C41" s="193"/>
      <c r="D41" s="193"/>
      <c r="E41" s="194"/>
      <c r="G41" s="100"/>
      <c r="H41" s="101"/>
      <c r="I41" s="102"/>
      <c r="J41" s="101"/>
      <c r="K41" s="103"/>
      <c r="R41" s="117" t="s">
        <v>47</v>
      </c>
      <c r="S41" s="118" t="s">
        <v>211</v>
      </c>
      <c r="T41" s="119">
        <v>4</v>
      </c>
      <c r="U41" s="120" t="s">
        <v>33</v>
      </c>
      <c r="V41" s="119">
        <v>0</v>
      </c>
      <c r="W41" s="121" t="s">
        <v>213</v>
      </c>
      <c r="X41" s="105"/>
      <c r="Y41" s="3" t="s">
        <v>287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211</v>
      </c>
      <c r="T42" s="116">
        <v>5</v>
      </c>
      <c r="U42" s="111" t="s">
        <v>33</v>
      </c>
      <c r="V42" s="116">
        <v>0</v>
      </c>
      <c r="W42" s="112" t="s">
        <v>213</v>
      </c>
      <c r="X42" s="105"/>
      <c r="Y42" s="3" t="s">
        <v>287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211</v>
      </c>
      <c r="T43" s="119">
        <v>3</v>
      </c>
      <c r="U43" s="120" t="s">
        <v>33</v>
      </c>
      <c r="V43" s="119">
        <v>0</v>
      </c>
      <c r="W43" s="121" t="s">
        <v>213</v>
      </c>
      <c r="X43" s="105"/>
      <c r="Y43" s="3" t="s">
        <v>287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211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287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211</v>
      </c>
      <c r="T45" s="119">
        <v>2</v>
      </c>
      <c r="U45" s="120" t="s">
        <v>33</v>
      </c>
      <c r="V45" s="119">
        <v>0</v>
      </c>
      <c r="W45" s="121" t="s">
        <v>213</v>
      </c>
      <c r="X45" s="105"/>
      <c r="Y45" s="3" t="s">
        <v>287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211</v>
      </c>
      <c r="T46" s="116">
        <v>3</v>
      </c>
      <c r="U46" s="111" t="s">
        <v>33</v>
      </c>
      <c r="V46" s="116">
        <v>0</v>
      </c>
      <c r="W46" s="112" t="s">
        <v>213</v>
      </c>
      <c r="X46" s="105"/>
      <c r="Y46" s="3" t="s">
        <v>287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211</v>
      </c>
      <c r="T47" s="119">
        <v>3</v>
      </c>
      <c r="U47" s="120" t="s">
        <v>33</v>
      </c>
      <c r="V47" s="119">
        <v>0</v>
      </c>
      <c r="W47" s="121" t="s">
        <v>213</v>
      </c>
      <c r="X47" s="105"/>
      <c r="Y47" s="3" t="s">
        <v>287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0" t="s">
        <v>98</v>
      </c>
      <c r="B54" s="201"/>
      <c r="C54" s="201"/>
      <c r="D54" s="201"/>
      <c r="E54" s="201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219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191</v>
      </c>
      <c r="X12" s="130"/>
      <c r="Y12" s="130"/>
      <c r="Z12" s="2">
        <v>2</v>
      </c>
      <c r="AB12" s="2">
        <v>1</v>
      </c>
      <c r="AC12" s="130" t="s">
        <v>193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8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 Alex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Ivan Alex - Quartas de Final</v>
      </c>
      <c r="B68" s="209"/>
      <c r="C68" s="209"/>
      <c r="D68" s="209"/>
      <c r="E68" s="209"/>
      <c r="J68" s="71" t="str">
        <f>IF(Tabela!F41="","",Tabela!F41)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 Alex - Semi Final</v>
      </c>
      <c r="B74" s="209"/>
      <c r="C74" s="209"/>
      <c r="D74" s="209"/>
      <c r="E74" s="209"/>
      <c r="J74" s="71" t="str">
        <f>IF(Tabela!F47="","",Tabela!F47)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 Alex - Final</v>
      </c>
      <c r="B78" s="209"/>
      <c r="C78" s="209"/>
      <c r="D78" s="209"/>
      <c r="E78" s="209"/>
      <c r="J78" s="71" t="str">
        <f>IF(Tabela!F54="","",Tabela!F54)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240</v>
      </c>
      <c r="R11" s="213"/>
      <c r="S11" s="213"/>
      <c r="T11" s="213"/>
      <c r="U11" s="213"/>
      <c r="W11" s="130" t="s">
        <v>210</v>
      </c>
      <c r="X11" s="130"/>
      <c r="Y11" s="130"/>
      <c r="Z11" s="2">
        <v>3</v>
      </c>
      <c r="AB11" s="2">
        <v>1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8</v>
      </c>
      <c r="S19" s="18">
        <v>6</v>
      </c>
      <c r="T19" s="18">
        <v>7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Sérginho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Sérginho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Sérginho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Sérginho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221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310</v>
      </c>
      <c r="R11" s="213"/>
      <c r="S11" s="213"/>
      <c r="T11" s="213"/>
      <c r="U11" s="213"/>
      <c r="W11" s="130" t="s">
        <v>193</v>
      </c>
      <c r="X11" s="130"/>
      <c r="Y11" s="130"/>
      <c r="Z11" s="2">
        <v>2</v>
      </c>
      <c r="AB11" s="2">
        <v>2</v>
      </c>
      <c r="AC11" s="130" t="s">
        <v>194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202</v>
      </c>
      <c r="X14" s="130"/>
      <c r="Y14" s="130"/>
      <c r="Z14" s="2">
        <v>2</v>
      </c>
      <c r="AB14" s="2">
        <v>1</v>
      </c>
      <c r="AC14" s="130" t="s">
        <v>200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7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239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Jean Carlos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Jean Carlos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Jean Carlos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Jean Carlos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260</v>
      </c>
      <c r="R11" s="213"/>
      <c r="S11" s="213"/>
      <c r="T11" s="213"/>
      <c r="U11" s="213"/>
      <c r="W11" s="130" t="s">
        <v>207</v>
      </c>
      <c r="X11" s="130"/>
      <c r="Y11" s="130"/>
      <c r="Z11" s="2">
        <v>2</v>
      </c>
      <c r="AB11" s="2">
        <v>0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11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210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5</v>
      </c>
      <c r="T19" s="18">
        <v>4</v>
      </c>
      <c r="U19" s="18">
        <v>12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310</v>
      </c>
      <c r="R11" s="213"/>
      <c r="S11" s="213"/>
      <c r="T11" s="213"/>
      <c r="U11" s="213"/>
      <c r="W11" s="130" t="s">
        <v>191</v>
      </c>
      <c r="X11" s="130"/>
      <c r="Y11" s="130"/>
      <c r="Z11" s="2">
        <v>2</v>
      </c>
      <c r="AB11" s="2">
        <v>1</v>
      </c>
      <c r="AC11" s="130" t="s">
        <v>193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199</v>
      </c>
      <c r="X13" s="130"/>
      <c r="Y13" s="130"/>
      <c r="Z13" s="2">
        <v>0</v>
      </c>
      <c r="AB13" s="2">
        <v>0</v>
      </c>
      <c r="AC13" s="130" t="s">
        <v>201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207</v>
      </c>
      <c r="X14" s="130"/>
      <c r="Y14" s="130"/>
      <c r="Z14" s="2">
        <v>2</v>
      </c>
      <c r="AB14" s="2">
        <v>0</v>
      </c>
      <c r="AC14" s="130" t="s">
        <v>208</v>
      </c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6</v>
      </c>
      <c r="T19" s="18">
        <v>7</v>
      </c>
      <c r="U19" s="18">
        <v>5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195</v>
      </c>
      <c r="T21" s="207"/>
      <c r="U21" s="207" t="s">
        <v>202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240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Aires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Aires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Aires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Aires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65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285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213</v>
      </c>
      <c r="X14" s="130"/>
      <c r="Y14" s="130"/>
      <c r="Z14" s="2">
        <v>1</v>
      </c>
      <c r="AB14" s="2">
        <v>2</v>
      </c>
      <c r="AC14" s="130" t="s">
        <v>214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7</v>
      </c>
      <c r="S19" s="18">
        <v>4</v>
      </c>
      <c r="T19" s="18">
        <v>3</v>
      </c>
      <c r="U19" s="18">
        <v>10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Bruno Flores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9" t="str">
        <f>_xlfn.CONCAT(W2,A67)</f>
        <v>Bruno Flores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9" t="str">
        <f>_xlfn.CONCAT(W$2,A73)</f>
        <v>Bruno Flores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9" t="str">
        <f>_xlfn.CONCAT(W$2,A77)</f>
        <v>Bruno Flores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240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4</v>
      </c>
      <c r="T19" s="18">
        <v>10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204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241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Naldinho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Naldinho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Naldinho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Naldinho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7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Santos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Santos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Santos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Santos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196</v>
      </c>
      <c r="X10" s="130"/>
      <c r="Y10" s="130"/>
      <c r="Z10" s="2">
        <v>0</v>
      </c>
      <c r="AB10" s="2">
        <v>1</v>
      </c>
      <c r="AC10" s="130" t="s">
        <v>198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280</v>
      </c>
      <c r="R11" s="213"/>
      <c r="S11" s="213"/>
      <c r="T11" s="213"/>
      <c r="U11" s="213"/>
      <c r="W11" s="130" t="s">
        <v>203</v>
      </c>
      <c r="X11" s="130"/>
      <c r="Y11" s="130"/>
      <c r="Z11" s="2">
        <v>0</v>
      </c>
      <c r="AB11" s="2">
        <v>0</v>
      </c>
      <c r="AC11" s="130" t="s">
        <v>218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10</v>
      </c>
      <c r="T19" s="18">
        <v>8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Joseir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Joseir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Joseir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Joseir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7</v>
      </c>
      <c r="T19" s="18">
        <v>5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242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Juninho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Juninho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Juninho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Juninho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11</v>
      </c>
      <c r="T19" s="18">
        <v>4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Ivani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Ivani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Ivani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Ivani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228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250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205</v>
      </c>
      <c r="X12" s="130"/>
      <c r="Y12" s="130"/>
      <c r="Z12" s="2">
        <v>0</v>
      </c>
      <c r="AB12" s="2">
        <v>1</v>
      </c>
      <c r="AC12" s="130" t="s">
        <v>206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4</v>
      </c>
      <c r="S19" s="18">
        <v>10</v>
      </c>
      <c r="T19" s="18">
        <v>3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Manoel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Manoel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Manoel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Manoel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285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8</v>
      </c>
      <c r="T19" s="18">
        <v>8</v>
      </c>
      <c r="U19" s="18">
        <v>4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213</v>
      </c>
      <c r="X10" s="130"/>
      <c r="Y10" s="130"/>
      <c r="Z10" s="2">
        <v>1</v>
      </c>
      <c r="AB10" s="2">
        <v>2</v>
      </c>
      <c r="AC10" s="130" t="s">
        <v>214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260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11</v>
      </c>
      <c r="S19" s="18">
        <v>6</v>
      </c>
      <c r="T19" s="18">
        <v>2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Gabriel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Gabriel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Gabriel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Gabriel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255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7</v>
      </c>
      <c r="T19" s="18">
        <v>6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Marcel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Marcel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Marcel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Marcel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260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210</v>
      </c>
      <c r="X12" s="130"/>
      <c r="Y12" s="130"/>
      <c r="Z12" s="2">
        <v>3</v>
      </c>
      <c r="AB12" s="2">
        <v>1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8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191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243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Luana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Luana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Luana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Luana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295</v>
      </c>
      <c r="R11" s="213"/>
      <c r="S11" s="213"/>
      <c r="T11" s="213"/>
      <c r="U11" s="213"/>
      <c r="W11" s="130" t="s">
        <v>190</v>
      </c>
      <c r="X11" s="130"/>
      <c r="Y11" s="130"/>
      <c r="Z11" s="2">
        <v>1</v>
      </c>
      <c r="AB11" s="2">
        <v>3</v>
      </c>
      <c r="AC11" s="130" t="s">
        <v>188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4</v>
      </c>
      <c r="T19" s="18">
        <v>7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244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Oliveira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Oliveira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Oliveira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Oliveira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320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199</v>
      </c>
      <c r="X12" s="130"/>
      <c r="Y12" s="130"/>
      <c r="Z12" s="2">
        <v>0</v>
      </c>
      <c r="AB12" s="2">
        <v>0</v>
      </c>
      <c r="AC12" s="130" t="s">
        <v>201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11</v>
      </c>
      <c r="T19" s="18">
        <v>7</v>
      </c>
      <c r="U19" s="18">
        <v>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245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Miguel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Miguel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Miguel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Miguel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305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4</v>
      </c>
      <c r="T19" s="18">
        <v>7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Francesco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Francesco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Francesco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Francesco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201</v>
      </c>
      <c r="X10" s="130"/>
      <c r="Y10" s="130"/>
      <c r="Z10" s="2">
        <v>1</v>
      </c>
      <c r="AB10" s="2">
        <v>1</v>
      </c>
      <c r="AC10" s="130" t="s">
        <v>202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240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6</v>
      </c>
      <c r="S19" s="18">
        <v>10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Chicão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Chicão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Chicão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Chicão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2025-06-22T18:28:39Z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