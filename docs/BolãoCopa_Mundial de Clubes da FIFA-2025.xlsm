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693F0F8C-2E67-473E-B2AE-DABD9106DF6C}" xr6:coauthVersionLast="47" xr6:coauthVersionMax="47" xr10:uidLastSave="{00000000-0000-0000-0000-000000000000}"/>
  <bookViews>
    <workbookView xWindow="-108" yWindow="-108" windowWidth="23256" windowHeight="1257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3" i="31" l="1"/>
  <c r="L22" i="31"/>
  <c r="L21" i="31"/>
  <c r="D21" i="31"/>
  <c r="D23" i="31"/>
  <c r="F22" i="31"/>
  <c r="I22" i="31"/>
  <c r="I21" i="31"/>
  <c r="I23" i="31"/>
  <c r="H21" i="31"/>
  <c r="H22" i="31"/>
  <c r="H23" i="31"/>
  <c r="G21" i="31"/>
  <c r="G22" i="31"/>
  <c r="G23" i="31"/>
  <c r="F21" i="31"/>
  <c r="F23" i="31"/>
  <c r="E21" i="31"/>
  <c r="E22" i="31"/>
  <c r="E23" i="31"/>
  <c r="D22" i="31"/>
  <c r="P21" i="31"/>
  <c r="P22" i="31"/>
  <c r="P23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J82" i="66"/>
  <c r="J81" i="66"/>
  <c r="J80" i="66"/>
  <c r="J79" i="66"/>
  <c r="J78" i="66"/>
  <c r="J77" i="66"/>
  <c r="J76" i="66"/>
  <c r="J75" i="66"/>
  <c r="J74" i="66"/>
  <c r="J73" i="66"/>
  <c r="J72" i="66"/>
  <c r="J71" i="66"/>
  <c r="J70" i="66"/>
  <c r="J69" i="66"/>
  <c r="J68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50" i="66"/>
  <c r="J49" i="66"/>
  <c r="J48" i="66"/>
  <c r="J47" i="66"/>
  <c r="J46" i="66"/>
  <c r="J45" i="66"/>
  <c r="J44" i="66"/>
  <c r="J43" i="66"/>
  <c r="J42" i="66"/>
  <c r="J41" i="66"/>
  <c r="J40" i="66"/>
  <c r="J39" i="66"/>
  <c r="J38" i="66"/>
  <c r="J37" i="66"/>
  <c r="J36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2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8" i="66"/>
  <c r="J7" i="66"/>
  <c r="J6" i="66"/>
  <c r="J5" i="66"/>
  <c r="J4" i="66"/>
  <c r="J3" i="66"/>
  <c r="J82" i="65"/>
  <c r="J81" i="65"/>
  <c r="J80" i="65"/>
  <c r="J79" i="65"/>
  <c r="J78" i="65"/>
  <c r="J77" i="65"/>
  <c r="J76" i="65"/>
  <c r="J75" i="65"/>
  <c r="J74" i="65"/>
  <c r="J73" i="65"/>
  <c r="J72" i="65"/>
  <c r="J71" i="65"/>
  <c r="J70" i="65"/>
  <c r="J69" i="65"/>
  <c r="J68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50" i="65"/>
  <c r="J49" i="65"/>
  <c r="J48" i="65"/>
  <c r="J47" i="65"/>
  <c r="J46" i="65"/>
  <c r="J45" i="65"/>
  <c r="J44" i="65"/>
  <c r="J43" i="65"/>
  <c r="J42" i="65"/>
  <c r="J41" i="65"/>
  <c r="J40" i="65"/>
  <c r="J39" i="65"/>
  <c r="J38" i="65"/>
  <c r="J37" i="65"/>
  <c r="J36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2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8" i="65"/>
  <c r="J7" i="65"/>
  <c r="J6" i="65"/>
  <c r="J5" i="65"/>
  <c r="J4" i="65"/>
  <c r="J3" i="65"/>
  <c r="J82" i="64"/>
  <c r="J81" i="64"/>
  <c r="J80" i="64"/>
  <c r="J79" i="64"/>
  <c r="J78" i="64"/>
  <c r="J77" i="64"/>
  <c r="J76" i="64"/>
  <c r="J75" i="64"/>
  <c r="J74" i="64"/>
  <c r="J73" i="64"/>
  <c r="J72" i="64"/>
  <c r="J71" i="64"/>
  <c r="J70" i="64"/>
  <c r="J69" i="64"/>
  <c r="J68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50" i="64"/>
  <c r="J49" i="64"/>
  <c r="J48" i="64"/>
  <c r="J47" i="64"/>
  <c r="J46" i="64"/>
  <c r="J45" i="64"/>
  <c r="J44" i="64"/>
  <c r="J43" i="64"/>
  <c r="J42" i="64"/>
  <c r="J41" i="64"/>
  <c r="J40" i="64"/>
  <c r="J39" i="64"/>
  <c r="J38" i="64"/>
  <c r="J37" i="64"/>
  <c r="J36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2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8" i="64"/>
  <c r="J7" i="64"/>
  <c r="J6" i="64"/>
  <c r="J5" i="64"/>
  <c r="J4" i="64"/>
  <c r="J3" i="64"/>
  <c r="J2" i="64"/>
  <c r="J82" i="62"/>
  <c r="J81" i="62"/>
  <c r="J80" i="62"/>
  <c r="J79" i="62"/>
  <c r="J78" i="62"/>
  <c r="J77" i="62"/>
  <c r="J76" i="62"/>
  <c r="J75" i="62"/>
  <c r="J74" i="62"/>
  <c r="J73" i="62"/>
  <c r="J72" i="62"/>
  <c r="J71" i="62"/>
  <c r="J70" i="62"/>
  <c r="J69" i="62"/>
  <c r="J68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50" i="62"/>
  <c r="J49" i="62"/>
  <c r="J48" i="62"/>
  <c r="J47" i="62"/>
  <c r="J46" i="62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8" i="62"/>
  <c r="J7" i="62"/>
  <c r="J6" i="62"/>
  <c r="J5" i="62"/>
  <c r="J4" i="62"/>
  <c r="J3" i="62"/>
  <c r="J2" i="62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82" i="60"/>
  <c r="J81" i="60"/>
  <c r="J80" i="60"/>
  <c r="J79" i="60"/>
  <c r="J78" i="60"/>
  <c r="J77" i="60"/>
  <c r="J76" i="60"/>
  <c r="J75" i="60"/>
  <c r="J74" i="60"/>
  <c r="J73" i="60"/>
  <c r="J72" i="60"/>
  <c r="J71" i="60"/>
  <c r="J70" i="60"/>
  <c r="J69" i="60"/>
  <c r="J68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50" i="60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8" i="60"/>
  <c r="J7" i="60"/>
  <c r="J6" i="60"/>
  <c r="J5" i="60"/>
  <c r="J4" i="60"/>
  <c r="J3" i="60"/>
  <c r="J2" i="60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8" i="49"/>
  <c r="J7" i="49"/>
  <c r="J6" i="49"/>
  <c r="J5" i="49"/>
  <c r="J4" i="49"/>
  <c r="J3" i="49"/>
  <c r="J2" i="49"/>
  <c r="J82" i="55"/>
  <c r="J81" i="55"/>
  <c r="J80" i="55"/>
  <c r="J79" i="55"/>
  <c r="J78" i="55"/>
  <c r="J77" i="55"/>
  <c r="J76" i="55"/>
  <c r="J75" i="55"/>
  <c r="J74" i="55"/>
  <c r="J73" i="55"/>
  <c r="J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82" i="54"/>
  <c r="J81" i="54"/>
  <c r="J80" i="54"/>
  <c r="J79" i="54"/>
  <c r="J78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J44" i="54"/>
  <c r="J43" i="54"/>
  <c r="J42" i="54"/>
  <c r="J41" i="54"/>
  <c r="J40" i="54"/>
  <c r="J39" i="54"/>
  <c r="J38" i="54"/>
  <c r="J37" i="54"/>
  <c r="J36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8" i="54"/>
  <c r="J7" i="54"/>
  <c r="J6" i="54"/>
  <c r="J5" i="54"/>
  <c r="J4" i="54"/>
  <c r="J3" i="54"/>
  <c r="J2" i="54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2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82" i="53"/>
  <c r="J81" i="53"/>
  <c r="J80" i="53"/>
  <c r="J79" i="53"/>
  <c r="J78" i="53"/>
  <c r="J77" i="53"/>
  <c r="J76" i="53"/>
  <c r="J75" i="53"/>
  <c r="J74" i="53"/>
  <c r="J73" i="53"/>
  <c r="J72" i="53"/>
  <c r="J71" i="53"/>
  <c r="J70" i="53"/>
  <c r="J69" i="53"/>
  <c r="J68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50" i="53"/>
  <c r="J49" i="53"/>
  <c r="J48" i="53"/>
  <c r="J47" i="53"/>
  <c r="J46" i="53"/>
  <c r="J45" i="53"/>
  <c r="J44" i="53"/>
  <c r="J43" i="53"/>
  <c r="J42" i="53"/>
  <c r="J41" i="53"/>
  <c r="J40" i="53"/>
  <c r="J39" i="53"/>
  <c r="J38" i="53"/>
  <c r="J37" i="53"/>
  <c r="J36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2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8" i="53"/>
  <c r="J7" i="53"/>
  <c r="J6" i="53"/>
  <c r="J5" i="53"/>
  <c r="J4" i="53"/>
  <c r="J3" i="53"/>
  <c r="J2" i="53"/>
  <c r="J82" i="50"/>
  <c r="J81" i="50"/>
  <c r="J80" i="50"/>
  <c r="J79" i="50"/>
  <c r="J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82" i="63"/>
  <c r="J81" i="63"/>
  <c r="J80" i="63"/>
  <c r="J79" i="63"/>
  <c r="J78" i="63"/>
  <c r="J77" i="63"/>
  <c r="J76" i="63"/>
  <c r="J75" i="63"/>
  <c r="J74" i="63"/>
  <c r="J73" i="63"/>
  <c r="J72" i="63"/>
  <c r="J71" i="63"/>
  <c r="J70" i="63"/>
  <c r="J69" i="63"/>
  <c r="J68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50" i="63"/>
  <c r="J49" i="63"/>
  <c r="J48" i="63"/>
  <c r="J47" i="63"/>
  <c r="J46" i="63"/>
  <c r="J45" i="63"/>
  <c r="J44" i="63"/>
  <c r="J43" i="63"/>
  <c r="J42" i="63"/>
  <c r="J41" i="63"/>
  <c r="J40" i="63"/>
  <c r="J39" i="63"/>
  <c r="J38" i="63"/>
  <c r="J37" i="63"/>
  <c r="J36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2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8" i="63"/>
  <c r="J7" i="63"/>
  <c r="J6" i="63"/>
  <c r="J5" i="63"/>
  <c r="J4" i="63"/>
  <c r="J3" i="63"/>
  <c r="J2" i="63"/>
  <c r="J82" i="46"/>
  <c r="J81" i="46"/>
  <c r="J80" i="46"/>
  <c r="J79" i="46"/>
  <c r="J78" i="46"/>
  <c r="J77" i="46"/>
  <c r="J76" i="46"/>
  <c r="J75" i="46"/>
  <c r="J74" i="46"/>
  <c r="J73" i="46"/>
  <c r="J72" i="46"/>
  <c r="J71" i="46"/>
  <c r="J70" i="46"/>
  <c r="J69" i="46"/>
  <c r="J68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50" i="46"/>
  <c r="J49" i="46"/>
  <c r="J48" i="46"/>
  <c r="J47" i="46"/>
  <c r="J46" i="46"/>
  <c r="J45" i="46"/>
  <c r="J44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8" i="46"/>
  <c r="J7" i="46"/>
  <c r="J6" i="46"/>
  <c r="J5" i="46"/>
  <c r="J4" i="46"/>
  <c r="J3" i="46"/>
  <c r="J2" i="46"/>
  <c r="J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3" i="45"/>
  <c r="J4" i="45"/>
  <c r="J5" i="45"/>
  <c r="J6" i="45"/>
  <c r="J7" i="45"/>
  <c r="J8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N72" i="66"/>
  <c r="M72" i="66"/>
  <c r="L72" i="66"/>
  <c r="K72" i="66"/>
  <c r="A72" i="66" s="1"/>
  <c r="E72" i="66"/>
  <c r="O71" i="66"/>
  <c r="N71" i="66"/>
  <c r="M71" i="66"/>
  <c r="L71" i="66"/>
  <c r="K71" i="66"/>
  <c r="A71" i="66" s="1"/>
  <c r="E71" i="66"/>
  <c r="O70" i="66"/>
  <c r="E70" i="66" s="1"/>
  <c r="N70" i="66"/>
  <c r="M70" i="66"/>
  <c r="L70" i="66"/>
  <c r="K70" i="66"/>
  <c r="A70" i="66"/>
  <c r="O69" i="66"/>
  <c r="E69" i="66" s="1"/>
  <c r="N69" i="66"/>
  <c r="M69" i="66"/>
  <c r="L69" i="66"/>
  <c r="K69" i="66"/>
  <c r="A69" i="66" s="1"/>
  <c r="A68" i="66"/>
  <c r="O66" i="66"/>
  <c r="N66" i="66"/>
  <c r="M66" i="66"/>
  <c r="L66" i="66"/>
  <c r="K66" i="66"/>
  <c r="E66" i="66"/>
  <c r="A66" i="66"/>
  <c r="O65" i="66"/>
  <c r="E65" i="66" s="1"/>
  <c r="N65" i="66"/>
  <c r="M65" i="66"/>
  <c r="L65" i="66"/>
  <c r="K65" i="66"/>
  <c r="A65" i="66" s="1"/>
  <c r="O64" i="66"/>
  <c r="N64" i="66"/>
  <c r="M64" i="66"/>
  <c r="L64" i="66"/>
  <c r="K64" i="66"/>
  <c r="E64" i="66"/>
  <c r="A64" i="66"/>
  <c r="O63" i="66"/>
  <c r="E63" i="66" s="1"/>
  <c r="N63" i="66"/>
  <c r="M63" i="66"/>
  <c r="L63" i="66"/>
  <c r="K63" i="66"/>
  <c r="A63" i="66"/>
  <c r="O62" i="66"/>
  <c r="N62" i="66"/>
  <c r="M62" i="66"/>
  <c r="L62" i="66"/>
  <c r="K62" i="66"/>
  <c r="A62" i="66" s="1"/>
  <c r="E62" i="66"/>
  <c r="O61" i="66"/>
  <c r="E61" i="66" s="1"/>
  <c r="N61" i="66"/>
  <c r="M61" i="66"/>
  <c r="L61" i="66"/>
  <c r="K61" i="66"/>
  <c r="A61" i="66" s="1"/>
  <c r="O60" i="66"/>
  <c r="N60" i="66"/>
  <c r="M60" i="66"/>
  <c r="L60" i="66"/>
  <c r="K60" i="66"/>
  <c r="A60" i="66" s="1"/>
  <c r="E60" i="66"/>
  <c r="O59" i="66"/>
  <c r="N59" i="66"/>
  <c r="M59" i="66"/>
  <c r="L59" i="66"/>
  <c r="K59" i="66"/>
  <c r="A59" i="66" s="1"/>
  <c r="E59" i="66"/>
  <c r="A58" i="66"/>
  <c r="O56" i="66"/>
  <c r="E56" i="66" s="1"/>
  <c r="N56" i="66"/>
  <c r="M56" i="66"/>
  <c r="L56" i="66"/>
  <c r="K56" i="66"/>
  <c r="A56" i="66"/>
  <c r="O55" i="66"/>
  <c r="N55" i="66"/>
  <c r="M55" i="66"/>
  <c r="L55" i="66"/>
  <c r="K55" i="66"/>
  <c r="A55" i="66" s="1"/>
  <c r="E55" i="66"/>
  <c r="O54" i="66"/>
  <c r="E54" i="66" s="1"/>
  <c r="N54" i="66"/>
  <c r="M54" i="66"/>
  <c r="L54" i="66"/>
  <c r="K54" i="66"/>
  <c r="A54" i="66" s="1"/>
  <c r="O53" i="66"/>
  <c r="N53" i="66"/>
  <c r="M53" i="66"/>
  <c r="L53" i="66"/>
  <c r="K53" i="66"/>
  <c r="A53" i="66" s="1"/>
  <c r="E53" i="66"/>
  <c r="O52" i="66"/>
  <c r="N52" i="66"/>
  <c r="M52" i="66"/>
  <c r="L52" i="66"/>
  <c r="K52" i="66"/>
  <c r="A52" i="66" s="1"/>
  <c r="E52" i="66"/>
  <c r="O51" i="66"/>
  <c r="E51" i="66" s="1"/>
  <c r="N51" i="66"/>
  <c r="M51" i="66"/>
  <c r="L51" i="66"/>
  <c r="K51" i="66"/>
  <c r="A51" i="66"/>
  <c r="O49" i="66"/>
  <c r="N49" i="66"/>
  <c r="M49" i="66"/>
  <c r="L49" i="66"/>
  <c r="K49" i="66"/>
  <c r="A49" i="66" s="1"/>
  <c r="E49" i="66"/>
  <c r="O48" i="66"/>
  <c r="E48" i="66" s="1"/>
  <c r="N48" i="66"/>
  <c r="M48" i="66"/>
  <c r="L48" i="66"/>
  <c r="K48" i="66"/>
  <c r="A48" i="66" s="1"/>
  <c r="O47" i="66"/>
  <c r="N47" i="66"/>
  <c r="M47" i="66"/>
  <c r="L47" i="66"/>
  <c r="K47" i="66"/>
  <c r="A47" i="66" s="1"/>
  <c r="E47" i="66"/>
  <c r="O46" i="66"/>
  <c r="N46" i="66"/>
  <c r="M46" i="66"/>
  <c r="L46" i="66"/>
  <c r="K46" i="66"/>
  <c r="A46" i="66" s="1"/>
  <c r="E46" i="66"/>
  <c r="O45" i="66"/>
  <c r="E45" i="66" s="1"/>
  <c r="N45" i="66"/>
  <c r="M45" i="66"/>
  <c r="L45" i="66"/>
  <c r="K45" i="66"/>
  <c r="A45" i="66"/>
  <c r="O44" i="66"/>
  <c r="E44" i="66" s="1"/>
  <c r="N44" i="66"/>
  <c r="M44" i="66"/>
  <c r="L44" i="66"/>
  <c r="K44" i="66"/>
  <c r="A44" i="66"/>
  <c r="O42" i="66"/>
  <c r="E42" i="66" s="1"/>
  <c r="N42" i="66"/>
  <c r="M42" i="66"/>
  <c r="L42" i="66"/>
  <c r="K42" i="66"/>
  <c r="A42" i="66" s="1"/>
  <c r="O41" i="66"/>
  <c r="N41" i="66"/>
  <c r="M41" i="66"/>
  <c r="L41" i="66"/>
  <c r="K41" i="66"/>
  <c r="A41" i="66" s="1"/>
  <c r="E41" i="66"/>
  <c r="O40" i="66"/>
  <c r="N40" i="66"/>
  <c r="M40" i="66"/>
  <c r="L40" i="66"/>
  <c r="K40" i="66"/>
  <c r="A40" i="66" s="1"/>
  <c r="E40" i="66"/>
  <c r="O39" i="66"/>
  <c r="E39" i="66" s="1"/>
  <c r="N39" i="66"/>
  <c r="M39" i="66"/>
  <c r="L39" i="66"/>
  <c r="K39" i="66"/>
  <c r="A39" i="66"/>
  <c r="O38" i="66"/>
  <c r="E38" i="66" s="1"/>
  <c r="N38" i="66"/>
  <c r="M38" i="66"/>
  <c r="L38" i="66"/>
  <c r="K38" i="66"/>
  <c r="A38" i="66"/>
  <c r="O37" i="66"/>
  <c r="N37" i="66"/>
  <c r="M37" i="66"/>
  <c r="L37" i="66"/>
  <c r="K37" i="66"/>
  <c r="A37" i="66" s="1"/>
  <c r="E37" i="66"/>
  <c r="O35" i="66"/>
  <c r="N35" i="66"/>
  <c r="M35" i="66"/>
  <c r="L35" i="66"/>
  <c r="K35" i="66"/>
  <c r="A35" i="66" s="1"/>
  <c r="E35" i="66"/>
  <c r="O34" i="66"/>
  <c r="N34" i="66"/>
  <c r="M34" i="66"/>
  <c r="L34" i="66"/>
  <c r="K34" i="66"/>
  <c r="A34" i="66" s="1"/>
  <c r="E34" i="66"/>
  <c r="O33" i="66"/>
  <c r="E33" i="66" s="1"/>
  <c r="N33" i="66"/>
  <c r="M33" i="66"/>
  <c r="L33" i="66"/>
  <c r="K33" i="66"/>
  <c r="A33" i="66"/>
  <c r="O32" i="66"/>
  <c r="E32" i="66" s="1"/>
  <c r="N32" i="66"/>
  <c r="M32" i="66"/>
  <c r="L32" i="66"/>
  <c r="K32" i="66"/>
  <c r="A32" i="66"/>
  <c r="O31" i="66"/>
  <c r="N31" i="66"/>
  <c r="M31" i="66"/>
  <c r="L31" i="66"/>
  <c r="K31" i="66"/>
  <c r="A31" i="66" s="1"/>
  <c r="E31" i="66"/>
  <c r="O30" i="66"/>
  <c r="E30" i="66" s="1"/>
  <c r="N30" i="66"/>
  <c r="M30" i="66"/>
  <c r="L30" i="66"/>
  <c r="K30" i="66"/>
  <c r="A30" i="66"/>
  <c r="O28" i="66"/>
  <c r="N28" i="66"/>
  <c r="M28" i="66"/>
  <c r="L28" i="66"/>
  <c r="K28" i="66"/>
  <c r="E28" i="66"/>
  <c r="A28" i="66"/>
  <c r="O27" i="66"/>
  <c r="E27" i="66" s="1"/>
  <c r="N27" i="66"/>
  <c r="M27" i="66"/>
  <c r="L27" i="66"/>
  <c r="K27" i="66"/>
  <c r="A27" i="66" s="1"/>
  <c r="O26" i="66"/>
  <c r="N26" i="66"/>
  <c r="M26" i="66"/>
  <c r="L26" i="66"/>
  <c r="K26" i="66"/>
  <c r="E26" i="66"/>
  <c r="A26" i="66"/>
  <c r="O25" i="66"/>
  <c r="E25" i="66" s="1"/>
  <c r="N25" i="66"/>
  <c r="M25" i="66"/>
  <c r="L25" i="66"/>
  <c r="K25" i="66"/>
  <c r="A25" i="66"/>
  <c r="O24" i="66"/>
  <c r="N24" i="66"/>
  <c r="M24" i="66"/>
  <c r="L24" i="66"/>
  <c r="K24" i="66"/>
  <c r="A24" i="66" s="1"/>
  <c r="E24" i="66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N20" i="66"/>
  <c r="M20" i="66"/>
  <c r="L20" i="66"/>
  <c r="K20" i="66"/>
  <c r="E20" i="66"/>
  <c r="A20" i="66"/>
  <c r="O19" i="66"/>
  <c r="E19" i="66" s="1"/>
  <c r="N19" i="66"/>
  <c r="M19" i="66"/>
  <c r="L19" i="66"/>
  <c r="K19" i="66"/>
  <c r="A19" i="66"/>
  <c r="O18" i="66"/>
  <c r="N18" i="66"/>
  <c r="M18" i="66"/>
  <c r="L18" i="66"/>
  <c r="K18" i="66"/>
  <c r="A18" i="66" s="1"/>
  <c r="E18" i="66"/>
  <c r="O17" i="66"/>
  <c r="E17" i="66" s="1"/>
  <c r="N17" i="66"/>
  <c r="M17" i="66"/>
  <c r="L17" i="66"/>
  <c r="K17" i="66"/>
  <c r="A17" i="66" s="1"/>
  <c r="O16" i="66"/>
  <c r="N16" i="66"/>
  <c r="M16" i="66"/>
  <c r="L16" i="66"/>
  <c r="K16" i="66"/>
  <c r="A16" i="66" s="1"/>
  <c r="E16" i="66"/>
  <c r="O14" i="66"/>
  <c r="N14" i="66"/>
  <c r="M14" i="66"/>
  <c r="L14" i="66"/>
  <c r="K14" i="66"/>
  <c r="E14" i="66"/>
  <c r="A14" i="66"/>
  <c r="O13" i="66"/>
  <c r="E13" i="66" s="1"/>
  <c r="N13" i="66"/>
  <c r="M13" i="66"/>
  <c r="L13" i="66"/>
  <c r="K13" i="66"/>
  <c r="A13" i="66"/>
  <c r="O12" i="66"/>
  <c r="E12" i="66" s="1"/>
  <c r="N12" i="66"/>
  <c r="M12" i="66"/>
  <c r="L12" i="66"/>
  <c r="K12" i="66"/>
  <c r="A12" i="66" s="1"/>
  <c r="Q11" i="66"/>
  <c r="O11" i="66"/>
  <c r="E11" i="66" s="1"/>
  <c r="N11" i="66"/>
  <c r="M11" i="66"/>
  <c r="L11" i="66"/>
  <c r="K11" i="66"/>
  <c r="A11" i="66" s="1"/>
  <c r="O10" i="66"/>
  <c r="N10" i="66"/>
  <c r="M10" i="66"/>
  <c r="L10" i="66"/>
  <c r="K10" i="66"/>
  <c r="A10" i="66" s="1"/>
  <c r="E10" i="66"/>
  <c r="O9" i="66"/>
  <c r="N9" i="66"/>
  <c r="M9" i="66"/>
  <c r="L9" i="66"/>
  <c r="K9" i="66"/>
  <c r="E9" i="66"/>
  <c r="A9" i="66"/>
  <c r="O7" i="66"/>
  <c r="E7" i="66" s="1"/>
  <c r="N7" i="66"/>
  <c r="M7" i="66"/>
  <c r="L7" i="66"/>
  <c r="K7" i="66"/>
  <c r="A7" i="66"/>
  <c r="O6" i="66"/>
  <c r="N6" i="66"/>
  <c r="M6" i="66"/>
  <c r="L6" i="66"/>
  <c r="K6" i="66"/>
  <c r="A6" i="66" s="1"/>
  <c r="E6" i="66"/>
  <c r="O5" i="66"/>
  <c r="E5" i="66" s="1"/>
  <c r="N5" i="66"/>
  <c r="M5" i="66"/>
  <c r="L5" i="66"/>
  <c r="K5" i="66"/>
  <c r="A5" i="66" s="1"/>
  <c r="O4" i="66"/>
  <c r="N4" i="66"/>
  <c r="M4" i="66"/>
  <c r="L4" i="66"/>
  <c r="K4" i="66"/>
  <c r="A4" i="66" s="1"/>
  <c r="E4" i="66"/>
  <c r="O3" i="66"/>
  <c r="N3" i="66"/>
  <c r="M3" i="66"/>
  <c r="L3" i="66"/>
  <c r="K3" i="66"/>
  <c r="E3" i="66"/>
  <c r="A3" i="66"/>
  <c r="O2" i="66"/>
  <c r="N2" i="66"/>
  <c r="M2" i="66"/>
  <c r="L2" i="66"/>
  <c r="K2" i="66"/>
  <c r="E2" i="66"/>
  <c r="A2" i="66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N76" i="65"/>
  <c r="M76" i="65"/>
  <c r="L76" i="65"/>
  <c r="K76" i="65"/>
  <c r="E76" i="65"/>
  <c r="A76" i="65"/>
  <c r="O75" i="65"/>
  <c r="N75" i="65"/>
  <c r="M75" i="65"/>
  <c r="L75" i="65"/>
  <c r="K75" i="65"/>
  <c r="A75" i="65" s="1"/>
  <c r="E75" i="65"/>
  <c r="A74" i="65"/>
  <c r="O73" i="65"/>
  <c r="N73" i="65"/>
  <c r="M73" i="65"/>
  <c r="L73" i="65"/>
  <c r="K73" i="65"/>
  <c r="O72" i="65"/>
  <c r="N72" i="65"/>
  <c r="M72" i="65"/>
  <c r="L72" i="65"/>
  <c r="K72" i="65"/>
  <c r="A72" i="65" s="1"/>
  <c r="E72" i="65"/>
  <c r="O71" i="65"/>
  <c r="E71" i="65" s="1"/>
  <c r="N71" i="65"/>
  <c r="M71" i="65"/>
  <c r="L71" i="65"/>
  <c r="K71" i="65"/>
  <c r="A71" i="65" s="1"/>
  <c r="O70" i="65"/>
  <c r="N70" i="65"/>
  <c r="M70" i="65"/>
  <c r="L70" i="65"/>
  <c r="K70" i="65"/>
  <c r="A70" i="65" s="1"/>
  <c r="E70" i="65"/>
  <c r="O69" i="65"/>
  <c r="N69" i="65"/>
  <c r="M69" i="65"/>
  <c r="L69" i="65"/>
  <c r="K69" i="65"/>
  <c r="A69" i="65" s="1"/>
  <c r="E69" i="65"/>
  <c r="A68" i="65"/>
  <c r="O66" i="65"/>
  <c r="N66" i="65"/>
  <c r="M66" i="65"/>
  <c r="L66" i="65"/>
  <c r="K66" i="65"/>
  <c r="E66" i="65"/>
  <c r="A66" i="65"/>
  <c r="O65" i="65"/>
  <c r="N65" i="65"/>
  <c r="M65" i="65"/>
  <c r="L65" i="65"/>
  <c r="K65" i="65"/>
  <c r="A65" i="65" s="1"/>
  <c r="E65" i="65"/>
  <c r="O64" i="65"/>
  <c r="E64" i="65" s="1"/>
  <c r="N64" i="65"/>
  <c r="M64" i="65"/>
  <c r="L64" i="65"/>
  <c r="K64" i="65"/>
  <c r="A64" i="65" s="1"/>
  <c r="O63" i="65"/>
  <c r="N63" i="65"/>
  <c r="M63" i="65"/>
  <c r="L63" i="65"/>
  <c r="K63" i="65"/>
  <c r="A63" i="65" s="1"/>
  <c r="E63" i="65"/>
  <c r="O62" i="65"/>
  <c r="N62" i="65"/>
  <c r="M62" i="65"/>
  <c r="L62" i="65"/>
  <c r="K62" i="65"/>
  <c r="A62" i="65" s="1"/>
  <c r="E62" i="65"/>
  <c r="O61" i="65"/>
  <c r="E61" i="65" s="1"/>
  <c r="N61" i="65"/>
  <c r="M61" i="65"/>
  <c r="L61" i="65"/>
  <c r="K61" i="65"/>
  <c r="A61" i="65" s="1"/>
  <c r="O60" i="65"/>
  <c r="N60" i="65"/>
  <c r="M60" i="65"/>
  <c r="L60" i="65"/>
  <c r="K60" i="65"/>
  <c r="E60" i="65"/>
  <c r="A60" i="65"/>
  <c r="O59" i="65"/>
  <c r="E59" i="65" s="1"/>
  <c r="N59" i="65"/>
  <c r="M59" i="65"/>
  <c r="L59" i="65"/>
  <c r="K59" i="65"/>
  <c r="A59" i="65" s="1"/>
  <c r="A58" i="65"/>
  <c r="O56" i="65"/>
  <c r="N56" i="65"/>
  <c r="M56" i="65"/>
  <c r="L56" i="65"/>
  <c r="K56" i="65"/>
  <c r="A56" i="65" s="1"/>
  <c r="E56" i="65"/>
  <c r="O55" i="65"/>
  <c r="N55" i="65"/>
  <c r="M55" i="65"/>
  <c r="L55" i="65"/>
  <c r="K55" i="65"/>
  <c r="A55" i="65" s="1"/>
  <c r="E55" i="65"/>
  <c r="O54" i="65"/>
  <c r="E54" i="65" s="1"/>
  <c r="N54" i="65"/>
  <c r="M54" i="65"/>
  <c r="L54" i="65"/>
  <c r="K54" i="65"/>
  <c r="A54" i="65" s="1"/>
  <c r="O53" i="65"/>
  <c r="N53" i="65"/>
  <c r="M53" i="65"/>
  <c r="L53" i="65"/>
  <c r="K53" i="65"/>
  <c r="E53" i="65"/>
  <c r="A53" i="65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N49" i="65"/>
  <c r="M49" i="65"/>
  <c r="L49" i="65"/>
  <c r="K49" i="65"/>
  <c r="A49" i="65" s="1"/>
  <c r="E49" i="65"/>
  <c r="O48" i="65"/>
  <c r="E48" i="65" s="1"/>
  <c r="N48" i="65"/>
  <c r="M48" i="65"/>
  <c r="L48" i="65"/>
  <c r="K48" i="65"/>
  <c r="A48" i="65" s="1"/>
  <c r="O47" i="65"/>
  <c r="N47" i="65"/>
  <c r="M47" i="65"/>
  <c r="L47" i="65"/>
  <c r="K47" i="65"/>
  <c r="E47" i="65"/>
  <c r="A47" i="65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N44" i="65"/>
  <c r="M44" i="65"/>
  <c r="L44" i="65"/>
  <c r="K44" i="65"/>
  <c r="A44" i="65" s="1"/>
  <c r="E44" i="65"/>
  <c r="O42" i="65"/>
  <c r="E42" i="65" s="1"/>
  <c r="N42" i="65"/>
  <c r="M42" i="65"/>
  <c r="L42" i="65"/>
  <c r="K42" i="65"/>
  <c r="A42" i="65" s="1"/>
  <c r="O41" i="65"/>
  <c r="N41" i="65"/>
  <c r="M41" i="65"/>
  <c r="L41" i="65"/>
  <c r="K41" i="65"/>
  <c r="E41" i="65"/>
  <c r="A41" i="65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N38" i="65"/>
  <c r="M38" i="65"/>
  <c r="L38" i="65"/>
  <c r="K38" i="65"/>
  <c r="A38" i="65" s="1"/>
  <c r="E38" i="65"/>
  <c r="O37" i="65"/>
  <c r="N37" i="65"/>
  <c r="M37" i="65"/>
  <c r="L37" i="65"/>
  <c r="K37" i="65"/>
  <c r="A37" i="65" s="1"/>
  <c r="E37" i="65"/>
  <c r="O35" i="65"/>
  <c r="N35" i="65"/>
  <c r="M35" i="65"/>
  <c r="L35" i="65"/>
  <c r="K35" i="65"/>
  <c r="E35" i="65"/>
  <c r="A35" i="65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N32" i="65"/>
  <c r="M32" i="65"/>
  <c r="L32" i="65"/>
  <c r="K32" i="65"/>
  <c r="A32" i="65" s="1"/>
  <c r="E32" i="65"/>
  <c r="O31" i="65"/>
  <c r="N31" i="65"/>
  <c r="M31" i="65"/>
  <c r="L31" i="65"/>
  <c r="K31" i="65"/>
  <c r="A31" i="65" s="1"/>
  <c r="E31" i="65"/>
  <c r="O30" i="65"/>
  <c r="E30" i="65" s="1"/>
  <c r="N30" i="65"/>
  <c r="M30" i="65"/>
  <c r="L30" i="65"/>
  <c r="K30" i="65"/>
  <c r="A30" i="65"/>
  <c r="O28" i="65"/>
  <c r="E28" i="65" s="1"/>
  <c r="N28" i="65"/>
  <c r="M28" i="65"/>
  <c r="L28" i="65"/>
  <c r="K28" i="65"/>
  <c r="A28" i="65"/>
  <c r="O27" i="65"/>
  <c r="N27" i="65"/>
  <c r="M27" i="65"/>
  <c r="L27" i="65"/>
  <c r="K27" i="65"/>
  <c r="A27" i="65" s="1"/>
  <c r="E27" i="65"/>
  <c r="O26" i="65"/>
  <c r="E26" i="65" s="1"/>
  <c r="N26" i="65"/>
  <c r="M26" i="65"/>
  <c r="L26" i="65"/>
  <c r="K26" i="65"/>
  <c r="A26" i="65"/>
  <c r="O25" i="65"/>
  <c r="N25" i="65"/>
  <c r="M25" i="65"/>
  <c r="L25" i="65"/>
  <c r="K25" i="65"/>
  <c r="A25" i="65" s="1"/>
  <c r="E25" i="65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N21" i="65"/>
  <c r="M21" i="65"/>
  <c r="L21" i="65"/>
  <c r="K21" i="65"/>
  <c r="A21" i="65" s="1"/>
  <c r="E21" i="65"/>
  <c r="O20" i="65"/>
  <c r="E20" i="65" s="1"/>
  <c r="N20" i="65"/>
  <c r="M20" i="65"/>
  <c r="L20" i="65"/>
  <c r="K20" i="65"/>
  <c r="A20" i="65"/>
  <c r="O19" i="65"/>
  <c r="N19" i="65"/>
  <c r="M19" i="65"/>
  <c r="L19" i="65"/>
  <c r="K19" i="65"/>
  <c r="A19" i="65" s="1"/>
  <c r="E19" i="65"/>
  <c r="O18" i="65"/>
  <c r="N18" i="65"/>
  <c r="M18" i="65"/>
  <c r="L18" i="65"/>
  <c r="K18" i="65"/>
  <c r="E18" i="65"/>
  <c r="A18" i="65"/>
  <c r="O17" i="65"/>
  <c r="E17" i="65" s="1"/>
  <c r="N17" i="65"/>
  <c r="M17" i="65"/>
  <c r="L17" i="65"/>
  <c r="K17" i="65"/>
  <c r="A17" i="65" s="1"/>
  <c r="O16" i="65"/>
  <c r="N16" i="65"/>
  <c r="M16" i="65"/>
  <c r="L16" i="65"/>
  <c r="K16" i="65"/>
  <c r="A16" i="65" s="1"/>
  <c r="E16" i="65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N12" i="65"/>
  <c r="M12" i="65"/>
  <c r="L12" i="65"/>
  <c r="K12" i="65"/>
  <c r="A12" i="65" s="1"/>
  <c r="E12" i="65"/>
  <c r="Q11" i="65"/>
  <c r="O11" i="65"/>
  <c r="E11" i="65" s="1"/>
  <c r="N11" i="65"/>
  <c r="M11" i="65"/>
  <c r="L11" i="65"/>
  <c r="K11" i="65"/>
  <c r="A11" i="65" s="1"/>
  <c r="O10" i="65"/>
  <c r="N10" i="65"/>
  <c r="M10" i="65"/>
  <c r="L10" i="65"/>
  <c r="K10" i="65"/>
  <c r="A10" i="65" s="1"/>
  <c r="E10" i="65"/>
  <c r="O9" i="65"/>
  <c r="E9" i="65" s="1"/>
  <c r="N9" i="65"/>
  <c r="M9" i="65"/>
  <c r="L9" i="65"/>
  <c r="K9" i="65"/>
  <c r="A9" i="65" s="1"/>
  <c r="O7" i="65"/>
  <c r="N7" i="65"/>
  <c r="M7" i="65"/>
  <c r="L7" i="65"/>
  <c r="K7" i="65"/>
  <c r="A7" i="65" s="1"/>
  <c r="E7" i="65"/>
  <c r="O6" i="65"/>
  <c r="N6" i="65"/>
  <c r="M6" i="65"/>
  <c r="L6" i="65"/>
  <c r="K6" i="65"/>
  <c r="E6" i="65"/>
  <c r="A6" i="65"/>
  <c r="O5" i="65"/>
  <c r="E5" i="65" s="1"/>
  <c r="N5" i="65"/>
  <c r="M5" i="65"/>
  <c r="L5" i="65"/>
  <c r="K5" i="65"/>
  <c r="A5" i="65" s="1"/>
  <c r="O4" i="65"/>
  <c r="N4" i="65"/>
  <c r="M4" i="65"/>
  <c r="L4" i="65"/>
  <c r="K4" i="65"/>
  <c r="A4" i="65" s="1"/>
  <c r="E4" i="65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E49" i="62"/>
  <c r="K4" i="31"/>
  <c r="C4" i="31" s="1"/>
  <c r="K5" i="31"/>
  <c r="C5" i="31" s="1"/>
  <c r="K6" i="31"/>
  <c r="C6" i="31" s="1"/>
  <c r="K7" i="31"/>
  <c r="C7" i="31" s="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3" i="31"/>
  <c r="K3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N76" i="64"/>
  <c r="M76" i="64"/>
  <c r="L76" i="64"/>
  <c r="K76" i="64"/>
  <c r="E76" i="64"/>
  <c r="A76" i="64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N72" i="64"/>
  <c r="M72" i="64"/>
  <c r="L72" i="64"/>
  <c r="K72" i="64"/>
  <c r="A72" i="64" s="1"/>
  <c r="E72" i="64"/>
  <c r="O71" i="64"/>
  <c r="E71" i="64" s="1"/>
  <c r="N71" i="64"/>
  <c r="M71" i="64"/>
  <c r="L71" i="64"/>
  <c r="K71" i="64"/>
  <c r="A71" i="64" s="1"/>
  <c r="O70" i="64"/>
  <c r="N70" i="64"/>
  <c r="M70" i="64"/>
  <c r="L70" i="64"/>
  <c r="K70" i="64"/>
  <c r="E70" i="64"/>
  <c r="A70" i="64"/>
  <c r="O69" i="64"/>
  <c r="E69" i="64" s="1"/>
  <c r="N69" i="64"/>
  <c r="M69" i="64"/>
  <c r="L69" i="64"/>
  <c r="K69" i="64"/>
  <c r="A69" i="64" s="1"/>
  <c r="A68" i="64"/>
  <c r="O66" i="64"/>
  <c r="N66" i="64"/>
  <c r="M66" i="64"/>
  <c r="L66" i="64"/>
  <c r="K66" i="64"/>
  <c r="A66" i="64" s="1"/>
  <c r="E66" i="64"/>
  <c r="O65" i="64"/>
  <c r="N65" i="64"/>
  <c r="M65" i="64"/>
  <c r="L65" i="64"/>
  <c r="K65" i="64"/>
  <c r="E65" i="64"/>
  <c r="A65" i="64"/>
  <c r="O64" i="64"/>
  <c r="E64" i="64" s="1"/>
  <c r="N64" i="64"/>
  <c r="M64" i="64"/>
  <c r="L64" i="64"/>
  <c r="K64" i="64"/>
  <c r="A64" i="64"/>
  <c r="O63" i="64"/>
  <c r="N63" i="64"/>
  <c r="M63" i="64"/>
  <c r="L63" i="64"/>
  <c r="K63" i="64"/>
  <c r="A63" i="64" s="1"/>
  <c r="E63" i="64"/>
  <c r="O62" i="64"/>
  <c r="E62" i="64" s="1"/>
  <c r="N62" i="64"/>
  <c r="M62" i="64"/>
  <c r="L62" i="64"/>
  <c r="K62" i="64"/>
  <c r="A62" i="64"/>
  <c r="O61" i="64"/>
  <c r="E61" i="64" s="1"/>
  <c r="N61" i="64"/>
  <c r="M61" i="64"/>
  <c r="L61" i="64"/>
  <c r="K61" i="64"/>
  <c r="A61" i="64" s="1"/>
  <c r="O60" i="64"/>
  <c r="N60" i="64"/>
  <c r="M60" i="64"/>
  <c r="L60" i="64"/>
  <c r="K60" i="64"/>
  <c r="A60" i="64" s="1"/>
  <c r="E60" i="64"/>
  <c r="O59" i="64"/>
  <c r="E59" i="64" s="1"/>
  <c r="N59" i="64"/>
  <c r="M59" i="64"/>
  <c r="L59" i="64"/>
  <c r="K59" i="64"/>
  <c r="A59" i="64" s="1"/>
  <c r="A58" i="64"/>
  <c r="O56" i="64"/>
  <c r="N56" i="64"/>
  <c r="M56" i="64"/>
  <c r="L56" i="64"/>
  <c r="K56" i="64"/>
  <c r="A56" i="64" s="1"/>
  <c r="E56" i="64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N53" i="64"/>
  <c r="M53" i="64"/>
  <c r="L53" i="64"/>
  <c r="K53" i="64"/>
  <c r="A53" i="64" s="1"/>
  <c r="E53" i="64"/>
  <c r="O52" i="64"/>
  <c r="E52" i="64" s="1"/>
  <c r="N52" i="64"/>
  <c r="M52" i="64"/>
  <c r="L52" i="64"/>
  <c r="K52" i="64"/>
  <c r="A52" i="64" s="1"/>
  <c r="O51" i="64"/>
  <c r="N51" i="64"/>
  <c r="M51" i="64"/>
  <c r="L51" i="64"/>
  <c r="K51" i="64"/>
  <c r="E51" i="64"/>
  <c r="A51" i="64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N47" i="64"/>
  <c r="M47" i="64"/>
  <c r="L47" i="64"/>
  <c r="K47" i="64"/>
  <c r="A47" i="64" s="1"/>
  <c r="E47" i="64"/>
  <c r="O46" i="64"/>
  <c r="E46" i="64" s="1"/>
  <c r="N46" i="64"/>
  <c r="M46" i="64"/>
  <c r="L46" i="64"/>
  <c r="K46" i="64"/>
  <c r="A46" i="64" s="1"/>
  <c r="O45" i="64"/>
  <c r="N45" i="64"/>
  <c r="M45" i="64"/>
  <c r="L45" i="64"/>
  <c r="K45" i="64"/>
  <c r="E45" i="64"/>
  <c r="A45" i="64"/>
  <c r="O44" i="64"/>
  <c r="N44" i="64"/>
  <c r="M44" i="64"/>
  <c r="L44" i="64"/>
  <c r="K44" i="64"/>
  <c r="A44" i="64" s="1"/>
  <c r="E44" i="64"/>
  <c r="O42" i="64"/>
  <c r="E42" i="64" s="1"/>
  <c r="N42" i="64"/>
  <c r="M42" i="64"/>
  <c r="L42" i="64"/>
  <c r="K42" i="64"/>
  <c r="A42" i="64" s="1"/>
  <c r="O41" i="64"/>
  <c r="N41" i="64"/>
  <c r="M41" i="64"/>
  <c r="L41" i="64"/>
  <c r="K41" i="64"/>
  <c r="A41" i="64" s="1"/>
  <c r="E41" i="64"/>
  <c r="O40" i="64"/>
  <c r="E40" i="64" s="1"/>
  <c r="N40" i="64"/>
  <c r="M40" i="64"/>
  <c r="L40" i="64"/>
  <c r="K40" i="64"/>
  <c r="A40" i="64" s="1"/>
  <c r="O39" i="64"/>
  <c r="N39" i="64"/>
  <c r="M39" i="64"/>
  <c r="L39" i="64"/>
  <c r="K39" i="64"/>
  <c r="E39" i="64"/>
  <c r="A39" i="64"/>
  <c r="O38" i="64"/>
  <c r="N38" i="64"/>
  <c r="M38" i="64"/>
  <c r="L38" i="64"/>
  <c r="K38" i="64"/>
  <c r="A38" i="64" s="1"/>
  <c r="E38" i="64"/>
  <c r="O37" i="64"/>
  <c r="E37" i="64" s="1"/>
  <c r="N37" i="64"/>
  <c r="M37" i="64"/>
  <c r="L37" i="64"/>
  <c r="K37" i="64"/>
  <c r="A37" i="64" s="1"/>
  <c r="O35" i="64"/>
  <c r="N35" i="64"/>
  <c r="M35" i="64"/>
  <c r="L35" i="64"/>
  <c r="K35" i="64"/>
  <c r="A35" i="64" s="1"/>
  <c r="E35" i="64"/>
  <c r="O34" i="64"/>
  <c r="E34" i="64" s="1"/>
  <c r="N34" i="64"/>
  <c r="M34" i="64"/>
  <c r="L34" i="64"/>
  <c r="K34" i="64"/>
  <c r="A34" i="64" s="1"/>
  <c r="O33" i="64"/>
  <c r="N33" i="64"/>
  <c r="M33" i="64"/>
  <c r="L33" i="64"/>
  <c r="K33" i="64"/>
  <c r="E33" i="64"/>
  <c r="A33" i="64"/>
  <c r="O32" i="64"/>
  <c r="N32" i="64"/>
  <c r="M32" i="64"/>
  <c r="L32" i="64"/>
  <c r="K32" i="64"/>
  <c r="A32" i="64" s="1"/>
  <c r="E32" i="64"/>
  <c r="O31" i="64"/>
  <c r="E31" i="64" s="1"/>
  <c r="N31" i="64"/>
  <c r="M31" i="64"/>
  <c r="L31" i="64"/>
  <c r="K31" i="64"/>
  <c r="A31" i="64" s="1"/>
  <c r="O30" i="64"/>
  <c r="N30" i="64"/>
  <c r="M30" i="64"/>
  <c r="L30" i="64"/>
  <c r="K30" i="64"/>
  <c r="E30" i="64"/>
  <c r="A30" i="64"/>
  <c r="O28" i="64"/>
  <c r="N28" i="64"/>
  <c r="M28" i="64"/>
  <c r="L28" i="64"/>
  <c r="K28" i="64"/>
  <c r="A28" i="64" s="1"/>
  <c r="E28" i="64"/>
  <c r="O27" i="64"/>
  <c r="N27" i="64"/>
  <c r="M27" i="64"/>
  <c r="L27" i="64"/>
  <c r="K27" i="64"/>
  <c r="E27" i="64"/>
  <c r="A27" i="64"/>
  <c r="O26" i="64"/>
  <c r="E26" i="64" s="1"/>
  <c r="N26" i="64"/>
  <c r="M26" i="64"/>
  <c r="L26" i="64"/>
  <c r="K26" i="64"/>
  <c r="A26" i="64"/>
  <c r="O25" i="64"/>
  <c r="N25" i="64"/>
  <c r="M25" i="64"/>
  <c r="L25" i="64"/>
  <c r="K25" i="64"/>
  <c r="A25" i="64" s="1"/>
  <c r="E25" i="64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/>
  <c r="O21" i="64"/>
  <c r="E21" i="64" s="1"/>
  <c r="N21" i="64"/>
  <c r="M21" i="64"/>
  <c r="L21" i="64"/>
  <c r="K21" i="64"/>
  <c r="A21" i="64"/>
  <c r="O20" i="64"/>
  <c r="E20" i="64" s="1"/>
  <c r="N20" i="64"/>
  <c r="M20" i="64"/>
  <c r="L20" i="64"/>
  <c r="K20" i="64"/>
  <c r="A20" i="64"/>
  <c r="O19" i="64"/>
  <c r="N19" i="64"/>
  <c r="M19" i="64"/>
  <c r="L19" i="64"/>
  <c r="K19" i="64"/>
  <c r="A19" i="64" s="1"/>
  <c r="E19" i="64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/>
  <c r="O16" i="64"/>
  <c r="N16" i="64"/>
  <c r="M16" i="64"/>
  <c r="L16" i="64"/>
  <c r="K16" i="64"/>
  <c r="A16" i="64" s="1"/>
  <c r="E16" i="64"/>
  <c r="O14" i="64"/>
  <c r="E14" i="64" s="1"/>
  <c r="N14" i="64"/>
  <c r="M14" i="64"/>
  <c r="L14" i="64"/>
  <c r="K14" i="64"/>
  <c r="A14" i="64" s="1"/>
  <c r="O13" i="64"/>
  <c r="N13" i="64"/>
  <c r="M13" i="64"/>
  <c r="L13" i="64"/>
  <c r="K13" i="64"/>
  <c r="E13" i="64"/>
  <c r="A13" i="64"/>
  <c r="O12" i="64"/>
  <c r="N12" i="64"/>
  <c r="M12" i="64"/>
  <c r="L12" i="64"/>
  <c r="K12" i="64"/>
  <c r="A12" i="64" s="1"/>
  <c r="E12" i="64"/>
  <c r="Q11" i="64"/>
  <c r="O11" i="64"/>
  <c r="E11" i="64" s="1"/>
  <c r="N11" i="64"/>
  <c r="M11" i="64"/>
  <c r="L11" i="64"/>
  <c r="K11" i="64"/>
  <c r="A11" i="64"/>
  <c r="O10" i="64"/>
  <c r="N10" i="64"/>
  <c r="M10" i="64"/>
  <c r="L10" i="64"/>
  <c r="K10" i="64"/>
  <c r="A10" i="64" s="1"/>
  <c r="E10" i="64"/>
  <c r="O9" i="64"/>
  <c r="E9" i="64" s="1"/>
  <c r="N9" i="64"/>
  <c r="M9" i="64"/>
  <c r="L9" i="64"/>
  <c r="K9" i="64"/>
  <c r="A9" i="64" s="1"/>
  <c r="O7" i="64"/>
  <c r="N7" i="64"/>
  <c r="M7" i="64"/>
  <c r="L7" i="64"/>
  <c r="K7" i="64"/>
  <c r="A7" i="64" s="1"/>
  <c r="E7" i="64"/>
  <c r="O6" i="64"/>
  <c r="E6" i="64" s="1"/>
  <c r="N6" i="64"/>
  <c r="M6" i="64"/>
  <c r="L6" i="64"/>
  <c r="K6" i="64"/>
  <c r="A6" i="64"/>
  <c r="O5" i="64"/>
  <c r="E5" i="64" s="1"/>
  <c r="N5" i="64"/>
  <c r="M5" i="64"/>
  <c r="L5" i="64"/>
  <c r="K5" i="64"/>
  <c r="A5" i="64"/>
  <c r="O4" i="64"/>
  <c r="N4" i="64"/>
  <c r="M4" i="64"/>
  <c r="L4" i="64"/>
  <c r="K4" i="64"/>
  <c r="A4" i="64" s="1"/>
  <c r="E4" i="64"/>
  <c r="O3" i="64"/>
  <c r="E3" i="64" s="1"/>
  <c r="N3" i="64"/>
  <c r="M3" i="64"/>
  <c r="L3" i="64"/>
  <c r="K3" i="64"/>
  <c r="A3" i="64" s="1"/>
  <c r="O2" i="64"/>
  <c r="N2" i="64"/>
  <c r="M2" i="64"/>
  <c r="L2" i="64"/>
  <c r="K2" i="64"/>
  <c r="E2" i="64"/>
  <c r="A2" i="64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N76" i="63"/>
  <c r="M76" i="63"/>
  <c r="L76" i="63"/>
  <c r="K76" i="63"/>
  <c r="E76" i="63"/>
  <c r="A76" i="63"/>
  <c r="O75" i="63"/>
  <c r="N75" i="63"/>
  <c r="M75" i="63"/>
  <c r="L75" i="63"/>
  <c r="K75" i="63"/>
  <c r="E75" i="63"/>
  <c r="A75" i="63"/>
  <c r="A74" i="63"/>
  <c r="O73" i="63"/>
  <c r="N73" i="63"/>
  <c r="M73" i="63"/>
  <c r="L73" i="63"/>
  <c r="K73" i="63"/>
  <c r="O72" i="63"/>
  <c r="N72" i="63"/>
  <c r="M72" i="63"/>
  <c r="L72" i="63"/>
  <c r="K72" i="63"/>
  <c r="E72" i="63"/>
  <c r="A72" i="63"/>
  <c r="O71" i="63"/>
  <c r="E71" i="63" s="1"/>
  <c r="N71" i="63"/>
  <c r="M71" i="63"/>
  <c r="L71" i="63"/>
  <c r="K71" i="63"/>
  <c r="A71" i="63"/>
  <c r="O70" i="63"/>
  <c r="N70" i="63"/>
  <c r="M70" i="63"/>
  <c r="L70" i="63"/>
  <c r="K70" i="63"/>
  <c r="E70" i="63"/>
  <c r="A70" i="63"/>
  <c r="O69" i="63"/>
  <c r="N69" i="63"/>
  <c r="M69" i="63"/>
  <c r="L69" i="63"/>
  <c r="K69" i="63"/>
  <c r="E69" i="63"/>
  <c r="A69" i="63"/>
  <c r="A68" i="63"/>
  <c r="O66" i="63"/>
  <c r="E66" i="63" s="1"/>
  <c r="N66" i="63"/>
  <c r="M66" i="63"/>
  <c r="L66" i="63"/>
  <c r="K66" i="63"/>
  <c r="A66" i="63"/>
  <c r="O65" i="63"/>
  <c r="N65" i="63"/>
  <c r="M65" i="63"/>
  <c r="L65" i="63"/>
  <c r="K65" i="63"/>
  <c r="E65" i="63"/>
  <c r="A65" i="63"/>
  <c r="O64" i="63"/>
  <c r="E64" i="63" s="1"/>
  <c r="N64" i="63"/>
  <c r="M64" i="63"/>
  <c r="L64" i="63"/>
  <c r="K64" i="63"/>
  <c r="A64" i="63"/>
  <c r="O63" i="63"/>
  <c r="N63" i="63"/>
  <c r="M63" i="63"/>
  <c r="L63" i="63"/>
  <c r="K63" i="63"/>
  <c r="A63" i="63" s="1"/>
  <c r="E63" i="63"/>
  <c r="O62" i="63"/>
  <c r="N62" i="63"/>
  <c r="M62" i="63"/>
  <c r="L62" i="63"/>
  <c r="K62" i="63"/>
  <c r="A62" i="63" s="1"/>
  <c r="E62" i="63"/>
  <c r="O61" i="63"/>
  <c r="E61" i="63" s="1"/>
  <c r="N61" i="63"/>
  <c r="M61" i="63"/>
  <c r="L61" i="63"/>
  <c r="K61" i="63"/>
  <c r="A61" i="63"/>
  <c r="O60" i="63"/>
  <c r="N60" i="63"/>
  <c r="M60" i="63"/>
  <c r="L60" i="63"/>
  <c r="K60" i="63"/>
  <c r="E60" i="63"/>
  <c r="A60" i="63"/>
  <c r="O59" i="63"/>
  <c r="E59" i="63" s="1"/>
  <c r="N59" i="63"/>
  <c r="M59" i="63"/>
  <c r="L59" i="63"/>
  <c r="K59" i="63"/>
  <c r="A59" i="63"/>
  <c r="A58" i="63"/>
  <c r="O56" i="63"/>
  <c r="N56" i="63"/>
  <c r="M56" i="63"/>
  <c r="L56" i="63"/>
  <c r="K56" i="63"/>
  <c r="A56" i="63" s="1"/>
  <c r="E56" i="63"/>
  <c r="O55" i="63"/>
  <c r="N55" i="63"/>
  <c r="M55" i="63"/>
  <c r="L55" i="63"/>
  <c r="K55" i="63"/>
  <c r="A55" i="63" s="1"/>
  <c r="E55" i="63"/>
  <c r="O54" i="63"/>
  <c r="E54" i="63" s="1"/>
  <c r="N54" i="63"/>
  <c r="M54" i="63"/>
  <c r="L54" i="63"/>
  <c r="K54" i="63"/>
  <c r="A54" i="63"/>
  <c r="O53" i="63"/>
  <c r="N53" i="63"/>
  <c r="M53" i="63"/>
  <c r="L53" i="63"/>
  <c r="K53" i="63"/>
  <c r="E53" i="63"/>
  <c r="A53" i="63"/>
  <c r="O52" i="63"/>
  <c r="E52" i="63" s="1"/>
  <c r="N52" i="63"/>
  <c r="M52" i="63"/>
  <c r="L52" i="63"/>
  <c r="K52" i="63"/>
  <c r="A52" i="63"/>
  <c r="O51" i="63"/>
  <c r="N51" i="63"/>
  <c r="M51" i="63"/>
  <c r="L51" i="63"/>
  <c r="K51" i="63"/>
  <c r="E51" i="63"/>
  <c r="A51" i="63"/>
  <c r="O49" i="63"/>
  <c r="N49" i="63"/>
  <c r="M49" i="63"/>
  <c r="L49" i="63"/>
  <c r="K49" i="63"/>
  <c r="A49" i="63" s="1"/>
  <c r="E49" i="63"/>
  <c r="O48" i="63"/>
  <c r="E48" i="63" s="1"/>
  <c r="N48" i="63"/>
  <c r="M48" i="63"/>
  <c r="L48" i="63"/>
  <c r="K48" i="63"/>
  <c r="A48" i="63"/>
  <c r="O47" i="63"/>
  <c r="N47" i="63"/>
  <c r="M47" i="63"/>
  <c r="L47" i="63"/>
  <c r="K47" i="63"/>
  <c r="E47" i="63"/>
  <c r="A47" i="63"/>
  <c r="O46" i="63"/>
  <c r="E46" i="63" s="1"/>
  <c r="N46" i="63"/>
  <c r="M46" i="63"/>
  <c r="L46" i="63"/>
  <c r="K46" i="63"/>
  <c r="A46" i="63"/>
  <c r="O45" i="63"/>
  <c r="N45" i="63"/>
  <c r="M45" i="63"/>
  <c r="L45" i="63"/>
  <c r="K45" i="63"/>
  <c r="E45" i="63"/>
  <c r="A45" i="63"/>
  <c r="O44" i="63"/>
  <c r="N44" i="63"/>
  <c r="M44" i="63"/>
  <c r="L44" i="63"/>
  <c r="K44" i="63"/>
  <c r="E44" i="63"/>
  <c r="A44" i="63"/>
  <c r="O42" i="63"/>
  <c r="E42" i="63" s="1"/>
  <c r="N42" i="63"/>
  <c r="M42" i="63"/>
  <c r="L42" i="63"/>
  <c r="K42" i="63"/>
  <c r="A42" i="63"/>
  <c r="O41" i="63"/>
  <c r="N41" i="63"/>
  <c r="M41" i="63"/>
  <c r="L41" i="63"/>
  <c r="K41" i="63"/>
  <c r="E41" i="63"/>
  <c r="A41" i="63"/>
  <c r="O40" i="63"/>
  <c r="E40" i="63" s="1"/>
  <c r="N40" i="63"/>
  <c r="M40" i="63"/>
  <c r="L40" i="63"/>
  <c r="K40" i="63"/>
  <c r="A40" i="63"/>
  <c r="O39" i="63"/>
  <c r="N39" i="63"/>
  <c r="M39" i="63"/>
  <c r="L39" i="63"/>
  <c r="K39" i="63"/>
  <c r="E39" i="63"/>
  <c r="A39" i="63"/>
  <c r="O38" i="63"/>
  <c r="N38" i="63"/>
  <c r="M38" i="63"/>
  <c r="L38" i="63"/>
  <c r="K38" i="63"/>
  <c r="E38" i="63"/>
  <c r="A38" i="63"/>
  <c r="O37" i="63"/>
  <c r="E37" i="63" s="1"/>
  <c r="N37" i="63"/>
  <c r="M37" i="63"/>
  <c r="L37" i="63"/>
  <c r="K37" i="63"/>
  <c r="A37" i="63" s="1"/>
  <c r="O35" i="63"/>
  <c r="N35" i="63"/>
  <c r="M35" i="63"/>
  <c r="L35" i="63"/>
  <c r="K35" i="63"/>
  <c r="E35" i="63"/>
  <c r="A35" i="63"/>
  <c r="O34" i="63"/>
  <c r="E34" i="63" s="1"/>
  <c r="N34" i="63"/>
  <c r="M34" i="63"/>
  <c r="L34" i="63"/>
  <c r="K34" i="63"/>
  <c r="A34" i="63"/>
  <c r="O33" i="63"/>
  <c r="N33" i="63"/>
  <c r="M33" i="63"/>
  <c r="L33" i="63"/>
  <c r="K33" i="63"/>
  <c r="E33" i="63"/>
  <c r="A33" i="63"/>
  <c r="O32" i="63"/>
  <c r="N32" i="63"/>
  <c r="M32" i="63"/>
  <c r="L32" i="63"/>
  <c r="K32" i="63"/>
  <c r="E32" i="63"/>
  <c r="A32" i="63"/>
  <c r="O31" i="63"/>
  <c r="N31" i="63"/>
  <c r="M31" i="63"/>
  <c r="L31" i="63"/>
  <c r="K31" i="63"/>
  <c r="A31" i="63" s="1"/>
  <c r="E31" i="63"/>
  <c r="O30" i="63"/>
  <c r="E30" i="63" s="1"/>
  <c r="N30" i="63"/>
  <c r="M30" i="63"/>
  <c r="L30" i="63"/>
  <c r="K30" i="63"/>
  <c r="A30" i="63"/>
  <c r="O28" i="63"/>
  <c r="E28" i="63" s="1"/>
  <c r="N28" i="63"/>
  <c r="M28" i="63"/>
  <c r="L28" i="63"/>
  <c r="K28" i="63"/>
  <c r="A28" i="63"/>
  <c r="O27" i="63"/>
  <c r="N27" i="63"/>
  <c r="M27" i="63"/>
  <c r="L27" i="63"/>
  <c r="K27" i="63"/>
  <c r="E27" i="63"/>
  <c r="A27" i="63"/>
  <c r="O26" i="63"/>
  <c r="E26" i="63" s="1"/>
  <c r="N26" i="63"/>
  <c r="M26" i="63"/>
  <c r="L26" i="63"/>
  <c r="K26" i="63"/>
  <c r="A26" i="63"/>
  <c r="O25" i="63"/>
  <c r="N25" i="63"/>
  <c r="M25" i="63"/>
  <c r="L25" i="63"/>
  <c r="K25" i="63"/>
  <c r="A25" i="63" s="1"/>
  <c r="E25" i="63"/>
  <c r="O24" i="63"/>
  <c r="N24" i="63"/>
  <c r="M24" i="63"/>
  <c r="L24" i="63"/>
  <c r="K24" i="63"/>
  <c r="A24" i="63" s="1"/>
  <c r="E24" i="63"/>
  <c r="O23" i="63"/>
  <c r="E23" i="63" s="1"/>
  <c r="N23" i="63"/>
  <c r="M23" i="63"/>
  <c r="L23" i="63"/>
  <c r="K23" i="63"/>
  <c r="A23" i="63"/>
  <c r="O21" i="63"/>
  <c r="N21" i="63"/>
  <c r="M21" i="63"/>
  <c r="L21" i="63"/>
  <c r="K21" i="63"/>
  <c r="E21" i="63"/>
  <c r="A21" i="63"/>
  <c r="O20" i="63"/>
  <c r="E20" i="63" s="1"/>
  <c r="N20" i="63"/>
  <c r="M20" i="63"/>
  <c r="L20" i="63"/>
  <c r="K20" i="63"/>
  <c r="A20" i="63"/>
  <c r="O19" i="63"/>
  <c r="N19" i="63"/>
  <c r="M19" i="63"/>
  <c r="L19" i="63"/>
  <c r="K19" i="63"/>
  <c r="A19" i="63" s="1"/>
  <c r="E19" i="63"/>
  <c r="O18" i="63"/>
  <c r="N18" i="63"/>
  <c r="M18" i="63"/>
  <c r="L18" i="63"/>
  <c r="K18" i="63"/>
  <c r="A18" i="63" s="1"/>
  <c r="E18" i="63"/>
  <c r="O17" i="63"/>
  <c r="E17" i="63" s="1"/>
  <c r="N17" i="63"/>
  <c r="M17" i="63"/>
  <c r="L17" i="63"/>
  <c r="K17" i="63"/>
  <c r="A17" i="63"/>
  <c r="O16" i="63"/>
  <c r="N16" i="63"/>
  <c r="M16" i="63"/>
  <c r="L16" i="63"/>
  <c r="K16" i="63"/>
  <c r="E16" i="63"/>
  <c r="A16" i="63"/>
  <c r="O14" i="63"/>
  <c r="E14" i="63" s="1"/>
  <c r="N14" i="63"/>
  <c r="M14" i="63"/>
  <c r="L14" i="63"/>
  <c r="K14" i="63"/>
  <c r="A14" i="63"/>
  <c r="O13" i="63"/>
  <c r="N13" i="63"/>
  <c r="M13" i="63"/>
  <c r="L13" i="63"/>
  <c r="K13" i="63"/>
  <c r="E13" i="63"/>
  <c r="A13" i="63"/>
  <c r="O12" i="63"/>
  <c r="N12" i="63"/>
  <c r="M12" i="63"/>
  <c r="L12" i="63"/>
  <c r="K12" i="63"/>
  <c r="E12" i="63"/>
  <c r="A12" i="63"/>
  <c r="Q11" i="63"/>
  <c r="P9" i="31" s="1"/>
  <c r="O11" i="63"/>
  <c r="E11" i="63" s="1"/>
  <c r="N11" i="63"/>
  <c r="M11" i="63"/>
  <c r="L11" i="63"/>
  <c r="K11" i="63"/>
  <c r="A11" i="63"/>
  <c r="O10" i="63"/>
  <c r="N10" i="63"/>
  <c r="M10" i="63"/>
  <c r="L10" i="63"/>
  <c r="K10" i="63"/>
  <c r="E10" i="63"/>
  <c r="A10" i="63"/>
  <c r="O9" i="63"/>
  <c r="E9" i="63" s="1"/>
  <c r="N9" i="63"/>
  <c r="M9" i="63"/>
  <c r="L9" i="63"/>
  <c r="K9" i="63"/>
  <c r="A9" i="63"/>
  <c r="O7" i="63"/>
  <c r="N7" i="63"/>
  <c r="M7" i="63"/>
  <c r="L7" i="63"/>
  <c r="K7" i="63"/>
  <c r="A7" i="63" s="1"/>
  <c r="E7" i="63"/>
  <c r="O6" i="63"/>
  <c r="N6" i="63"/>
  <c r="M6" i="63"/>
  <c r="L6" i="63"/>
  <c r="K6" i="63"/>
  <c r="A6" i="63" s="1"/>
  <c r="E6" i="63"/>
  <c r="O5" i="63"/>
  <c r="E5" i="63" s="1"/>
  <c r="N5" i="63"/>
  <c r="M5" i="63"/>
  <c r="L5" i="63"/>
  <c r="K5" i="63"/>
  <c r="A5" i="63"/>
  <c r="O4" i="63"/>
  <c r="N4" i="63"/>
  <c r="M4" i="63"/>
  <c r="L4" i="63"/>
  <c r="K4" i="63"/>
  <c r="E4" i="63"/>
  <c r="A4" i="63"/>
  <c r="O3" i="63"/>
  <c r="E3" i="63" s="1"/>
  <c r="N3" i="63"/>
  <c r="M3" i="63"/>
  <c r="L3" i="63"/>
  <c r="K3" i="63"/>
  <c r="A3" i="63"/>
  <c r="O2" i="63"/>
  <c r="N2" i="63"/>
  <c r="M2" i="63"/>
  <c r="L2" i="63"/>
  <c r="K2" i="63"/>
  <c r="A2" i="63" s="1"/>
  <c r="E2" i="63"/>
  <c r="O79" i="62"/>
  <c r="N79" i="62"/>
  <c r="M79" i="62"/>
  <c r="L79" i="62"/>
  <c r="K79" i="62"/>
  <c r="A79" i="62" s="1"/>
  <c r="E79" i="62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/>
  <c r="O71" i="62"/>
  <c r="N71" i="62"/>
  <c r="M71" i="62"/>
  <c r="L71" i="62"/>
  <c r="K71" i="62"/>
  <c r="E71" i="62"/>
  <c r="A71" i="62"/>
  <c r="O70" i="62"/>
  <c r="E70" i="62" s="1"/>
  <c r="N70" i="62"/>
  <c r="M70" i="62"/>
  <c r="L70" i="62"/>
  <c r="K70" i="62"/>
  <c r="A70" i="62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/>
  <c r="O65" i="62"/>
  <c r="N65" i="62"/>
  <c r="M65" i="62"/>
  <c r="L65" i="62"/>
  <c r="K65" i="62"/>
  <c r="A65" i="62" s="1"/>
  <c r="E65" i="62"/>
  <c r="O64" i="62"/>
  <c r="E64" i="62" s="1"/>
  <c r="N64" i="62"/>
  <c r="M64" i="62"/>
  <c r="L64" i="62"/>
  <c r="K64" i="62"/>
  <c r="A64" i="62"/>
  <c r="O63" i="62"/>
  <c r="N63" i="62"/>
  <c r="M63" i="62"/>
  <c r="L63" i="62"/>
  <c r="K63" i="62"/>
  <c r="E63" i="62"/>
  <c r="A63" i="62"/>
  <c r="O62" i="62"/>
  <c r="E62" i="62" s="1"/>
  <c r="N62" i="62"/>
  <c r="M62" i="62"/>
  <c r="L62" i="62"/>
  <c r="K62" i="62"/>
  <c r="A62" i="62" s="1"/>
  <c r="O61" i="62"/>
  <c r="N61" i="62"/>
  <c r="M61" i="62"/>
  <c r="L61" i="62"/>
  <c r="K61" i="62"/>
  <c r="A61" i="62" s="1"/>
  <c r="E61" i="62"/>
  <c r="O60" i="62"/>
  <c r="E60" i="62" s="1"/>
  <c r="N60" i="62"/>
  <c r="M60" i="62"/>
  <c r="L60" i="62"/>
  <c r="K60" i="62"/>
  <c r="A60" i="62"/>
  <c r="O59" i="62"/>
  <c r="N59" i="62"/>
  <c r="M59" i="62"/>
  <c r="L59" i="62"/>
  <c r="K59" i="62"/>
  <c r="E59" i="62"/>
  <c r="A59" i="62"/>
  <c r="A58" i="62"/>
  <c r="O56" i="62"/>
  <c r="N56" i="62"/>
  <c r="M56" i="62"/>
  <c r="L56" i="62"/>
  <c r="K56" i="62"/>
  <c r="E56" i="62"/>
  <c r="A56" i="62"/>
  <c r="O55" i="62"/>
  <c r="E55" i="62" s="1"/>
  <c r="N55" i="62"/>
  <c r="M55" i="62"/>
  <c r="L55" i="62"/>
  <c r="K55" i="62"/>
  <c r="A55" i="62" s="1"/>
  <c r="O54" i="62"/>
  <c r="N54" i="62"/>
  <c r="M54" i="62"/>
  <c r="L54" i="62"/>
  <c r="K54" i="62"/>
  <c r="A54" i="62" s="1"/>
  <c r="E54" i="62"/>
  <c r="O53" i="62"/>
  <c r="E53" i="62" s="1"/>
  <c r="N53" i="62"/>
  <c r="M53" i="62"/>
  <c r="L53" i="62"/>
  <c r="K53" i="62"/>
  <c r="A53" i="62"/>
  <c r="O52" i="62"/>
  <c r="N52" i="62"/>
  <c r="M52" i="62"/>
  <c r="L52" i="62"/>
  <c r="K52" i="62"/>
  <c r="E52" i="62"/>
  <c r="A52" i="62"/>
  <c r="O51" i="62"/>
  <c r="E51" i="62" s="1"/>
  <c r="N51" i="62"/>
  <c r="M51" i="62"/>
  <c r="L51" i="62"/>
  <c r="K51" i="62"/>
  <c r="A51" i="62"/>
  <c r="O49" i="62"/>
  <c r="N49" i="62"/>
  <c r="M49" i="62"/>
  <c r="L49" i="62"/>
  <c r="K49" i="62"/>
  <c r="A49" i="62" s="1"/>
  <c r="O48" i="62"/>
  <c r="N48" i="62"/>
  <c r="M48" i="62"/>
  <c r="L48" i="62"/>
  <c r="K48" i="62"/>
  <c r="A48" i="62" s="1"/>
  <c r="E48" i="62"/>
  <c r="O47" i="62"/>
  <c r="E47" i="62" s="1"/>
  <c r="N47" i="62"/>
  <c r="M47" i="62"/>
  <c r="L47" i="62"/>
  <c r="K47" i="62"/>
  <c r="A47" i="62"/>
  <c r="O46" i="62"/>
  <c r="N46" i="62"/>
  <c r="M46" i="62"/>
  <c r="L46" i="62"/>
  <c r="K46" i="62"/>
  <c r="E46" i="62"/>
  <c r="A46" i="62"/>
  <c r="O45" i="62"/>
  <c r="E45" i="62" s="1"/>
  <c r="N45" i="62"/>
  <c r="M45" i="62"/>
  <c r="L45" i="62"/>
  <c r="K45" i="62"/>
  <c r="A45" i="62"/>
  <c r="O44" i="62"/>
  <c r="E44" i="62" s="1"/>
  <c r="N44" i="62"/>
  <c r="M44" i="62"/>
  <c r="L44" i="62"/>
  <c r="K44" i="62"/>
  <c r="A44" i="62" s="1"/>
  <c r="O42" i="62"/>
  <c r="N42" i="62"/>
  <c r="M42" i="62"/>
  <c r="L42" i="62"/>
  <c r="K42" i="62"/>
  <c r="A42" i="62" s="1"/>
  <c r="E42" i="62"/>
  <c r="O41" i="62"/>
  <c r="E41" i="62" s="1"/>
  <c r="N41" i="62"/>
  <c r="M41" i="62"/>
  <c r="L41" i="62"/>
  <c r="K41" i="62"/>
  <c r="A41" i="62"/>
  <c r="O40" i="62"/>
  <c r="N40" i="62"/>
  <c r="M40" i="62"/>
  <c r="L40" i="62"/>
  <c r="K40" i="62"/>
  <c r="E40" i="62"/>
  <c r="A40" i="62"/>
  <c r="O39" i="62"/>
  <c r="E39" i="62" s="1"/>
  <c r="N39" i="62"/>
  <c r="M39" i="62"/>
  <c r="L39" i="62"/>
  <c r="K39" i="62"/>
  <c r="A39" i="62"/>
  <c r="O38" i="62"/>
  <c r="E38" i="62" s="1"/>
  <c r="N38" i="62"/>
  <c r="M38" i="62"/>
  <c r="L38" i="62"/>
  <c r="K38" i="62"/>
  <c r="A38" i="62" s="1"/>
  <c r="O37" i="62"/>
  <c r="N37" i="62"/>
  <c r="M37" i="62"/>
  <c r="L37" i="62"/>
  <c r="K37" i="62"/>
  <c r="A37" i="62" s="1"/>
  <c r="E37" i="62"/>
  <c r="O35" i="62"/>
  <c r="E35" i="62" s="1"/>
  <c r="N35" i="62"/>
  <c r="M35" i="62"/>
  <c r="L35" i="62"/>
  <c r="K35" i="62"/>
  <c r="A35" i="62"/>
  <c r="O34" i="62"/>
  <c r="N34" i="62"/>
  <c r="M34" i="62"/>
  <c r="L34" i="62"/>
  <c r="K34" i="62"/>
  <c r="E34" i="62"/>
  <c r="A34" i="62"/>
  <c r="O33" i="62"/>
  <c r="E33" i="62" s="1"/>
  <c r="N33" i="62"/>
  <c r="M33" i="62"/>
  <c r="L33" i="62"/>
  <c r="K33" i="62"/>
  <c r="A33" i="62"/>
  <c r="O32" i="62"/>
  <c r="E32" i="62" s="1"/>
  <c r="N32" i="62"/>
  <c r="M32" i="62"/>
  <c r="L32" i="62"/>
  <c r="K32" i="62"/>
  <c r="A32" i="62" s="1"/>
  <c r="O31" i="62"/>
  <c r="N31" i="62"/>
  <c r="M31" i="62"/>
  <c r="L31" i="62"/>
  <c r="K31" i="62"/>
  <c r="A31" i="62" s="1"/>
  <c r="E31" i="62"/>
  <c r="O30" i="62"/>
  <c r="N30" i="62"/>
  <c r="M30" i="62"/>
  <c r="L30" i="62"/>
  <c r="K30" i="62"/>
  <c r="A30" i="62" s="1"/>
  <c r="E30" i="62"/>
  <c r="O28" i="62"/>
  <c r="E28" i="62" s="1"/>
  <c r="N28" i="62"/>
  <c r="M28" i="62"/>
  <c r="L28" i="62"/>
  <c r="K28" i="62"/>
  <c r="A28" i="62"/>
  <c r="O27" i="62"/>
  <c r="N27" i="62"/>
  <c r="M27" i="62"/>
  <c r="L27" i="62"/>
  <c r="K27" i="62"/>
  <c r="A27" i="62" s="1"/>
  <c r="E27" i="62"/>
  <c r="O26" i="62"/>
  <c r="E26" i="62" s="1"/>
  <c r="N26" i="62"/>
  <c r="M26" i="62"/>
  <c r="L26" i="62"/>
  <c r="K26" i="62"/>
  <c r="A26" i="62"/>
  <c r="O25" i="62"/>
  <c r="N25" i="62"/>
  <c r="M25" i="62"/>
  <c r="L25" i="62"/>
  <c r="K25" i="62"/>
  <c r="E25" i="62"/>
  <c r="A25" i="62"/>
  <c r="O24" i="62"/>
  <c r="E24" i="62" s="1"/>
  <c r="N24" i="62"/>
  <c r="M24" i="62"/>
  <c r="L24" i="62"/>
  <c r="K24" i="62"/>
  <c r="A24" i="62" s="1"/>
  <c r="O23" i="62"/>
  <c r="N23" i="62"/>
  <c r="M23" i="62"/>
  <c r="L23" i="62"/>
  <c r="K23" i="62"/>
  <c r="A23" i="62" s="1"/>
  <c r="E23" i="62"/>
  <c r="O21" i="62"/>
  <c r="N21" i="62"/>
  <c r="M21" i="62"/>
  <c r="L21" i="62"/>
  <c r="K21" i="62"/>
  <c r="A21" i="62" s="1"/>
  <c r="E21" i="62"/>
  <c r="O20" i="62"/>
  <c r="E20" i="62" s="1"/>
  <c r="N20" i="62"/>
  <c r="M20" i="62"/>
  <c r="L20" i="62"/>
  <c r="K20" i="62"/>
  <c r="A20" i="62"/>
  <c r="O19" i="62"/>
  <c r="N19" i="62"/>
  <c r="M19" i="62"/>
  <c r="L19" i="62"/>
  <c r="K19" i="62"/>
  <c r="E19" i="62"/>
  <c r="A19" i="62"/>
  <c r="O18" i="62"/>
  <c r="E18" i="62" s="1"/>
  <c r="N18" i="62"/>
  <c r="M18" i="62"/>
  <c r="L18" i="62"/>
  <c r="K18" i="62"/>
  <c r="A18" i="62" s="1"/>
  <c r="O17" i="62"/>
  <c r="N17" i="62"/>
  <c r="M17" i="62"/>
  <c r="L17" i="62"/>
  <c r="K17" i="62"/>
  <c r="A17" i="62" s="1"/>
  <c r="E17" i="62"/>
  <c r="O16" i="62"/>
  <c r="E16" i="62" s="1"/>
  <c r="N16" i="62"/>
  <c r="M16" i="62"/>
  <c r="L16" i="62"/>
  <c r="K16" i="62"/>
  <c r="A16" i="62"/>
  <c r="O14" i="62"/>
  <c r="N14" i="62"/>
  <c r="M14" i="62"/>
  <c r="L14" i="62"/>
  <c r="K14" i="62"/>
  <c r="E14" i="62"/>
  <c r="A14" i="62"/>
  <c r="O13" i="62"/>
  <c r="E13" i="62" s="1"/>
  <c r="N13" i="62"/>
  <c r="M13" i="62"/>
  <c r="L13" i="62"/>
  <c r="K13" i="62"/>
  <c r="A13" i="62"/>
  <c r="O12" i="62"/>
  <c r="E12" i="62" s="1"/>
  <c r="N12" i="62"/>
  <c r="M12" i="62"/>
  <c r="L12" i="62"/>
  <c r="K12" i="62"/>
  <c r="A12" i="62" s="1"/>
  <c r="Q11" i="62"/>
  <c r="P20" i="31" s="1"/>
  <c r="O11" i="62"/>
  <c r="N11" i="62"/>
  <c r="M11" i="62"/>
  <c r="L11" i="62"/>
  <c r="K11" i="62"/>
  <c r="A11" i="62" s="1"/>
  <c r="E11" i="62"/>
  <c r="O10" i="62"/>
  <c r="E10" i="62" s="1"/>
  <c r="N10" i="62"/>
  <c r="M10" i="62"/>
  <c r="L10" i="62"/>
  <c r="K10" i="62"/>
  <c r="A10" i="62"/>
  <c r="O9" i="62"/>
  <c r="N9" i="62"/>
  <c r="M9" i="62"/>
  <c r="L9" i="62"/>
  <c r="K9" i="62"/>
  <c r="E9" i="62"/>
  <c r="A9" i="62"/>
  <c r="O7" i="62"/>
  <c r="N7" i="62"/>
  <c r="M7" i="62"/>
  <c r="L7" i="62"/>
  <c r="K7" i="62"/>
  <c r="E7" i="62"/>
  <c r="A7" i="62"/>
  <c r="O6" i="62"/>
  <c r="E6" i="62" s="1"/>
  <c r="N6" i="62"/>
  <c r="M6" i="62"/>
  <c r="L6" i="62"/>
  <c r="K6" i="62"/>
  <c r="A6" i="62" s="1"/>
  <c r="O5" i="62"/>
  <c r="N5" i="62"/>
  <c r="M5" i="62"/>
  <c r="L5" i="62"/>
  <c r="K5" i="62"/>
  <c r="A5" i="62" s="1"/>
  <c r="E5" i="62"/>
  <c r="O4" i="62"/>
  <c r="E4" i="62" s="1"/>
  <c r="N4" i="62"/>
  <c r="M4" i="62"/>
  <c r="L4" i="62"/>
  <c r="K4" i="62"/>
  <c r="A4" i="62"/>
  <c r="O3" i="62"/>
  <c r="N3" i="62"/>
  <c r="M3" i="62"/>
  <c r="L3" i="62"/>
  <c r="K3" i="62"/>
  <c r="E3" i="62"/>
  <c r="A3" i="62"/>
  <c r="O2" i="62"/>
  <c r="N2" i="62"/>
  <c r="M2" i="62"/>
  <c r="L2" i="62"/>
  <c r="K2" i="62"/>
  <c r="E2" i="62"/>
  <c r="A2" i="62"/>
  <c r="O79" i="61"/>
  <c r="E79" i="61" s="1"/>
  <c r="N79" i="61"/>
  <c r="M79" i="61"/>
  <c r="L79" i="61"/>
  <c r="K79" i="61"/>
  <c r="A79" i="6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N72" i="61"/>
  <c r="M72" i="61"/>
  <c r="L72" i="61"/>
  <c r="K72" i="61"/>
  <c r="E72" i="61"/>
  <c r="A72" i="61"/>
  <c r="O71" i="61"/>
  <c r="N71" i="61"/>
  <c r="M71" i="61"/>
  <c r="L71" i="61"/>
  <c r="K71" i="61"/>
  <c r="A71" i="61" s="1"/>
  <c r="E71" i="61"/>
  <c r="O70" i="61"/>
  <c r="E70" i="61" s="1"/>
  <c r="N70" i="61"/>
  <c r="M70" i="61"/>
  <c r="L70" i="61"/>
  <c r="K70" i="61"/>
  <c r="A70" i="6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N65" i="61"/>
  <c r="M65" i="61"/>
  <c r="L65" i="61"/>
  <c r="K65" i="61"/>
  <c r="A65" i="61" s="1"/>
  <c r="E65" i="61"/>
  <c r="O64" i="61"/>
  <c r="E64" i="61" s="1"/>
  <c r="N64" i="61"/>
  <c r="M64" i="61"/>
  <c r="L64" i="61"/>
  <c r="K64" i="61"/>
  <c r="A64" i="61"/>
  <c r="O63" i="61"/>
  <c r="N63" i="61"/>
  <c r="M63" i="61"/>
  <c r="L63" i="61"/>
  <c r="K63" i="61"/>
  <c r="E63" i="61"/>
  <c r="A63" i="61"/>
  <c r="O62" i="61"/>
  <c r="E62" i="61" s="1"/>
  <c r="N62" i="61"/>
  <c r="M62" i="61"/>
  <c r="L62" i="61"/>
  <c r="K62" i="61"/>
  <c r="A62" i="61"/>
  <c r="O61" i="61"/>
  <c r="N61" i="61"/>
  <c r="M61" i="61"/>
  <c r="L61" i="61"/>
  <c r="K61" i="61"/>
  <c r="A61" i="61" s="1"/>
  <c r="E61" i="61"/>
  <c r="O60" i="61"/>
  <c r="N60" i="61"/>
  <c r="M60" i="61"/>
  <c r="L60" i="61"/>
  <c r="K60" i="61"/>
  <c r="E60" i="61"/>
  <c r="A60" i="61"/>
  <c r="O59" i="61"/>
  <c r="N59" i="61"/>
  <c r="M59" i="61"/>
  <c r="L59" i="61"/>
  <c r="K59" i="61"/>
  <c r="A59" i="61" s="1"/>
  <c r="E59" i="61"/>
  <c r="A58" i="61"/>
  <c r="O56" i="61"/>
  <c r="N56" i="61"/>
  <c r="M56" i="61"/>
  <c r="L56" i="61"/>
  <c r="K56" i="61"/>
  <c r="E56" i="61"/>
  <c r="A56" i="61"/>
  <c r="O55" i="61"/>
  <c r="E55" i="61" s="1"/>
  <c r="N55" i="61"/>
  <c r="M55" i="61"/>
  <c r="L55" i="61"/>
  <c r="K55" i="61"/>
  <c r="A55" i="61"/>
  <c r="O54" i="61"/>
  <c r="N54" i="61"/>
  <c r="M54" i="61"/>
  <c r="L54" i="61"/>
  <c r="K54" i="61"/>
  <c r="A54" i="61" s="1"/>
  <c r="E54" i="61"/>
  <c r="O53" i="61"/>
  <c r="N53" i="61"/>
  <c r="M53" i="61"/>
  <c r="L53" i="61"/>
  <c r="K53" i="61"/>
  <c r="E53" i="61"/>
  <c r="A53" i="61"/>
  <c r="O52" i="61"/>
  <c r="N52" i="61"/>
  <c r="M52" i="61"/>
  <c r="L52" i="61"/>
  <c r="K52" i="61"/>
  <c r="A52" i="61" s="1"/>
  <c r="E52" i="61"/>
  <c r="O51" i="61"/>
  <c r="E51" i="61" s="1"/>
  <c r="N51" i="61"/>
  <c r="M51" i="61"/>
  <c r="L51" i="61"/>
  <c r="K51" i="61"/>
  <c r="A51" i="61"/>
  <c r="O49" i="61"/>
  <c r="E49" i="61" s="1"/>
  <c r="N49" i="61"/>
  <c r="M49" i="61"/>
  <c r="L49" i="61"/>
  <c r="K49" i="61"/>
  <c r="A49" i="61"/>
  <c r="O48" i="61"/>
  <c r="N48" i="61"/>
  <c r="M48" i="61"/>
  <c r="L48" i="61"/>
  <c r="K48" i="61"/>
  <c r="A48" i="61" s="1"/>
  <c r="E48" i="61"/>
  <c r="O47" i="61"/>
  <c r="N47" i="61"/>
  <c r="M47" i="61"/>
  <c r="L47" i="61"/>
  <c r="K47" i="61"/>
  <c r="E47" i="61"/>
  <c r="A47" i="61"/>
  <c r="O46" i="61"/>
  <c r="N46" i="61"/>
  <c r="M46" i="61"/>
  <c r="L46" i="61"/>
  <c r="K46" i="61"/>
  <c r="A46" i="61" s="1"/>
  <c r="E46" i="61"/>
  <c r="O45" i="61"/>
  <c r="E45" i="61" s="1"/>
  <c r="N45" i="61"/>
  <c r="M45" i="61"/>
  <c r="L45" i="61"/>
  <c r="K45" i="61"/>
  <c r="A45" i="61"/>
  <c r="O44" i="61"/>
  <c r="E44" i="61" s="1"/>
  <c r="N44" i="61"/>
  <c r="M44" i="61"/>
  <c r="L44" i="61"/>
  <c r="K44" i="61"/>
  <c r="A44" i="61" s="1"/>
  <c r="O42" i="61"/>
  <c r="N42" i="61"/>
  <c r="M42" i="61"/>
  <c r="L42" i="61"/>
  <c r="K42" i="61"/>
  <c r="A42" i="61" s="1"/>
  <c r="E42" i="61"/>
  <c r="O41" i="61"/>
  <c r="N41" i="61"/>
  <c r="M41" i="61"/>
  <c r="L41" i="61"/>
  <c r="K41" i="61"/>
  <c r="E41" i="61"/>
  <c r="A41" i="61"/>
  <c r="O40" i="61"/>
  <c r="N40" i="61"/>
  <c r="M40" i="61"/>
  <c r="L40" i="61"/>
  <c r="K40" i="61"/>
  <c r="A40" i="61" s="1"/>
  <c r="E40" i="61"/>
  <c r="O39" i="61"/>
  <c r="E39" i="61" s="1"/>
  <c r="N39" i="61"/>
  <c r="M39" i="61"/>
  <c r="L39" i="61"/>
  <c r="K39" i="61"/>
  <c r="A39" i="61"/>
  <c r="O38" i="61"/>
  <c r="E38" i="61" s="1"/>
  <c r="N38" i="61"/>
  <c r="M38" i="61"/>
  <c r="L38" i="61"/>
  <c r="K38" i="61"/>
  <c r="A38" i="61" s="1"/>
  <c r="O37" i="61"/>
  <c r="N37" i="61"/>
  <c r="M37" i="61"/>
  <c r="L37" i="61"/>
  <c r="K37" i="61"/>
  <c r="A37" i="61" s="1"/>
  <c r="E37" i="61"/>
  <c r="O35" i="61"/>
  <c r="N35" i="61"/>
  <c r="M35" i="61"/>
  <c r="L35" i="61"/>
  <c r="K35" i="61"/>
  <c r="E35" i="61"/>
  <c r="A35" i="61"/>
  <c r="O34" i="61"/>
  <c r="N34" i="61"/>
  <c r="M34" i="61"/>
  <c r="L34" i="61"/>
  <c r="K34" i="61"/>
  <c r="A34" i="61" s="1"/>
  <c r="E34" i="61"/>
  <c r="O33" i="61"/>
  <c r="E33" i="61" s="1"/>
  <c r="N33" i="61"/>
  <c r="M33" i="61"/>
  <c r="L33" i="61"/>
  <c r="K33" i="61"/>
  <c r="A33" i="61"/>
  <c r="O32" i="61"/>
  <c r="E32" i="61" s="1"/>
  <c r="N32" i="61"/>
  <c r="M32" i="61"/>
  <c r="L32" i="61"/>
  <c r="K32" i="61"/>
  <c r="A32" i="61" s="1"/>
  <c r="O31" i="61"/>
  <c r="N31" i="61"/>
  <c r="M31" i="61"/>
  <c r="L31" i="61"/>
  <c r="K31" i="61"/>
  <c r="A31" i="61" s="1"/>
  <c r="E31" i="61"/>
  <c r="O30" i="61"/>
  <c r="E30" i="61" s="1"/>
  <c r="N30" i="61"/>
  <c r="M30" i="61"/>
  <c r="L30" i="61"/>
  <c r="K30" i="61"/>
  <c r="A30" i="61"/>
  <c r="O28" i="61"/>
  <c r="E28" i="61" s="1"/>
  <c r="N28" i="61"/>
  <c r="M28" i="61"/>
  <c r="L28" i="61"/>
  <c r="K28" i="61"/>
  <c r="A28" i="61" s="1"/>
  <c r="O27" i="61"/>
  <c r="N27" i="61"/>
  <c r="M27" i="61"/>
  <c r="L27" i="61"/>
  <c r="K27" i="61"/>
  <c r="A27" i="61" s="1"/>
  <c r="E27" i="61"/>
  <c r="O26" i="61"/>
  <c r="E26" i="61" s="1"/>
  <c r="N26" i="61"/>
  <c r="M26" i="61"/>
  <c r="L26" i="61"/>
  <c r="K26" i="61"/>
  <c r="A26" i="61"/>
  <c r="O25" i="61"/>
  <c r="N25" i="61"/>
  <c r="M25" i="61"/>
  <c r="L25" i="61"/>
  <c r="K25" i="61"/>
  <c r="E25" i="61"/>
  <c r="A25" i="61"/>
  <c r="O24" i="61"/>
  <c r="E24" i="61" s="1"/>
  <c r="N24" i="61"/>
  <c r="M24" i="61"/>
  <c r="L24" i="61"/>
  <c r="K24" i="61"/>
  <c r="A24" i="61"/>
  <c r="O23" i="61"/>
  <c r="N23" i="61"/>
  <c r="M23" i="61"/>
  <c r="L23" i="61"/>
  <c r="K23" i="61"/>
  <c r="A23" i="61" s="1"/>
  <c r="E23" i="61"/>
  <c r="O21" i="61"/>
  <c r="N21" i="61"/>
  <c r="M21" i="61"/>
  <c r="L21" i="61"/>
  <c r="K21" i="61"/>
  <c r="A21" i="61" s="1"/>
  <c r="E21" i="61"/>
  <c r="O20" i="61"/>
  <c r="E20" i="61" s="1"/>
  <c r="N20" i="61"/>
  <c r="M20" i="61"/>
  <c r="L20" i="61"/>
  <c r="K20" i="61"/>
  <c r="A20" i="61"/>
  <c r="O19" i="61"/>
  <c r="N19" i="61"/>
  <c r="M19" i="61"/>
  <c r="L19" i="61"/>
  <c r="K19" i="61"/>
  <c r="E19" i="61"/>
  <c r="A19" i="61"/>
  <c r="O18" i="61"/>
  <c r="E18" i="61" s="1"/>
  <c r="N18" i="61"/>
  <c r="M18" i="61"/>
  <c r="L18" i="61"/>
  <c r="K18" i="61"/>
  <c r="A18" i="61"/>
  <c r="O17" i="61"/>
  <c r="N17" i="61"/>
  <c r="M17" i="61"/>
  <c r="L17" i="61"/>
  <c r="K17" i="61"/>
  <c r="A17" i="61" s="1"/>
  <c r="E17" i="61"/>
  <c r="O16" i="61"/>
  <c r="N16" i="61"/>
  <c r="M16" i="61"/>
  <c r="L16" i="61"/>
  <c r="K16" i="61"/>
  <c r="E16" i="61"/>
  <c r="A16" i="61"/>
  <c r="O14" i="61"/>
  <c r="N14" i="61"/>
  <c r="M14" i="61"/>
  <c r="L14" i="61"/>
  <c r="K14" i="61"/>
  <c r="A14" i="61" s="1"/>
  <c r="E14" i="61"/>
  <c r="O13" i="61"/>
  <c r="E13" i="61" s="1"/>
  <c r="N13" i="61"/>
  <c r="M13" i="61"/>
  <c r="L13" i="61"/>
  <c r="K13" i="61"/>
  <c r="A13" i="61"/>
  <c r="O12" i="61"/>
  <c r="E12" i="61" s="1"/>
  <c r="N12" i="61"/>
  <c r="M12" i="61"/>
  <c r="L12" i="61"/>
  <c r="K12" i="61"/>
  <c r="A12" i="61" s="1"/>
  <c r="Q11" i="61"/>
  <c r="P19" i="31" s="1"/>
  <c r="O11" i="61"/>
  <c r="N11" i="61"/>
  <c r="M11" i="61"/>
  <c r="L11" i="61"/>
  <c r="K11" i="61"/>
  <c r="A11" i="61" s="1"/>
  <c r="E11" i="61"/>
  <c r="O10" i="61"/>
  <c r="N10" i="61"/>
  <c r="M10" i="61"/>
  <c r="L10" i="61"/>
  <c r="K10" i="61"/>
  <c r="E10" i="61"/>
  <c r="A10" i="61"/>
  <c r="O9" i="61"/>
  <c r="N9" i="61"/>
  <c r="M9" i="61"/>
  <c r="L9" i="61"/>
  <c r="K9" i="61"/>
  <c r="A9" i="61" s="1"/>
  <c r="E9" i="61"/>
  <c r="O7" i="61"/>
  <c r="N7" i="61"/>
  <c r="M7" i="61"/>
  <c r="L7" i="61"/>
  <c r="K7" i="61"/>
  <c r="E7" i="61"/>
  <c r="A7" i="61"/>
  <c r="O6" i="61"/>
  <c r="E6" i="61" s="1"/>
  <c r="N6" i="61"/>
  <c r="M6" i="61"/>
  <c r="L6" i="61"/>
  <c r="K6" i="61"/>
  <c r="A6" i="61"/>
  <c r="O5" i="61"/>
  <c r="N5" i="61"/>
  <c r="M5" i="61"/>
  <c r="L5" i="61"/>
  <c r="K5" i="61"/>
  <c r="A5" i="61" s="1"/>
  <c r="E5" i="61"/>
  <c r="O4" i="61"/>
  <c r="N4" i="61"/>
  <c r="M4" i="61"/>
  <c r="L4" i="61"/>
  <c r="K4" i="61"/>
  <c r="E4" i="61"/>
  <c r="A4" i="61"/>
  <c r="O3" i="61"/>
  <c r="N3" i="61"/>
  <c r="M3" i="61"/>
  <c r="L3" i="61"/>
  <c r="K3" i="61"/>
  <c r="A3" i="61" s="1"/>
  <c r="E3" i="61"/>
  <c r="O2" i="61"/>
  <c r="N2" i="61"/>
  <c r="M2" i="61"/>
  <c r="L2" i="61"/>
  <c r="K2" i="61"/>
  <c r="E2" i="61"/>
  <c r="A2" i="6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N75" i="60"/>
  <c r="M75" i="60"/>
  <c r="L75" i="60"/>
  <c r="K75" i="60"/>
  <c r="E75" i="60"/>
  <c r="A75" i="60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N71" i="60"/>
  <c r="M71" i="60"/>
  <c r="L71" i="60"/>
  <c r="K71" i="60"/>
  <c r="A71" i="60" s="1"/>
  <c r="E71" i="60"/>
  <c r="O70" i="60"/>
  <c r="E70" i="60" s="1"/>
  <c r="N70" i="60"/>
  <c r="M70" i="60"/>
  <c r="L70" i="60"/>
  <c r="K70" i="60"/>
  <c r="A70" i="60" s="1"/>
  <c r="O69" i="60"/>
  <c r="N69" i="60"/>
  <c r="M69" i="60"/>
  <c r="L69" i="60"/>
  <c r="K69" i="60"/>
  <c r="E69" i="60"/>
  <c r="A69" i="60"/>
  <c r="A68" i="60"/>
  <c r="O66" i="60"/>
  <c r="N66" i="60"/>
  <c r="M66" i="60"/>
  <c r="L66" i="60"/>
  <c r="K66" i="60"/>
  <c r="A66" i="60" s="1"/>
  <c r="E66" i="60"/>
  <c r="O65" i="60"/>
  <c r="E65" i="60" s="1"/>
  <c r="N65" i="60"/>
  <c r="M65" i="60"/>
  <c r="L65" i="60"/>
  <c r="K65" i="60"/>
  <c r="A65" i="60" s="1"/>
  <c r="O64" i="60"/>
  <c r="N64" i="60"/>
  <c r="M64" i="60"/>
  <c r="L64" i="60"/>
  <c r="K64" i="60"/>
  <c r="A64" i="60" s="1"/>
  <c r="E64" i="60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/>
  <c r="O61" i="60"/>
  <c r="N61" i="60"/>
  <c r="M61" i="60"/>
  <c r="L61" i="60"/>
  <c r="K61" i="60"/>
  <c r="E61" i="60"/>
  <c r="A61" i="60"/>
  <c r="O60" i="60"/>
  <c r="E60" i="60" s="1"/>
  <c r="N60" i="60"/>
  <c r="M60" i="60"/>
  <c r="L60" i="60"/>
  <c r="K60" i="60"/>
  <c r="A60" i="60" s="1"/>
  <c r="O59" i="60"/>
  <c r="N59" i="60"/>
  <c r="M59" i="60"/>
  <c r="L59" i="60"/>
  <c r="K59" i="60"/>
  <c r="A59" i="60" s="1"/>
  <c r="E59" i="60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N54" i="60"/>
  <c r="M54" i="60"/>
  <c r="L54" i="60"/>
  <c r="K54" i="60"/>
  <c r="E54" i="60"/>
  <c r="A54" i="60"/>
  <c r="O53" i="60"/>
  <c r="E53" i="60" s="1"/>
  <c r="N53" i="60"/>
  <c r="M53" i="60"/>
  <c r="L53" i="60"/>
  <c r="K53" i="60"/>
  <c r="A53" i="60" s="1"/>
  <c r="O52" i="60"/>
  <c r="N52" i="60"/>
  <c r="M52" i="60"/>
  <c r="L52" i="60"/>
  <c r="K52" i="60"/>
  <c r="A52" i="60" s="1"/>
  <c r="E52" i="60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N48" i="60"/>
  <c r="M48" i="60"/>
  <c r="L48" i="60"/>
  <c r="K48" i="60"/>
  <c r="E48" i="60"/>
  <c r="A48" i="60"/>
  <c r="O47" i="60"/>
  <c r="E47" i="60" s="1"/>
  <c r="N47" i="60"/>
  <c r="M47" i="60"/>
  <c r="L47" i="60"/>
  <c r="K47" i="60"/>
  <c r="A47" i="60" s="1"/>
  <c r="O46" i="60"/>
  <c r="N46" i="60"/>
  <c r="M46" i="60"/>
  <c r="L46" i="60"/>
  <c r="K46" i="60"/>
  <c r="A46" i="60" s="1"/>
  <c r="E46" i="60"/>
  <c r="O45" i="60"/>
  <c r="E45" i="60" s="1"/>
  <c r="N45" i="60"/>
  <c r="M45" i="60"/>
  <c r="L45" i="60"/>
  <c r="K45" i="60"/>
  <c r="A45" i="60" s="1"/>
  <c r="O44" i="60"/>
  <c r="N44" i="60"/>
  <c r="M44" i="60"/>
  <c r="L44" i="60"/>
  <c r="K44" i="60"/>
  <c r="E44" i="60"/>
  <c r="A44" i="60"/>
  <c r="O42" i="60"/>
  <c r="N42" i="60"/>
  <c r="M42" i="60"/>
  <c r="L42" i="60"/>
  <c r="K42" i="60"/>
  <c r="E42" i="60"/>
  <c r="A42" i="60"/>
  <c r="O41" i="60"/>
  <c r="E41" i="60" s="1"/>
  <c r="N41" i="60"/>
  <c r="M41" i="60"/>
  <c r="L41" i="60"/>
  <c r="K41" i="60"/>
  <c r="A41" i="60" s="1"/>
  <c r="O40" i="60"/>
  <c r="N40" i="60"/>
  <c r="M40" i="60"/>
  <c r="L40" i="60"/>
  <c r="K40" i="60"/>
  <c r="A40" i="60" s="1"/>
  <c r="E40" i="60"/>
  <c r="O39" i="60"/>
  <c r="E39" i="60" s="1"/>
  <c r="N39" i="60"/>
  <c r="M39" i="60"/>
  <c r="L39" i="60"/>
  <c r="K39" i="60"/>
  <c r="A39" i="60" s="1"/>
  <c r="O38" i="60"/>
  <c r="N38" i="60"/>
  <c r="M38" i="60"/>
  <c r="L38" i="60"/>
  <c r="K38" i="60"/>
  <c r="E38" i="60"/>
  <c r="A38" i="60"/>
  <c r="O37" i="60"/>
  <c r="E37" i="60" s="1"/>
  <c r="N37" i="60"/>
  <c r="M37" i="60"/>
  <c r="L37" i="60"/>
  <c r="K37" i="60"/>
  <c r="A37" i="60"/>
  <c r="O35" i="60"/>
  <c r="E35" i="60" s="1"/>
  <c r="N35" i="60"/>
  <c r="M35" i="60"/>
  <c r="L35" i="60"/>
  <c r="K35" i="60"/>
  <c r="A35" i="60" s="1"/>
  <c r="O34" i="60"/>
  <c r="N34" i="60"/>
  <c r="M34" i="60"/>
  <c r="L34" i="60"/>
  <c r="K34" i="60"/>
  <c r="A34" i="60" s="1"/>
  <c r="E34" i="60"/>
  <c r="O33" i="60"/>
  <c r="E33" i="60" s="1"/>
  <c r="N33" i="60"/>
  <c r="M33" i="60"/>
  <c r="L33" i="60"/>
  <c r="K33" i="60"/>
  <c r="A33" i="60" s="1"/>
  <c r="O32" i="60"/>
  <c r="N32" i="60"/>
  <c r="M32" i="60"/>
  <c r="L32" i="60"/>
  <c r="K32" i="60"/>
  <c r="E32" i="60"/>
  <c r="A32" i="60"/>
  <c r="O31" i="60"/>
  <c r="E31" i="60" s="1"/>
  <c r="N31" i="60"/>
  <c r="M31" i="60"/>
  <c r="L31" i="60"/>
  <c r="K31" i="60"/>
  <c r="A31" i="60"/>
  <c r="O30" i="60"/>
  <c r="E30" i="60" s="1"/>
  <c r="N30" i="60"/>
  <c r="M30" i="60"/>
  <c r="L30" i="60"/>
  <c r="K30" i="60"/>
  <c r="A30" i="60" s="1"/>
  <c r="O28" i="60"/>
  <c r="N28" i="60"/>
  <c r="M28" i="60"/>
  <c r="L28" i="60"/>
  <c r="K28" i="60"/>
  <c r="A28" i="60" s="1"/>
  <c r="E28" i="60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N23" i="60"/>
  <c r="M23" i="60"/>
  <c r="L23" i="60"/>
  <c r="K23" i="60"/>
  <c r="E23" i="60"/>
  <c r="A23" i="60"/>
  <c r="O21" i="60"/>
  <c r="E21" i="60" s="1"/>
  <c r="N21" i="60"/>
  <c r="M21" i="60"/>
  <c r="L21" i="60"/>
  <c r="K21" i="60"/>
  <c r="A21" i="60" s="1"/>
  <c r="O20" i="60"/>
  <c r="N20" i="60"/>
  <c r="M20" i="60"/>
  <c r="L20" i="60"/>
  <c r="K20" i="60"/>
  <c r="A20" i="60" s="1"/>
  <c r="E20" i="60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N17" i="60"/>
  <c r="M17" i="60"/>
  <c r="L17" i="60"/>
  <c r="K17" i="60"/>
  <c r="E17" i="60"/>
  <c r="A17" i="60"/>
  <c r="O16" i="60"/>
  <c r="E16" i="60" s="1"/>
  <c r="N16" i="60"/>
  <c r="M16" i="60"/>
  <c r="L16" i="60"/>
  <c r="K16" i="60"/>
  <c r="A16" i="60" s="1"/>
  <c r="O14" i="60"/>
  <c r="N14" i="60"/>
  <c r="M14" i="60"/>
  <c r="L14" i="60"/>
  <c r="K14" i="60"/>
  <c r="A14" i="60" s="1"/>
  <c r="E14" i="60"/>
  <c r="O13" i="60"/>
  <c r="E13" i="60" s="1"/>
  <c r="N13" i="60"/>
  <c r="M13" i="60"/>
  <c r="L13" i="60"/>
  <c r="K13" i="60"/>
  <c r="A13" i="60"/>
  <c r="O12" i="60"/>
  <c r="N12" i="60"/>
  <c r="M12" i="60"/>
  <c r="L12" i="60"/>
  <c r="K12" i="60"/>
  <c r="E12" i="60"/>
  <c r="A12" i="60"/>
  <c r="Q11" i="60"/>
  <c r="P18" i="31" s="1"/>
  <c r="O11" i="60"/>
  <c r="N11" i="60"/>
  <c r="M11" i="60"/>
  <c r="L11" i="60"/>
  <c r="K11" i="60"/>
  <c r="E11" i="60"/>
  <c r="A11" i="60"/>
  <c r="O10" i="60"/>
  <c r="E10" i="60" s="1"/>
  <c r="N10" i="60"/>
  <c r="M10" i="60"/>
  <c r="L10" i="60"/>
  <c r="K10" i="60"/>
  <c r="A10" i="60" s="1"/>
  <c r="O9" i="60"/>
  <c r="N9" i="60"/>
  <c r="M9" i="60"/>
  <c r="L9" i="60"/>
  <c r="K9" i="60"/>
  <c r="A9" i="60" s="1"/>
  <c r="E9" i="60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N5" i="60"/>
  <c r="M5" i="60"/>
  <c r="L5" i="60"/>
  <c r="K5" i="60"/>
  <c r="E5" i="60"/>
  <c r="A5" i="60"/>
  <c r="O4" i="60"/>
  <c r="E4" i="60" s="1"/>
  <c r="N4" i="60"/>
  <c r="M4" i="60"/>
  <c r="L4" i="60"/>
  <c r="K4" i="60"/>
  <c r="A4" i="60" s="1"/>
  <c r="O3" i="60"/>
  <c r="N3" i="60"/>
  <c r="M3" i="60"/>
  <c r="L3" i="60"/>
  <c r="K3" i="60"/>
  <c r="A3" i="60" s="1"/>
  <c r="E3" i="60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N75" i="56"/>
  <c r="M75" i="56"/>
  <c r="L75" i="56"/>
  <c r="K75" i="56"/>
  <c r="E75" i="56"/>
  <c r="A75" i="56"/>
  <c r="A74" i="56"/>
  <c r="O73" i="56"/>
  <c r="N73" i="56"/>
  <c r="M73" i="56"/>
  <c r="L73" i="56"/>
  <c r="K73" i="56"/>
  <c r="O72" i="56"/>
  <c r="N72" i="56"/>
  <c r="M72" i="56"/>
  <c r="L72" i="56"/>
  <c r="K72" i="56"/>
  <c r="A72" i="56" s="1"/>
  <c r="E72" i="56"/>
  <c r="O71" i="56"/>
  <c r="N71" i="56"/>
  <c r="M71" i="56"/>
  <c r="L71" i="56"/>
  <c r="K71" i="56"/>
  <c r="A71" i="56" s="1"/>
  <c r="E71" i="56"/>
  <c r="O70" i="56"/>
  <c r="E70" i="56" s="1"/>
  <c r="N70" i="56"/>
  <c r="M70" i="56"/>
  <c r="L70" i="56"/>
  <c r="K70" i="56"/>
  <c r="A70" i="56" s="1"/>
  <c r="O69" i="56"/>
  <c r="N69" i="56"/>
  <c r="M69" i="56"/>
  <c r="L69" i="56"/>
  <c r="K69" i="56"/>
  <c r="E69" i="56"/>
  <c r="A69" i="56"/>
  <c r="A68" i="56"/>
  <c r="O66" i="56"/>
  <c r="N66" i="56"/>
  <c r="M66" i="56"/>
  <c r="L66" i="56"/>
  <c r="K66" i="56"/>
  <c r="A66" i="56" s="1"/>
  <c r="E66" i="56"/>
  <c r="O65" i="56"/>
  <c r="E65" i="56" s="1"/>
  <c r="N65" i="56"/>
  <c r="M65" i="56"/>
  <c r="L65" i="56"/>
  <c r="K65" i="56"/>
  <c r="A65" i="56" s="1"/>
  <c r="O64" i="56"/>
  <c r="N64" i="56"/>
  <c r="M64" i="56"/>
  <c r="L64" i="56"/>
  <c r="K64" i="56"/>
  <c r="E64" i="56"/>
  <c r="A64" i="56"/>
  <c r="O63" i="56"/>
  <c r="E63" i="56" s="1"/>
  <c r="N63" i="56"/>
  <c r="M63" i="56"/>
  <c r="L63" i="56"/>
  <c r="K63" i="56"/>
  <c r="A63" i="56"/>
  <c r="O62" i="56"/>
  <c r="N62" i="56"/>
  <c r="M62" i="56"/>
  <c r="L62" i="56"/>
  <c r="K62" i="56"/>
  <c r="A62" i="56" s="1"/>
  <c r="E62" i="56"/>
  <c r="O61" i="56"/>
  <c r="E61" i="56" s="1"/>
  <c r="N61" i="56"/>
  <c r="M61" i="56"/>
  <c r="L61" i="56"/>
  <c r="K61" i="56"/>
  <c r="A61" i="56"/>
  <c r="O60" i="56"/>
  <c r="N60" i="56"/>
  <c r="M60" i="56"/>
  <c r="L60" i="56"/>
  <c r="K60" i="56"/>
  <c r="A60" i="56" s="1"/>
  <c r="E60" i="56"/>
  <c r="O59" i="56"/>
  <c r="N59" i="56"/>
  <c r="M59" i="56"/>
  <c r="L59" i="56"/>
  <c r="K59" i="56"/>
  <c r="E59" i="56"/>
  <c r="A59" i="56"/>
  <c r="A58" i="56"/>
  <c r="O56" i="56"/>
  <c r="E56" i="56" s="1"/>
  <c r="N56" i="56"/>
  <c r="M56" i="56"/>
  <c r="L56" i="56"/>
  <c r="K56" i="56"/>
  <c r="A56" i="56"/>
  <c r="O55" i="56"/>
  <c r="N55" i="56"/>
  <c r="M55" i="56"/>
  <c r="L55" i="56"/>
  <c r="K55" i="56"/>
  <c r="A55" i="56" s="1"/>
  <c r="E55" i="56"/>
  <c r="O54" i="56"/>
  <c r="E54" i="56" s="1"/>
  <c r="N54" i="56"/>
  <c r="M54" i="56"/>
  <c r="L54" i="56"/>
  <c r="K54" i="56"/>
  <c r="A54" i="56"/>
  <c r="O53" i="56"/>
  <c r="N53" i="56"/>
  <c r="M53" i="56"/>
  <c r="L53" i="56"/>
  <c r="K53" i="56"/>
  <c r="A53" i="56" s="1"/>
  <c r="E53" i="56"/>
  <c r="O52" i="56"/>
  <c r="N52" i="56"/>
  <c r="M52" i="56"/>
  <c r="L52" i="56"/>
  <c r="K52" i="56"/>
  <c r="E52" i="56"/>
  <c r="A52" i="56"/>
  <c r="O51" i="56"/>
  <c r="E51" i="56" s="1"/>
  <c r="N51" i="56"/>
  <c r="M51" i="56"/>
  <c r="L51" i="56"/>
  <c r="K51" i="56"/>
  <c r="A51" i="56" s="1"/>
  <c r="O49" i="56"/>
  <c r="N49" i="56"/>
  <c r="M49" i="56"/>
  <c r="L49" i="56"/>
  <c r="K49" i="56"/>
  <c r="A49" i="56" s="1"/>
  <c r="E49" i="56"/>
  <c r="O48" i="56"/>
  <c r="E48" i="56" s="1"/>
  <c r="N48" i="56"/>
  <c r="M48" i="56"/>
  <c r="L48" i="56"/>
  <c r="K48" i="56"/>
  <c r="A48" i="56"/>
  <c r="O47" i="56"/>
  <c r="N47" i="56"/>
  <c r="M47" i="56"/>
  <c r="L47" i="56"/>
  <c r="K47" i="56"/>
  <c r="A47" i="56" s="1"/>
  <c r="E47" i="56"/>
  <c r="O46" i="56"/>
  <c r="N46" i="56"/>
  <c r="M46" i="56"/>
  <c r="L46" i="56"/>
  <c r="K46" i="56"/>
  <c r="E46" i="56"/>
  <c r="A46" i="56"/>
  <c r="O45" i="56"/>
  <c r="E45" i="56" s="1"/>
  <c r="N45" i="56"/>
  <c r="M45" i="56"/>
  <c r="L45" i="56"/>
  <c r="K45" i="56"/>
  <c r="A45" i="56" s="1"/>
  <c r="O44" i="56"/>
  <c r="N44" i="56"/>
  <c r="M44" i="56"/>
  <c r="L44" i="56"/>
  <c r="K44" i="56"/>
  <c r="E44" i="56"/>
  <c r="A44" i="56"/>
  <c r="O42" i="56"/>
  <c r="E42" i="56" s="1"/>
  <c r="N42" i="56"/>
  <c r="M42" i="56"/>
  <c r="L42" i="56"/>
  <c r="K42" i="56"/>
  <c r="A42" i="56"/>
  <c r="O41" i="56"/>
  <c r="N41" i="56"/>
  <c r="M41" i="56"/>
  <c r="L41" i="56"/>
  <c r="K41" i="56"/>
  <c r="A41" i="56" s="1"/>
  <c r="E41" i="56"/>
  <c r="O40" i="56"/>
  <c r="N40" i="56"/>
  <c r="M40" i="56"/>
  <c r="L40" i="56"/>
  <c r="K40" i="56"/>
  <c r="E40" i="56"/>
  <c r="A40" i="56"/>
  <c r="O39" i="56"/>
  <c r="E39" i="56" s="1"/>
  <c r="N39" i="56"/>
  <c r="M39" i="56"/>
  <c r="L39" i="56"/>
  <c r="K39" i="56"/>
  <c r="A39" i="56" s="1"/>
  <c r="O38" i="56"/>
  <c r="N38" i="56"/>
  <c r="M38" i="56"/>
  <c r="L38" i="56"/>
  <c r="K38" i="56"/>
  <c r="E38" i="56"/>
  <c r="A38" i="56"/>
  <c r="O37" i="56"/>
  <c r="E37" i="56" s="1"/>
  <c r="N37" i="56"/>
  <c r="M37" i="56"/>
  <c r="L37" i="56"/>
  <c r="K37" i="56"/>
  <c r="A37" i="56"/>
  <c r="O35" i="56"/>
  <c r="N35" i="56"/>
  <c r="M35" i="56"/>
  <c r="L35" i="56"/>
  <c r="K35" i="56"/>
  <c r="A35" i="56" s="1"/>
  <c r="E35" i="56"/>
  <c r="O34" i="56"/>
  <c r="N34" i="56"/>
  <c r="M34" i="56"/>
  <c r="L34" i="56"/>
  <c r="K34" i="56"/>
  <c r="E34" i="56"/>
  <c r="A34" i="56"/>
  <c r="O33" i="56"/>
  <c r="E33" i="56" s="1"/>
  <c r="N33" i="56"/>
  <c r="M33" i="56"/>
  <c r="L33" i="56"/>
  <c r="K33" i="56"/>
  <c r="A33" i="56" s="1"/>
  <c r="O32" i="56"/>
  <c r="N32" i="56"/>
  <c r="M32" i="56"/>
  <c r="L32" i="56"/>
  <c r="K32" i="56"/>
  <c r="A32" i="56" s="1"/>
  <c r="E32" i="56"/>
  <c r="O31" i="56"/>
  <c r="E31" i="56" s="1"/>
  <c r="N31" i="56"/>
  <c r="M31" i="56"/>
  <c r="L31" i="56"/>
  <c r="K31" i="56"/>
  <c r="A31" i="56"/>
  <c r="O30" i="56"/>
  <c r="E30" i="56" s="1"/>
  <c r="N30" i="56"/>
  <c r="M30" i="56"/>
  <c r="L30" i="56"/>
  <c r="K30" i="56"/>
  <c r="A30" i="56" s="1"/>
  <c r="O28" i="56"/>
  <c r="N28" i="56"/>
  <c r="M28" i="56"/>
  <c r="L28" i="56"/>
  <c r="K28" i="56"/>
  <c r="E28" i="56"/>
  <c r="A28" i="56"/>
  <c r="O27" i="56"/>
  <c r="E27" i="56" s="1"/>
  <c r="N27" i="56"/>
  <c r="M27" i="56"/>
  <c r="L27" i="56"/>
  <c r="K27" i="56"/>
  <c r="A27" i="56" s="1"/>
  <c r="O26" i="56"/>
  <c r="N26" i="56"/>
  <c r="M26" i="56"/>
  <c r="L26" i="56"/>
  <c r="K26" i="56"/>
  <c r="E26" i="56"/>
  <c r="A26" i="56"/>
  <c r="O25" i="56"/>
  <c r="E25" i="56" s="1"/>
  <c r="N25" i="56"/>
  <c r="M25" i="56"/>
  <c r="L25" i="56"/>
  <c r="K25" i="56"/>
  <c r="A25" i="56"/>
  <c r="O24" i="56"/>
  <c r="N24" i="56"/>
  <c r="M24" i="56"/>
  <c r="L24" i="56"/>
  <c r="K24" i="56"/>
  <c r="A24" i="56" s="1"/>
  <c r="E24" i="56"/>
  <c r="O23" i="56"/>
  <c r="E23" i="56" s="1"/>
  <c r="N23" i="56"/>
  <c r="M23" i="56"/>
  <c r="L23" i="56"/>
  <c r="K23" i="56"/>
  <c r="A23" i="56"/>
  <c r="O21" i="56"/>
  <c r="E21" i="56" s="1"/>
  <c r="N21" i="56"/>
  <c r="M21" i="56"/>
  <c r="L21" i="56"/>
  <c r="K21" i="56"/>
  <c r="A21" i="56" s="1"/>
  <c r="O20" i="56"/>
  <c r="N20" i="56"/>
  <c r="M20" i="56"/>
  <c r="L20" i="56"/>
  <c r="K20" i="56"/>
  <c r="E20" i="56"/>
  <c r="A20" i="56"/>
  <c r="O19" i="56"/>
  <c r="E19" i="56" s="1"/>
  <c r="N19" i="56"/>
  <c r="M19" i="56"/>
  <c r="L19" i="56"/>
  <c r="K19" i="56"/>
  <c r="A19" i="56"/>
  <c r="O18" i="56"/>
  <c r="N18" i="56"/>
  <c r="M18" i="56"/>
  <c r="L18" i="56"/>
  <c r="K18" i="56"/>
  <c r="A18" i="56" s="1"/>
  <c r="E18" i="56"/>
  <c r="O17" i="56"/>
  <c r="E17" i="56" s="1"/>
  <c r="N17" i="56"/>
  <c r="M17" i="56"/>
  <c r="L17" i="56"/>
  <c r="K17" i="56"/>
  <c r="A17" i="56"/>
  <c r="O16" i="56"/>
  <c r="N16" i="56"/>
  <c r="M16" i="56"/>
  <c r="L16" i="56"/>
  <c r="K16" i="56"/>
  <c r="A16" i="56" s="1"/>
  <c r="E16" i="56"/>
  <c r="O14" i="56"/>
  <c r="N14" i="56"/>
  <c r="M14" i="56"/>
  <c r="L14" i="56"/>
  <c r="K14" i="56"/>
  <c r="E14" i="56"/>
  <c r="A14" i="56"/>
  <c r="O13" i="56"/>
  <c r="E13" i="56" s="1"/>
  <c r="N13" i="56"/>
  <c r="M13" i="56"/>
  <c r="L13" i="56"/>
  <c r="K13" i="56"/>
  <c r="A13" i="56" s="1"/>
  <c r="O12" i="56"/>
  <c r="N12" i="56"/>
  <c r="M12" i="56"/>
  <c r="L12" i="56"/>
  <c r="K12" i="56"/>
  <c r="E12" i="56"/>
  <c r="A12" i="56"/>
  <c r="Q11" i="56"/>
  <c r="P17" i="31" s="1"/>
  <c r="O11" i="56"/>
  <c r="E11" i="56" s="1"/>
  <c r="N11" i="56"/>
  <c r="M11" i="56"/>
  <c r="L11" i="56"/>
  <c r="K11" i="56"/>
  <c r="A11" i="56"/>
  <c r="O10" i="56"/>
  <c r="N10" i="56"/>
  <c r="M10" i="56"/>
  <c r="L10" i="56"/>
  <c r="K10" i="56"/>
  <c r="A10" i="56" s="1"/>
  <c r="E10" i="56"/>
  <c r="O9" i="56"/>
  <c r="N9" i="56"/>
  <c r="M9" i="56"/>
  <c r="L9" i="56"/>
  <c r="K9" i="56"/>
  <c r="E9" i="56"/>
  <c r="A9" i="56"/>
  <c r="O7" i="56"/>
  <c r="E7" i="56" s="1"/>
  <c r="N7" i="56"/>
  <c r="M7" i="56"/>
  <c r="L7" i="56"/>
  <c r="K7" i="56"/>
  <c r="A7" i="56"/>
  <c r="O6" i="56"/>
  <c r="N6" i="56"/>
  <c r="M6" i="56"/>
  <c r="L6" i="56"/>
  <c r="K6" i="56"/>
  <c r="A6" i="56" s="1"/>
  <c r="E6" i="56"/>
  <c r="O5" i="56"/>
  <c r="E5" i="56" s="1"/>
  <c r="N5" i="56"/>
  <c r="M5" i="56"/>
  <c r="L5" i="56"/>
  <c r="K5" i="56"/>
  <c r="A5" i="56"/>
  <c r="O4" i="56"/>
  <c r="N4" i="56"/>
  <c r="M4" i="56"/>
  <c r="L4" i="56"/>
  <c r="K4" i="56"/>
  <c r="A4" i="56" s="1"/>
  <c r="E4" i="56"/>
  <c r="O3" i="56"/>
  <c r="N3" i="56"/>
  <c r="M3" i="56"/>
  <c r="L3" i="56"/>
  <c r="K3" i="56"/>
  <c r="E3" i="56"/>
  <c r="A3" i="56"/>
  <c r="O2" i="56"/>
  <c r="E2" i="56" s="1"/>
  <c r="N2" i="56"/>
  <c r="M2" i="56"/>
  <c r="L2" i="56"/>
  <c r="K2" i="56"/>
  <c r="A2" i="56"/>
  <c r="O79" i="55"/>
  <c r="N79" i="55"/>
  <c r="M79" i="55"/>
  <c r="L79" i="55"/>
  <c r="K79" i="55"/>
  <c r="A79" i="55" s="1"/>
  <c r="E79" i="55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/>
  <c r="A74" i="55"/>
  <c r="O73" i="55"/>
  <c r="N73" i="55"/>
  <c r="M73" i="55"/>
  <c r="L73" i="55"/>
  <c r="K73" i="55"/>
  <c r="O72" i="55"/>
  <c r="N72" i="55"/>
  <c r="M72" i="55"/>
  <c r="L72" i="55"/>
  <c r="K72" i="55"/>
  <c r="A72" i="55" s="1"/>
  <c r="E72" i="55"/>
  <c r="O71" i="55"/>
  <c r="N71" i="55"/>
  <c r="M71" i="55"/>
  <c r="L71" i="55"/>
  <c r="K71" i="55"/>
  <c r="E71" i="55"/>
  <c r="A71" i="55"/>
  <c r="O70" i="55"/>
  <c r="E70" i="55" s="1"/>
  <c r="N70" i="55"/>
  <c r="M70" i="55"/>
  <c r="L70" i="55"/>
  <c r="K70" i="55"/>
  <c r="A70" i="55"/>
  <c r="O69" i="55"/>
  <c r="E69" i="55" s="1"/>
  <c r="N69" i="55"/>
  <c r="M69" i="55"/>
  <c r="L69" i="55"/>
  <c r="K69" i="55"/>
  <c r="A69" i="55"/>
  <c r="A68" i="55"/>
  <c r="O66" i="55"/>
  <c r="N66" i="55"/>
  <c r="M66" i="55"/>
  <c r="L66" i="55"/>
  <c r="K66" i="55"/>
  <c r="E66" i="55"/>
  <c r="A66" i="55"/>
  <c r="O65" i="55"/>
  <c r="E65" i="55" s="1"/>
  <c r="N65" i="55"/>
  <c r="M65" i="55"/>
  <c r="L65" i="55"/>
  <c r="K65" i="55"/>
  <c r="A65" i="55" s="1"/>
  <c r="O64" i="55"/>
  <c r="N64" i="55"/>
  <c r="M64" i="55"/>
  <c r="L64" i="55"/>
  <c r="K64" i="55"/>
  <c r="E64" i="55"/>
  <c r="A64" i="55"/>
  <c r="O63" i="55"/>
  <c r="E63" i="55" s="1"/>
  <c r="N63" i="55"/>
  <c r="M63" i="55"/>
  <c r="L63" i="55"/>
  <c r="K63" i="55"/>
  <c r="A63" i="55"/>
  <c r="O62" i="55"/>
  <c r="N62" i="55"/>
  <c r="M62" i="55"/>
  <c r="L62" i="55"/>
  <c r="K62" i="55"/>
  <c r="A62" i="55" s="1"/>
  <c r="E62" i="55"/>
  <c r="O61" i="55"/>
  <c r="E61" i="55" s="1"/>
  <c r="N61" i="55"/>
  <c r="M61" i="55"/>
  <c r="L61" i="55"/>
  <c r="K61" i="55"/>
  <c r="A61" i="55" s="1"/>
  <c r="O60" i="55"/>
  <c r="N60" i="55"/>
  <c r="M60" i="55"/>
  <c r="L60" i="55"/>
  <c r="K60" i="55"/>
  <c r="A60" i="55" s="1"/>
  <c r="E60" i="55"/>
  <c r="O59" i="55"/>
  <c r="N59" i="55"/>
  <c r="M59" i="55"/>
  <c r="L59" i="55"/>
  <c r="K59" i="55"/>
  <c r="E59" i="55"/>
  <c r="A59" i="55"/>
  <c r="A58" i="55"/>
  <c r="O56" i="55"/>
  <c r="E56" i="55" s="1"/>
  <c r="N56" i="55"/>
  <c r="M56" i="55"/>
  <c r="L56" i="55"/>
  <c r="K56" i="55"/>
  <c r="A56" i="55"/>
  <c r="O55" i="55"/>
  <c r="N55" i="55"/>
  <c r="M55" i="55"/>
  <c r="L55" i="55"/>
  <c r="K55" i="55"/>
  <c r="A55" i="55" s="1"/>
  <c r="E55" i="55"/>
  <c r="O54" i="55"/>
  <c r="E54" i="55" s="1"/>
  <c r="N54" i="55"/>
  <c r="M54" i="55"/>
  <c r="L54" i="55"/>
  <c r="K54" i="55"/>
  <c r="A54" i="55" s="1"/>
  <c r="O53" i="55"/>
  <c r="N53" i="55"/>
  <c r="M53" i="55"/>
  <c r="L53" i="55"/>
  <c r="K53" i="55"/>
  <c r="A53" i="55" s="1"/>
  <c r="E53" i="55"/>
  <c r="O52" i="55"/>
  <c r="N52" i="55"/>
  <c r="M52" i="55"/>
  <c r="L52" i="55"/>
  <c r="K52" i="55"/>
  <c r="E52" i="55"/>
  <c r="A52" i="55"/>
  <c r="O51" i="55"/>
  <c r="E51" i="55" s="1"/>
  <c r="N51" i="55"/>
  <c r="M51" i="55"/>
  <c r="L51" i="55"/>
  <c r="K51" i="55"/>
  <c r="A51" i="55"/>
  <c r="O49" i="55"/>
  <c r="N49" i="55"/>
  <c r="M49" i="55"/>
  <c r="L49" i="55"/>
  <c r="K49" i="55"/>
  <c r="A49" i="55" s="1"/>
  <c r="E49" i="55"/>
  <c r="O48" i="55"/>
  <c r="E48" i="55" s="1"/>
  <c r="N48" i="55"/>
  <c r="M48" i="55"/>
  <c r="L48" i="55"/>
  <c r="K48" i="55"/>
  <c r="A48" i="55" s="1"/>
  <c r="O47" i="55"/>
  <c r="N47" i="55"/>
  <c r="M47" i="55"/>
  <c r="L47" i="55"/>
  <c r="K47" i="55"/>
  <c r="A47" i="55" s="1"/>
  <c r="E47" i="55"/>
  <c r="O46" i="55"/>
  <c r="N46" i="55"/>
  <c r="M46" i="55"/>
  <c r="L46" i="55"/>
  <c r="K46" i="55"/>
  <c r="E46" i="55"/>
  <c r="A46" i="55"/>
  <c r="O45" i="55"/>
  <c r="E45" i="55" s="1"/>
  <c r="N45" i="55"/>
  <c r="M45" i="55"/>
  <c r="L45" i="55"/>
  <c r="K45" i="55"/>
  <c r="A45" i="55"/>
  <c r="O44" i="55"/>
  <c r="E44" i="55" s="1"/>
  <c r="N44" i="55"/>
  <c r="M44" i="55"/>
  <c r="L44" i="55"/>
  <c r="K44" i="55"/>
  <c r="A44" i="55"/>
  <c r="O42" i="55"/>
  <c r="E42" i="55" s="1"/>
  <c r="N42" i="55"/>
  <c r="M42" i="55"/>
  <c r="L42" i="55"/>
  <c r="K42" i="55"/>
  <c r="A42" i="55" s="1"/>
  <c r="O41" i="55"/>
  <c r="N41" i="55"/>
  <c r="M41" i="55"/>
  <c r="L41" i="55"/>
  <c r="K41" i="55"/>
  <c r="A41" i="55" s="1"/>
  <c r="E41" i="55"/>
  <c r="O40" i="55"/>
  <c r="N40" i="55"/>
  <c r="M40" i="55"/>
  <c r="L40" i="55"/>
  <c r="K40" i="55"/>
  <c r="E40" i="55"/>
  <c r="A40" i="55"/>
  <c r="O39" i="55"/>
  <c r="E39" i="55" s="1"/>
  <c r="N39" i="55"/>
  <c r="M39" i="55"/>
  <c r="L39" i="55"/>
  <c r="K39" i="55"/>
  <c r="A39" i="55" s="1"/>
  <c r="O38" i="55"/>
  <c r="N38" i="55"/>
  <c r="M38" i="55"/>
  <c r="L38" i="55"/>
  <c r="K38" i="55"/>
  <c r="E38" i="55"/>
  <c r="A38" i="55"/>
  <c r="O37" i="55"/>
  <c r="N37" i="55"/>
  <c r="M37" i="55"/>
  <c r="L37" i="55"/>
  <c r="K37" i="55"/>
  <c r="E37" i="55"/>
  <c r="A37" i="55"/>
  <c r="O35" i="55"/>
  <c r="N35" i="55"/>
  <c r="M35" i="55"/>
  <c r="L35" i="55"/>
  <c r="K35" i="55"/>
  <c r="A35" i="55" s="1"/>
  <c r="E35" i="55"/>
  <c r="O34" i="55"/>
  <c r="N34" i="55"/>
  <c r="M34" i="55"/>
  <c r="L34" i="55"/>
  <c r="K34" i="55"/>
  <c r="E34" i="55"/>
  <c r="A34" i="55"/>
  <c r="O33" i="55"/>
  <c r="E33" i="55" s="1"/>
  <c r="N33" i="55"/>
  <c r="M33" i="55"/>
  <c r="L33" i="55"/>
  <c r="K33" i="55"/>
  <c r="A33" i="55" s="1"/>
  <c r="O32" i="55"/>
  <c r="N32" i="55"/>
  <c r="M32" i="55"/>
  <c r="L32" i="55"/>
  <c r="K32" i="55"/>
  <c r="A32" i="55" s="1"/>
  <c r="E32" i="55"/>
  <c r="O31" i="55"/>
  <c r="N31" i="55"/>
  <c r="M31" i="55"/>
  <c r="L31" i="55"/>
  <c r="K31" i="55"/>
  <c r="E31" i="55"/>
  <c r="A31" i="55"/>
  <c r="O30" i="55"/>
  <c r="N30" i="55"/>
  <c r="M30" i="55"/>
  <c r="L30" i="55"/>
  <c r="K30" i="55"/>
  <c r="E30" i="55"/>
  <c r="A30" i="55"/>
  <c r="O28" i="55"/>
  <c r="N28" i="55"/>
  <c r="M28" i="55"/>
  <c r="L28" i="55"/>
  <c r="K28" i="55"/>
  <c r="E28" i="55"/>
  <c r="A28" i="55"/>
  <c r="O27" i="55"/>
  <c r="E27" i="55" s="1"/>
  <c r="N27" i="55"/>
  <c r="M27" i="55"/>
  <c r="L27" i="55"/>
  <c r="K27" i="55"/>
  <c r="A27" i="55" s="1"/>
  <c r="O26" i="55"/>
  <c r="N26" i="55"/>
  <c r="M26" i="55"/>
  <c r="L26" i="55"/>
  <c r="K26" i="55"/>
  <c r="E26" i="55"/>
  <c r="A26" i="55"/>
  <c r="O25" i="55"/>
  <c r="E25" i="55" s="1"/>
  <c r="N25" i="55"/>
  <c r="M25" i="55"/>
  <c r="L25" i="55"/>
  <c r="K25" i="55"/>
  <c r="A25" i="55"/>
  <c r="O24" i="55"/>
  <c r="N24" i="55"/>
  <c r="M24" i="55"/>
  <c r="L24" i="55"/>
  <c r="K24" i="55"/>
  <c r="A24" i="55" s="1"/>
  <c r="E24" i="55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N20" i="55"/>
  <c r="M20" i="55"/>
  <c r="L20" i="55"/>
  <c r="K20" i="55"/>
  <c r="E20" i="55"/>
  <c r="A20" i="55"/>
  <c r="O19" i="55"/>
  <c r="E19" i="55" s="1"/>
  <c r="N19" i="55"/>
  <c r="M19" i="55"/>
  <c r="L19" i="55"/>
  <c r="K19" i="55"/>
  <c r="A19" i="55"/>
  <c r="O18" i="55"/>
  <c r="N18" i="55"/>
  <c r="M18" i="55"/>
  <c r="L18" i="55"/>
  <c r="K18" i="55"/>
  <c r="A18" i="55" s="1"/>
  <c r="E18" i="55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N14" i="55"/>
  <c r="M14" i="55"/>
  <c r="L14" i="55"/>
  <c r="K14" i="55"/>
  <c r="E14" i="55"/>
  <c r="A14" i="55"/>
  <c r="O13" i="55"/>
  <c r="E13" i="55" s="1"/>
  <c r="N13" i="55"/>
  <c r="M13" i="55"/>
  <c r="L13" i="55"/>
  <c r="K13" i="55"/>
  <c r="A13" i="55" s="1"/>
  <c r="O12" i="55"/>
  <c r="N12" i="55"/>
  <c r="M12" i="55"/>
  <c r="L12" i="55"/>
  <c r="K12" i="55"/>
  <c r="E12" i="55"/>
  <c r="A12" i="55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N9" i="55"/>
  <c r="M9" i="55"/>
  <c r="L9" i="55"/>
  <c r="K9" i="55"/>
  <c r="E9" i="55"/>
  <c r="A9" i="55"/>
  <c r="O7" i="55"/>
  <c r="E7" i="55" s="1"/>
  <c r="N7" i="55"/>
  <c r="M7" i="55"/>
  <c r="L7" i="55"/>
  <c r="K7" i="55"/>
  <c r="A7" i="55"/>
  <c r="O6" i="55"/>
  <c r="N6" i="55"/>
  <c r="M6" i="55"/>
  <c r="L6" i="55"/>
  <c r="K6" i="55"/>
  <c r="A6" i="55" s="1"/>
  <c r="E6" i="55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N3" i="55"/>
  <c r="M3" i="55"/>
  <c r="L3" i="55"/>
  <c r="K3" i="55"/>
  <c r="E3" i="55"/>
  <c r="A3" i="55"/>
  <c r="O2" i="55"/>
  <c r="E2" i="55" s="1"/>
  <c r="N2" i="55"/>
  <c r="M2" i="55"/>
  <c r="L2" i="55"/>
  <c r="K2" i="55"/>
  <c r="A2" i="55"/>
  <c r="O79" i="54"/>
  <c r="N79" i="54"/>
  <c r="M79" i="54"/>
  <c r="L79" i="54"/>
  <c r="K79" i="54"/>
  <c r="A79" i="54" s="1"/>
  <c r="E79" i="54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N75" i="54"/>
  <c r="M75" i="54"/>
  <c r="L75" i="54"/>
  <c r="K75" i="54"/>
  <c r="A75" i="54" s="1"/>
  <c r="E75" i="54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N71" i="54"/>
  <c r="M71" i="54"/>
  <c r="L71" i="54"/>
  <c r="K71" i="54"/>
  <c r="E71" i="54"/>
  <c r="A71" i="54"/>
  <c r="O70" i="54"/>
  <c r="E70" i="54" s="1"/>
  <c r="N70" i="54"/>
  <c r="M70" i="54"/>
  <c r="L70" i="54"/>
  <c r="K70" i="54"/>
  <c r="A70" i="54"/>
  <c r="O69" i="54"/>
  <c r="N69" i="54"/>
  <c r="M69" i="54"/>
  <c r="L69" i="54"/>
  <c r="K69" i="54"/>
  <c r="A69" i="54" s="1"/>
  <c r="E69" i="54"/>
  <c r="A68" i="54"/>
  <c r="O66" i="54"/>
  <c r="N66" i="54"/>
  <c r="M66" i="54"/>
  <c r="L66" i="54"/>
  <c r="K66" i="54"/>
  <c r="E66" i="54"/>
  <c r="A66" i="54"/>
  <c r="O65" i="54"/>
  <c r="E65" i="54" s="1"/>
  <c r="N65" i="54"/>
  <c r="M65" i="54"/>
  <c r="L65" i="54"/>
  <c r="K65" i="54"/>
  <c r="A65" i="54" s="1"/>
  <c r="O64" i="54"/>
  <c r="N64" i="54"/>
  <c r="M64" i="54"/>
  <c r="L64" i="54"/>
  <c r="K64" i="54"/>
  <c r="E64" i="54"/>
  <c r="A64" i="54"/>
  <c r="O63" i="54"/>
  <c r="E63" i="54" s="1"/>
  <c r="N63" i="54"/>
  <c r="M63" i="54"/>
  <c r="L63" i="54"/>
  <c r="K63" i="54"/>
  <c r="A63" i="54"/>
  <c r="O62" i="54"/>
  <c r="E62" i="54" s="1"/>
  <c r="N62" i="54"/>
  <c r="M62" i="54"/>
  <c r="L62" i="54"/>
  <c r="K62" i="54"/>
  <c r="A62" i="54" s="1"/>
  <c r="O61" i="54"/>
  <c r="N61" i="54"/>
  <c r="M61" i="54"/>
  <c r="L61" i="54"/>
  <c r="K61" i="54"/>
  <c r="E61" i="54"/>
  <c r="A61" i="54"/>
  <c r="O60" i="54"/>
  <c r="E60" i="54" s="1"/>
  <c r="N60" i="54"/>
  <c r="M60" i="54"/>
  <c r="L60" i="54"/>
  <c r="K60" i="54"/>
  <c r="A60" i="54" s="1"/>
  <c r="O59" i="54"/>
  <c r="N59" i="54"/>
  <c r="M59" i="54"/>
  <c r="L59" i="54"/>
  <c r="K59" i="54"/>
  <c r="E59" i="54"/>
  <c r="A59" i="54"/>
  <c r="A58" i="54"/>
  <c r="O56" i="54"/>
  <c r="E56" i="54" s="1"/>
  <c r="N56" i="54"/>
  <c r="M56" i="54"/>
  <c r="L56" i="54"/>
  <c r="K56" i="54"/>
  <c r="A56" i="54"/>
  <c r="O55" i="54"/>
  <c r="E55" i="54" s="1"/>
  <c r="N55" i="54"/>
  <c r="M55" i="54"/>
  <c r="L55" i="54"/>
  <c r="K55" i="54"/>
  <c r="A55" i="54" s="1"/>
  <c r="O54" i="54"/>
  <c r="N54" i="54"/>
  <c r="M54" i="54"/>
  <c r="L54" i="54"/>
  <c r="K54" i="54"/>
  <c r="E54" i="54"/>
  <c r="A54" i="54"/>
  <c r="O53" i="54"/>
  <c r="E53" i="54" s="1"/>
  <c r="N53" i="54"/>
  <c r="M53" i="54"/>
  <c r="L53" i="54"/>
  <c r="K53" i="54"/>
  <c r="A53" i="54" s="1"/>
  <c r="O52" i="54"/>
  <c r="N52" i="54"/>
  <c r="M52" i="54"/>
  <c r="L52" i="54"/>
  <c r="K52" i="54"/>
  <c r="A52" i="54" s="1"/>
  <c r="E52" i="54"/>
  <c r="O51" i="54"/>
  <c r="E51" i="54" s="1"/>
  <c r="N51" i="54"/>
  <c r="M51" i="54"/>
  <c r="L51" i="54"/>
  <c r="K51" i="54"/>
  <c r="A51" i="54"/>
  <c r="O49" i="54"/>
  <c r="E49" i="54" s="1"/>
  <c r="N49" i="54"/>
  <c r="M49" i="54"/>
  <c r="L49" i="54"/>
  <c r="K49" i="54"/>
  <c r="A49" i="54" s="1"/>
  <c r="O48" i="54"/>
  <c r="N48" i="54"/>
  <c r="M48" i="54"/>
  <c r="L48" i="54"/>
  <c r="K48" i="54"/>
  <c r="E48" i="54"/>
  <c r="A48" i="54"/>
  <c r="O47" i="54"/>
  <c r="E47" i="54" s="1"/>
  <c r="N47" i="54"/>
  <c r="M47" i="54"/>
  <c r="L47" i="54"/>
  <c r="K47" i="54"/>
  <c r="A47" i="54" s="1"/>
  <c r="O46" i="54"/>
  <c r="N46" i="54"/>
  <c r="M46" i="54"/>
  <c r="L46" i="54"/>
  <c r="K46" i="54"/>
  <c r="A46" i="54" s="1"/>
  <c r="E46" i="54"/>
  <c r="O45" i="54"/>
  <c r="E45" i="54" s="1"/>
  <c r="N45" i="54"/>
  <c r="M45" i="54"/>
  <c r="L45" i="54"/>
  <c r="K45" i="54"/>
  <c r="A45" i="54" s="1"/>
  <c r="O44" i="54"/>
  <c r="N44" i="54"/>
  <c r="M44" i="54"/>
  <c r="L44" i="54"/>
  <c r="K44" i="54"/>
  <c r="A44" i="54" s="1"/>
  <c r="E44" i="54"/>
  <c r="O42" i="54"/>
  <c r="N42" i="54"/>
  <c r="M42" i="54"/>
  <c r="L42" i="54"/>
  <c r="K42" i="54"/>
  <c r="E42" i="54"/>
  <c r="A42" i="54"/>
  <c r="O41" i="54"/>
  <c r="E41" i="54" s="1"/>
  <c r="N41" i="54"/>
  <c r="M41" i="54"/>
  <c r="L41" i="54"/>
  <c r="K41" i="54"/>
  <c r="A41" i="54" s="1"/>
  <c r="O40" i="54"/>
  <c r="N40" i="54"/>
  <c r="M40" i="54"/>
  <c r="L40" i="54"/>
  <c r="K40" i="54"/>
  <c r="A40" i="54" s="1"/>
  <c r="E40" i="54"/>
  <c r="O39" i="54"/>
  <c r="E39" i="54" s="1"/>
  <c r="N39" i="54"/>
  <c r="M39" i="54"/>
  <c r="L39" i="54"/>
  <c r="K39" i="54"/>
  <c r="A39" i="54" s="1"/>
  <c r="O38" i="54"/>
  <c r="N38" i="54"/>
  <c r="M38" i="54"/>
  <c r="L38" i="54"/>
  <c r="K38" i="54"/>
  <c r="A38" i="54" s="1"/>
  <c r="E38" i="54"/>
  <c r="O37" i="54"/>
  <c r="E37" i="54" s="1"/>
  <c r="N37" i="54"/>
  <c r="M37" i="54"/>
  <c r="L37" i="54"/>
  <c r="K37" i="54"/>
  <c r="A37" i="54"/>
  <c r="O35" i="54"/>
  <c r="E35" i="54" s="1"/>
  <c r="N35" i="54"/>
  <c r="M35" i="54"/>
  <c r="L35" i="54"/>
  <c r="K35" i="54"/>
  <c r="A35" i="54" s="1"/>
  <c r="O34" i="54"/>
  <c r="N34" i="54"/>
  <c r="M34" i="54"/>
  <c r="L34" i="54"/>
  <c r="K34" i="54"/>
  <c r="A34" i="54" s="1"/>
  <c r="E34" i="54"/>
  <c r="O33" i="54"/>
  <c r="E33" i="54" s="1"/>
  <c r="N33" i="54"/>
  <c r="M33" i="54"/>
  <c r="L33" i="54"/>
  <c r="K33" i="54"/>
  <c r="A33" i="54" s="1"/>
  <c r="O32" i="54"/>
  <c r="N32" i="54"/>
  <c r="M32" i="54"/>
  <c r="L32" i="54"/>
  <c r="K32" i="54"/>
  <c r="A32" i="54" s="1"/>
  <c r="E32" i="54"/>
  <c r="O31" i="54"/>
  <c r="E31" i="54" s="1"/>
  <c r="N31" i="54"/>
  <c r="M31" i="54"/>
  <c r="L31" i="54"/>
  <c r="K31" i="54"/>
  <c r="A31" i="54"/>
  <c r="O30" i="54"/>
  <c r="N30" i="54"/>
  <c r="M30" i="54"/>
  <c r="L30" i="54"/>
  <c r="K30" i="54"/>
  <c r="E30" i="54"/>
  <c r="A30" i="54"/>
  <c r="O28" i="54"/>
  <c r="N28" i="54"/>
  <c r="M28" i="54"/>
  <c r="L28" i="54"/>
  <c r="K28" i="54"/>
  <c r="E28" i="54"/>
  <c r="A28" i="54"/>
  <c r="O27" i="54"/>
  <c r="E27" i="54" s="1"/>
  <c r="N27" i="54"/>
  <c r="M27" i="54"/>
  <c r="L27" i="54"/>
  <c r="K27" i="54"/>
  <c r="A27" i="54" s="1"/>
  <c r="O26" i="54"/>
  <c r="N26" i="54"/>
  <c r="M26" i="54"/>
  <c r="L26" i="54"/>
  <c r="K26" i="54"/>
  <c r="E26" i="54"/>
  <c r="A26" i="54"/>
  <c r="O25" i="54"/>
  <c r="E25" i="54" s="1"/>
  <c r="N25" i="54"/>
  <c r="M25" i="54"/>
  <c r="L25" i="54"/>
  <c r="K25" i="54"/>
  <c r="A25" i="54"/>
  <c r="O24" i="54"/>
  <c r="E24" i="54" s="1"/>
  <c r="N24" i="54"/>
  <c r="M24" i="54"/>
  <c r="L24" i="54"/>
  <c r="K24" i="54"/>
  <c r="A24" i="54" s="1"/>
  <c r="O23" i="54"/>
  <c r="N23" i="54"/>
  <c r="M23" i="54"/>
  <c r="L23" i="54"/>
  <c r="K23" i="54"/>
  <c r="E23" i="54"/>
  <c r="A23" i="54"/>
  <c r="O21" i="54"/>
  <c r="E21" i="54" s="1"/>
  <c r="N21" i="54"/>
  <c r="M21" i="54"/>
  <c r="L21" i="54"/>
  <c r="K21" i="54"/>
  <c r="A21" i="54" s="1"/>
  <c r="O20" i="54"/>
  <c r="N20" i="54"/>
  <c r="M20" i="54"/>
  <c r="L20" i="54"/>
  <c r="K20" i="54"/>
  <c r="E20" i="54"/>
  <c r="A20" i="54"/>
  <c r="O19" i="54"/>
  <c r="E19" i="54" s="1"/>
  <c r="N19" i="54"/>
  <c r="M19" i="54"/>
  <c r="L19" i="54"/>
  <c r="K19" i="54"/>
  <c r="A19" i="54"/>
  <c r="O18" i="54"/>
  <c r="E18" i="54" s="1"/>
  <c r="N18" i="54"/>
  <c r="M18" i="54"/>
  <c r="L18" i="54"/>
  <c r="K18" i="54"/>
  <c r="A18" i="54" s="1"/>
  <c r="O17" i="54"/>
  <c r="N17" i="54"/>
  <c r="M17" i="54"/>
  <c r="L17" i="54"/>
  <c r="K17" i="54"/>
  <c r="E17" i="54"/>
  <c r="A17" i="54"/>
  <c r="O16" i="54"/>
  <c r="E16" i="54" s="1"/>
  <c r="N16" i="54"/>
  <c r="M16" i="54"/>
  <c r="L16" i="54"/>
  <c r="K16" i="54"/>
  <c r="A16" i="54" s="1"/>
  <c r="O14" i="54"/>
  <c r="N14" i="54"/>
  <c r="M14" i="54"/>
  <c r="L14" i="54"/>
  <c r="K14" i="54"/>
  <c r="A14" i="54" s="1"/>
  <c r="E14" i="54"/>
  <c r="O13" i="54"/>
  <c r="E13" i="54" s="1"/>
  <c r="N13" i="54"/>
  <c r="M13" i="54"/>
  <c r="L13" i="54"/>
  <c r="K13" i="54"/>
  <c r="A13" i="54" s="1"/>
  <c r="O12" i="54"/>
  <c r="N12" i="54"/>
  <c r="M12" i="54"/>
  <c r="L12" i="54"/>
  <c r="K12" i="54"/>
  <c r="A12" i="54" s="1"/>
  <c r="E12" i="54"/>
  <c r="Q11" i="54"/>
  <c r="P14" i="31" s="1"/>
  <c r="L14" i="31" s="1"/>
  <c r="O11" i="54"/>
  <c r="N11" i="54"/>
  <c r="M11" i="54"/>
  <c r="L11" i="54"/>
  <c r="K11" i="54"/>
  <c r="E11" i="54"/>
  <c r="A11" i="54"/>
  <c r="O10" i="54"/>
  <c r="E10" i="54" s="1"/>
  <c r="N10" i="54"/>
  <c r="M10" i="54"/>
  <c r="L10" i="54"/>
  <c r="K10" i="54"/>
  <c r="A10" i="54" s="1"/>
  <c r="O9" i="54"/>
  <c r="N9" i="54"/>
  <c r="M9" i="54"/>
  <c r="L9" i="54"/>
  <c r="K9" i="54"/>
  <c r="A9" i="54" s="1"/>
  <c r="E9" i="54"/>
  <c r="O7" i="54"/>
  <c r="E7" i="54" s="1"/>
  <c r="N7" i="54"/>
  <c r="M7" i="54"/>
  <c r="L7" i="54"/>
  <c r="K7" i="54"/>
  <c r="A7" i="54"/>
  <c r="O6" i="54"/>
  <c r="E6" i="54" s="1"/>
  <c r="N6" i="54"/>
  <c r="M6" i="54"/>
  <c r="L6" i="54"/>
  <c r="K6" i="54"/>
  <c r="A6" i="54" s="1"/>
  <c r="O5" i="54"/>
  <c r="N5" i="54"/>
  <c r="M5" i="54"/>
  <c r="L5" i="54"/>
  <c r="K5" i="54"/>
  <c r="E5" i="54"/>
  <c r="A5" i="54"/>
  <c r="O4" i="54"/>
  <c r="E4" i="54" s="1"/>
  <c r="N4" i="54"/>
  <c r="M4" i="54"/>
  <c r="L4" i="54"/>
  <c r="K4" i="54"/>
  <c r="A4" i="54" s="1"/>
  <c r="O3" i="54"/>
  <c r="N3" i="54"/>
  <c r="M3" i="54"/>
  <c r="L3" i="54"/>
  <c r="K3" i="54"/>
  <c r="A3" i="54" s="1"/>
  <c r="E3" i="54"/>
  <c r="O2" i="54"/>
  <c r="E2" i="54" s="1"/>
  <c r="N2" i="54"/>
  <c r="M2" i="54"/>
  <c r="L2" i="54"/>
  <c r="K2" i="54"/>
  <c r="A2" i="54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N76" i="53"/>
  <c r="M76" i="53"/>
  <c r="L76" i="53"/>
  <c r="K76" i="53"/>
  <c r="E76" i="53"/>
  <c r="A76" i="53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/>
  <c r="O70" i="53"/>
  <c r="N70" i="53"/>
  <c r="M70" i="53"/>
  <c r="L70" i="53"/>
  <c r="K70" i="53"/>
  <c r="E70" i="53"/>
  <c r="A70" i="53"/>
  <c r="O69" i="53"/>
  <c r="E69" i="53" s="1"/>
  <c r="N69" i="53"/>
  <c r="M69" i="53"/>
  <c r="L69" i="53"/>
  <c r="K69" i="53"/>
  <c r="A69" i="53" s="1"/>
  <c r="A68" i="53"/>
  <c r="O66" i="53"/>
  <c r="N66" i="53"/>
  <c r="M66" i="53"/>
  <c r="L66" i="53"/>
  <c r="K66" i="53"/>
  <c r="E66" i="53"/>
  <c r="A66" i="53"/>
  <c r="O65" i="53"/>
  <c r="E65" i="53" s="1"/>
  <c r="N65" i="53"/>
  <c r="M65" i="53"/>
  <c r="L65" i="53"/>
  <c r="K65" i="53"/>
  <c r="A65" i="53"/>
  <c r="O64" i="53"/>
  <c r="E64" i="53" s="1"/>
  <c r="N64" i="53"/>
  <c r="M64" i="53"/>
  <c r="L64" i="53"/>
  <c r="K64" i="53"/>
  <c r="A64" i="53"/>
  <c r="O63" i="53"/>
  <c r="N63" i="53"/>
  <c r="M63" i="53"/>
  <c r="L63" i="53"/>
  <c r="K63" i="53"/>
  <c r="E63" i="53"/>
  <c r="A63" i="53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/>
  <c r="A58" i="53"/>
  <c r="O56" i="53"/>
  <c r="N56" i="53"/>
  <c r="M56" i="53"/>
  <c r="L56" i="53"/>
  <c r="K56" i="53"/>
  <c r="E56" i="53"/>
  <c r="A56" i="53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/>
  <c r="O51" i="53"/>
  <c r="N51" i="53"/>
  <c r="M51" i="53"/>
  <c r="L51" i="53"/>
  <c r="K51" i="53"/>
  <c r="E51" i="53"/>
  <c r="A51" i="53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/>
  <c r="O45" i="53"/>
  <c r="N45" i="53"/>
  <c r="M45" i="53"/>
  <c r="L45" i="53"/>
  <c r="K45" i="53"/>
  <c r="E45" i="53"/>
  <c r="A45" i="53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/>
  <c r="O39" i="53"/>
  <c r="N39" i="53"/>
  <c r="M39" i="53"/>
  <c r="L39" i="53"/>
  <c r="K39" i="53"/>
  <c r="E39" i="53"/>
  <c r="A39" i="53"/>
  <c r="O38" i="53"/>
  <c r="E38" i="53" s="1"/>
  <c r="N38" i="53"/>
  <c r="M38" i="53"/>
  <c r="L38" i="53"/>
  <c r="K38" i="53"/>
  <c r="A38" i="53" s="1"/>
  <c r="O37" i="53"/>
  <c r="N37" i="53"/>
  <c r="M37" i="53"/>
  <c r="L37" i="53"/>
  <c r="K37" i="53"/>
  <c r="A37" i="53" s="1"/>
  <c r="E37" i="53"/>
  <c r="O35" i="53"/>
  <c r="E35" i="53" s="1"/>
  <c r="N35" i="53"/>
  <c r="M35" i="53"/>
  <c r="L35" i="53"/>
  <c r="K35" i="53"/>
  <c r="A35" i="53"/>
  <c r="O34" i="53"/>
  <c r="E34" i="53" s="1"/>
  <c r="N34" i="53"/>
  <c r="M34" i="53"/>
  <c r="L34" i="53"/>
  <c r="K34" i="53"/>
  <c r="A34" i="53"/>
  <c r="O33" i="53"/>
  <c r="N33" i="53"/>
  <c r="M33" i="53"/>
  <c r="L33" i="53"/>
  <c r="K33" i="53"/>
  <c r="E33" i="53"/>
  <c r="A33" i="53"/>
  <c r="O32" i="53"/>
  <c r="E32" i="53" s="1"/>
  <c r="N32" i="53"/>
  <c r="M32" i="53"/>
  <c r="L32" i="53"/>
  <c r="K32" i="53"/>
  <c r="A32" i="53" s="1"/>
  <c r="O31" i="53"/>
  <c r="N31" i="53"/>
  <c r="M31" i="53"/>
  <c r="L31" i="53"/>
  <c r="K31" i="53"/>
  <c r="A31" i="53" s="1"/>
  <c r="E31" i="53"/>
  <c r="O30" i="53"/>
  <c r="E30" i="53" s="1"/>
  <c r="N30" i="53"/>
  <c r="M30" i="53"/>
  <c r="L30" i="53"/>
  <c r="K30" i="53"/>
  <c r="A30" i="53"/>
  <c r="O28" i="53"/>
  <c r="N28" i="53"/>
  <c r="M28" i="53"/>
  <c r="L28" i="53"/>
  <c r="K28" i="53"/>
  <c r="E28" i="53"/>
  <c r="A28" i="53"/>
  <c r="O27" i="53"/>
  <c r="E27" i="53" s="1"/>
  <c r="N27" i="53"/>
  <c r="M27" i="53"/>
  <c r="L27" i="53"/>
  <c r="K27" i="53"/>
  <c r="A27" i="53"/>
  <c r="O26" i="53"/>
  <c r="E26" i="53" s="1"/>
  <c r="N26" i="53"/>
  <c r="M26" i="53"/>
  <c r="L26" i="53"/>
  <c r="K26" i="53"/>
  <c r="A26" i="53"/>
  <c r="O25" i="53"/>
  <c r="N25" i="53"/>
  <c r="M25" i="53"/>
  <c r="L25" i="53"/>
  <c r="K25" i="53"/>
  <c r="E25" i="53"/>
  <c r="A25" i="53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/>
  <c r="O20" i="53"/>
  <c r="E20" i="53" s="1"/>
  <c r="N20" i="53"/>
  <c r="M20" i="53"/>
  <c r="L20" i="53"/>
  <c r="K20" i="53"/>
  <c r="A20" i="53"/>
  <c r="O19" i="53"/>
  <c r="N19" i="53"/>
  <c r="M19" i="53"/>
  <c r="L19" i="53"/>
  <c r="K19" i="53"/>
  <c r="E19" i="53"/>
  <c r="A19" i="53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/>
  <c r="O14" i="53"/>
  <c r="E14" i="53" s="1"/>
  <c r="N14" i="53"/>
  <c r="M14" i="53"/>
  <c r="L14" i="53"/>
  <c r="K14" i="53"/>
  <c r="A14" i="53"/>
  <c r="O13" i="53"/>
  <c r="N13" i="53"/>
  <c r="M13" i="53"/>
  <c r="L13" i="53"/>
  <c r="K13" i="53"/>
  <c r="E13" i="53"/>
  <c r="A13" i="53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/>
  <c r="O7" i="53"/>
  <c r="N7" i="53"/>
  <c r="M7" i="53"/>
  <c r="L7" i="53"/>
  <c r="K7" i="53"/>
  <c r="E7" i="53"/>
  <c r="A7" i="53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/>
  <c r="O2" i="53"/>
  <c r="N2" i="53"/>
  <c r="M2" i="53"/>
  <c r="L2" i="53"/>
  <c r="K2" i="53"/>
  <c r="E2" i="53"/>
  <c r="A2" i="53"/>
  <c r="O79" i="52"/>
  <c r="N79" i="52"/>
  <c r="M79" i="52"/>
  <c r="L79" i="52"/>
  <c r="K79" i="52"/>
  <c r="E79" i="52"/>
  <c r="A79" i="52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N72" i="52"/>
  <c r="M72" i="52"/>
  <c r="L72" i="52"/>
  <c r="K72" i="52"/>
  <c r="A72" i="52" s="1"/>
  <c r="E72" i="52"/>
  <c r="O71" i="52"/>
  <c r="N71" i="52"/>
  <c r="M71" i="52"/>
  <c r="L71" i="52"/>
  <c r="K71" i="52"/>
  <c r="E71" i="52"/>
  <c r="A71" i="52"/>
  <c r="O70" i="52"/>
  <c r="E70" i="52" s="1"/>
  <c r="N70" i="52"/>
  <c r="M70" i="52"/>
  <c r="L70" i="52"/>
  <c r="K70" i="52"/>
  <c r="A70" i="52" s="1"/>
  <c r="O69" i="52"/>
  <c r="N69" i="52"/>
  <c r="M69" i="52"/>
  <c r="L69" i="52"/>
  <c r="K69" i="52"/>
  <c r="A69" i="52" s="1"/>
  <c r="E69" i="52"/>
  <c r="A68" i="52"/>
  <c r="O66" i="52"/>
  <c r="N66" i="52"/>
  <c r="M66" i="52"/>
  <c r="L66" i="52"/>
  <c r="K66" i="52"/>
  <c r="E66" i="52"/>
  <c r="A66" i="52"/>
  <c r="O65" i="52"/>
  <c r="E65" i="52" s="1"/>
  <c r="N65" i="52"/>
  <c r="M65" i="52"/>
  <c r="L65" i="52"/>
  <c r="K65" i="52"/>
  <c r="A65" i="52" s="1"/>
  <c r="O64" i="52"/>
  <c r="N64" i="52"/>
  <c r="M64" i="52"/>
  <c r="L64" i="52"/>
  <c r="K64" i="52"/>
  <c r="A64" i="52" s="1"/>
  <c r="E64" i="52"/>
  <c r="O63" i="52"/>
  <c r="E63" i="52" s="1"/>
  <c r="N63" i="52"/>
  <c r="M63" i="52"/>
  <c r="L63" i="52"/>
  <c r="K63" i="52"/>
  <c r="A63" i="52"/>
  <c r="O62" i="52"/>
  <c r="E62" i="52" s="1"/>
  <c r="N62" i="52"/>
  <c r="M62" i="52"/>
  <c r="L62" i="52"/>
  <c r="K62" i="52"/>
  <c r="A62" i="52"/>
  <c r="O61" i="52"/>
  <c r="E61" i="52" s="1"/>
  <c r="N61" i="52"/>
  <c r="M61" i="52"/>
  <c r="L61" i="52"/>
  <c r="K61" i="52"/>
  <c r="A61" i="52" s="1"/>
  <c r="O60" i="52"/>
  <c r="N60" i="52"/>
  <c r="M60" i="52"/>
  <c r="L60" i="52"/>
  <c r="K60" i="52"/>
  <c r="A60" i="52" s="1"/>
  <c r="E60" i="52"/>
  <c r="O59" i="52"/>
  <c r="N59" i="52"/>
  <c r="M59" i="52"/>
  <c r="L59" i="52"/>
  <c r="K59" i="52"/>
  <c r="E59" i="52"/>
  <c r="A59" i="52"/>
  <c r="A58" i="52"/>
  <c r="O56" i="52"/>
  <c r="E56" i="52" s="1"/>
  <c r="N56" i="52"/>
  <c r="M56" i="52"/>
  <c r="L56" i="52"/>
  <c r="K56" i="52"/>
  <c r="A56" i="52"/>
  <c r="O55" i="52"/>
  <c r="E55" i="52" s="1"/>
  <c r="N55" i="52"/>
  <c r="M55" i="52"/>
  <c r="L55" i="52"/>
  <c r="K55" i="52"/>
  <c r="A55" i="52"/>
  <c r="O54" i="52"/>
  <c r="E54" i="52" s="1"/>
  <c r="N54" i="52"/>
  <c r="M54" i="52"/>
  <c r="L54" i="52"/>
  <c r="K54" i="52"/>
  <c r="A54" i="52" s="1"/>
  <c r="O53" i="52"/>
  <c r="N53" i="52"/>
  <c r="M53" i="52"/>
  <c r="L53" i="52"/>
  <c r="K53" i="52"/>
  <c r="A53" i="52" s="1"/>
  <c r="E53" i="52"/>
  <c r="O52" i="52"/>
  <c r="N52" i="52"/>
  <c r="M52" i="52"/>
  <c r="L52" i="52"/>
  <c r="K52" i="52"/>
  <c r="E52" i="52"/>
  <c r="A52" i="52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/>
  <c r="O48" i="52"/>
  <c r="E48" i="52" s="1"/>
  <c r="N48" i="52"/>
  <c r="M48" i="52"/>
  <c r="L48" i="52"/>
  <c r="K48" i="52"/>
  <c r="A48" i="52" s="1"/>
  <c r="O47" i="52"/>
  <c r="N47" i="52"/>
  <c r="M47" i="52"/>
  <c r="L47" i="52"/>
  <c r="K47" i="52"/>
  <c r="A47" i="52" s="1"/>
  <c r="E47" i="52"/>
  <c r="O46" i="52"/>
  <c r="N46" i="52"/>
  <c r="M46" i="52"/>
  <c r="L46" i="52"/>
  <c r="K46" i="52"/>
  <c r="E46" i="52"/>
  <c r="A46" i="52"/>
  <c r="O45" i="52"/>
  <c r="E45" i="52" s="1"/>
  <c r="N45" i="52"/>
  <c r="M45" i="52"/>
  <c r="L45" i="52"/>
  <c r="K45" i="52"/>
  <c r="A45" i="52" s="1"/>
  <c r="O44" i="52"/>
  <c r="N44" i="52"/>
  <c r="M44" i="52"/>
  <c r="L44" i="52"/>
  <c r="K44" i="52"/>
  <c r="A44" i="52" s="1"/>
  <c r="E44" i="52"/>
  <c r="O42" i="52"/>
  <c r="E42" i="52" s="1"/>
  <c r="N42" i="52"/>
  <c r="M42" i="52"/>
  <c r="L42" i="52"/>
  <c r="K42" i="52"/>
  <c r="A42" i="52" s="1"/>
  <c r="O41" i="52"/>
  <c r="N41" i="52"/>
  <c r="M41" i="52"/>
  <c r="L41" i="52"/>
  <c r="K41" i="52"/>
  <c r="A41" i="52" s="1"/>
  <c r="E41" i="52"/>
  <c r="O40" i="52"/>
  <c r="N40" i="52"/>
  <c r="M40" i="52"/>
  <c r="L40" i="52"/>
  <c r="K40" i="52"/>
  <c r="E40" i="52"/>
  <c r="A40" i="52"/>
  <c r="O39" i="52"/>
  <c r="E39" i="52" s="1"/>
  <c r="N39" i="52"/>
  <c r="M39" i="52"/>
  <c r="L39" i="52"/>
  <c r="K39" i="52"/>
  <c r="A39" i="52" s="1"/>
  <c r="O38" i="52"/>
  <c r="N38" i="52"/>
  <c r="M38" i="52"/>
  <c r="L38" i="52"/>
  <c r="K38" i="52"/>
  <c r="A38" i="52" s="1"/>
  <c r="E38" i="52"/>
  <c r="O37" i="52"/>
  <c r="E37" i="52" s="1"/>
  <c r="N37" i="52"/>
  <c r="M37" i="52"/>
  <c r="L37" i="52"/>
  <c r="K37" i="52"/>
  <c r="A37" i="52"/>
  <c r="O35" i="52"/>
  <c r="N35" i="52"/>
  <c r="M35" i="52"/>
  <c r="L35" i="52"/>
  <c r="K35" i="52"/>
  <c r="A35" i="52" s="1"/>
  <c r="E35" i="52"/>
  <c r="O34" i="52"/>
  <c r="N34" i="52"/>
  <c r="M34" i="52"/>
  <c r="L34" i="52"/>
  <c r="K34" i="52"/>
  <c r="E34" i="52"/>
  <c r="A34" i="52"/>
  <c r="O33" i="52"/>
  <c r="E33" i="52" s="1"/>
  <c r="N33" i="52"/>
  <c r="M33" i="52"/>
  <c r="L33" i="52"/>
  <c r="K33" i="52"/>
  <c r="A33" i="52" s="1"/>
  <c r="O32" i="52"/>
  <c r="N32" i="52"/>
  <c r="M32" i="52"/>
  <c r="L32" i="52"/>
  <c r="K32" i="52"/>
  <c r="A32" i="52" s="1"/>
  <c r="E32" i="52"/>
  <c r="O31" i="52"/>
  <c r="E31" i="52" s="1"/>
  <c r="N31" i="52"/>
  <c r="M31" i="52"/>
  <c r="L31" i="52"/>
  <c r="K31" i="52"/>
  <c r="A31" i="52"/>
  <c r="O30" i="52"/>
  <c r="N30" i="52"/>
  <c r="M30" i="52"/>
  <c r="L30" i="52"/>
  <c r="K30" i="52"/>
  <c r="E30" i="52"/>
  <c r="A30" i="52"/>
  <c r="O28" i="52"/>
  <c r="N28" i="52"/>
  <c r="M28" i="52"/>
  <c r="L28" i="52"/>
  <c r="K28" i="52"/>
  <c r="E28" i="52"/>
  <c r="A28" i="52"/>
  <c r="O27" i="52"/>
  <c r="E27" i="52" s="1"/>
  <c r="N27" i="52"/>
  <c r="M27" i="52"/>
  <c r="L27" i="52"/>
  <c r="K27" i="52"/>
  <c r="A27" i="52" s="1"/>
  <c r="O26" i="52"/>
  <c r="N26" i="52"/>
  <c r="M26" i="52"/>
  <c r="L26" i="52"/>
  <c r="K26" i="52"/>
  <c r="A26" i="52" s="1"/>
  <c r="E26" i="52"/>
  <c r="O25" i="52"/>
  <c r="E25" i="52" s="1"/>
  <c r="N25" i="52"/>
  <c r="M25" i="52"/>
  <c r="L25" i="52"/>
  <c r="K25" i="52"/>
  <c r="A25" i="52"/>
  <c r="O24" i="52"/>
  <c r="E24" i="52" s="1"/>
  <c r="N24" i="52"/>
  <c r="M24" i="52"/>
  <c r="L24" i="52"/>
  <c r="K24" i="52"/>
  <c r="A24" i="52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N20" i="52"/>
  <c r="M20" i="52"/>
  <c r="L20" i="52"/>
  <c r="K20" i="52"/>
  <c r="A20" i="52" s="1"/>
  <c r="E20" i="52"/>
  <c r="O19" i="52"/>
  <c r="E19" i="52" s="1"/>
  <c r="N19" i="52"/>
  <c r="M19" i="52"/>
  <c r="L19" i="52"/>
  <c r="K19" i="52"/>
  <c r="A19" i="52"/>
  <c r="O18" i="52"/>
  <c r="E18" i="52" s="1"/>
  <c r="N18" i="52"/>
  <c r="M18" i="52"/>
  <c r="L18" i="52"/>
  <c r="K18" i="52"/>
  <c r="A18" i="52"/>
  <c r="O17" i="52"/>
  <c r="E17" i="52" s="1"/>
  <c r="N17" i="52"/>
  <c r="M17" i="52"/>
  <c r="L17" i="52"/>
  <c r="K17" i="52"/>
  <c r="A17" i="52" s="1"/>
  <c r="O16" i="52"/>
  <c r="N16" i="52"/>
  <c r="M16" i="52"/>
  <c r="L16" i="52"/>
  <c r="K16" i="52"/>
  <c r="A16" i="52" s="1"/>
  <c r="E16" i="52"/>
  <c r="O14" i="52"/>
  <c r="N14" i="52"/>
  <c r="M14" i="52"/>
  <c r="L14" i="52"/>
  <c r="K14" i="52"/>
  <c r="E14" i="52"/>
  <c r="A14" i="52"/>
  <c r="O13" i="52"/>
  <c r="E13" i="52" s="1"/>
  <c r="N13" i="52"/>
  <c r="M13" i="52"/>
  <c r="L13" i="52"/>
  <c r="K13" i="52"/>
  <c r="A13" i="52" s="1"/>
  <c r="O12" i="52"/>
  <c r="N12" i="52"/>
  <c r="M12" i="52"/>
  <c r="L12" i="52"/>
  <c r="K12" i="52"/>
  <c r="A12" i="52" s="1"/>
  <c r="E12" i="52"/>
  <c r="Q11" i="52"/>
  <c r="P13" i="31" s="1"/>
  <c r="O11" i="52"/>
  <c r="E11" i="52" s="1"/>
  <c r="N11" i="52"/>
  <c r="M11" i="52"/>
  <c r="L11" i="52"/>
  <c r="K11" i="52"/>
  <c r="A11" i="52" s="1"/>
  <c r="O10" i="52"/>
  <c r="N10" i="52"/>
  <c r="M10" i="52"/>
  <c r="L10" i="52"/>
  <c r="K10" i="52"/>
  <c r="A10" i="52" s="1"/>
  <c r="E10" i="52"/>
  <c r="O9" i="52"/>
  <c r="N9" i="52"/>
  <c r="M9" i="52"/>
  <c r="L9" i="52"/>
  <c r="K9" i="52"/>
  <c r="E9" i="52"/>
  <c r="A9" i="52"/>
  <c r="O7" i="52"/>
  <c r="E7" i="52" s="1"/>
  <c r="N7" i="52"/>
  <c r="M7" i="52"/>
  <c r="L7" i="52"/>
  <c r="K7" i="52"/>
  <c r="A7" i="52"/>
  <c r="O6" i="52"/>
  <c r="E6" i="52" s="1"/>
  <c r="N6" i="52"/>
  <c r="M6" i="52"/>
  <c r="L6" i="52"/>
  <c r="K6" i="52"/>
  <c r="A6" i="52"/>
  <c r="O5" i="52"/>
  <c r="E5" i="52" s="1"/>
  <c r="N5" i="52"/>
  <c r="M5" i="52"/>
  <c r="L5" i="52"/>
  <c r="K5" i="52"/>
  <c r="A5" i="52" s="1"/>
  <c r="O4" i="52"/>
  <c r="N4" i="52"/>
  <c r="M4" i="52"/>
  <c r="L4" i="52"/>
  <c r="K4" i="52"/>
  <c r="A4" i="52" s="1"/>
  <c r="E4" i="52"/>
  <c r="O3" i="52"/>
  <c r="N3" i="52"/>
  <c r="M3" i="52"/>
  <c r="L3" i="52"/>
  <c r="K3" i="52"/>
  <c r="E3" i="52"/>
  <c r="A3" i="52"/>
  <c r="O2" i="52"/>
  <c r="E2" i="52" s="1"/>
  <c r="N2" i="52"/>
  <c r="M2" i="52"/>
  <c r="L2" i="52"/>
  <c r="K2" i="52"/>
  <c r="A2" i="52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N76" i="51"/>
  <c r="M76" i="51"/>
  <c r="L76" i="51"/>
  <c r="K76" i="51"/>
  <c r="E76" i="51"/>
  <c r="A76" i="5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N72" i="51"/>
  <c r="M72" i="51"/>
  <c r="L72" i="51"/>
  <c r="K72" i="51"/>
  <c r="E72" i="51"/>
  <c r="A72" i="51"/>
  <c r="O71" i="51"/>
  <c r="E71" i="51" s="1"/>
  <c r="N71" i="51"/>
  <c r="M71" i="51"/>
  <c r="L71" i="51"/>
  <c r="K71" i="51"/>
  <c r="A71" i="51" s="1"/>
  <c r="O70" i="51"/>
  <c r="N70" i="51"/>
  <c r="M70" i="51"/>
  <c r="L70" i="51"/>
  <c r="K70" i="51"/>
  <c r="E70" i="51"/>
  <c r="A70" i="51"/>
  <c r="O69" i="51"/>
  <c r="E69" i="51" s="1"/>
  <c r="N69" i="51"/>
  <c r="M69" i="51"/>
  <c r="L69" i="51"/>
  <c r="K69" i="51"/>
  <c r="A69" i="51" s="1"/>
  <c r="A68" i="51"/>
  <c r="O66" i="51"/>
  <c r="N66" i="51"/>
  <c r="M66" i="51"/>
  <c r="L66" i="51"/>
  <c r="K66" i="51"/>
  <c r="A66" i="51" s="1"/>
  <c r="E66" i="51"/>
  <c r="O65" i="51"/>
  <c r="E65" i="51" s="1"/>
  <c r="N65" i="51"/>
  <c r="M65" i="51"/>
  <c r="L65" i="51"/>
  <c r="K65" i="51"/>
  <c r="A65" i="51"/>
  <c r="O64" i="51"/>
  <c r="E64" i="51" s="1"/>
  <c r="N64" i="51"/>
  <c r="M64" i="51"/>
  <c r="L64" i="51"/>
  <c r="K64" i="51"/>
  <c r="A64" i="51"/>
  <c r="O63" i="51"/>
  <c r="N63" i="51"/>
  <c r="M63" i="51"/>
  <c r="L63" i="51"/>
  <c r="K63" i="51"/>
  <c r="E63" i="51"/>
  <c r="A63" i="51"/>
  <c r="O62" i="51"/>
  <c r="E62" i="51" s="1"/>
  <c r="N62" i="51"/>
  <c r="M62" i="51"/>
  <c r="L62" i="51"/>
  <c r="K62" i="51"/>
  <c r="A62" i="51" s="1"/>
  <c r="O61" i="51"/>
  <c r="N61" i="51"/>
  <c r="M61" i="51"/>
  <c r="L61" i="51"/>
  <c r="K61" i="51"/>
  <c r="A61" i="51" s="1"/>
  <c r="E61" i="51"/>
  <c r="O60" i="51"/>
  <c r="N60" i="51"/>
  <c r="M60" i="51"/>
  <c r="L60" i="51"/>
  <c r="K60" i="51"/>
  <c r="A60" i="51" s="1"/>
  <c r="E60" i="51"/>
  <c r="O59" i="51"/>
  <c r="E59" i="51" s="1"/>
  <c r="N59" i="51"/>
  <c r="M59" i="51"/>
  <c r="L59" i="51"/>
  <c r="K59" i="51"/>
  <c r="A59" i="51" s="1"/>
  <c r="A58" i="51"/>
  <c r="O56" i="51"/>
  <c r="N56" i="51"/>
  <c r="M56" i="51"/>
  <c r="L56" i="51"/>
  <c r="K56" i="51"/>
  <c r="E56" i="51"/>
  <c r="A56" i="51"/>
  <c r="O55" i="51"/>
  <c r="E55" i="51" s="1"/>
  <c r="N55" i="51"/>
  <c r="M55" i="51"/>
  <c r="L55" i="51"/>
  <c r="K55" i="51"/>
  <c r="A55" i="51" s="1"/>
  <c r="O54" i="51"/>
  <c r="N54" i="51"/>
  <c r="M54" i="51"/>
  <c r="L54" i="51"/>
  <c r="K54" i="51"/>
  <c r="A54" i="51" s="1"/>
  <c r="E54" i="51"/>
  <c r="O53" i="51"/>
  <c r="N53" i="51"/>
  <c r="M53" i="51"/>
  <c r="L53" i="51"/>
  <c r="K53" i="51"/>
  <c r="A53" i="51" s="1"/>
  <c r="E53" i="51"/>
  <c r="O52" i="51"/>
  <c r="E52" i="51" s="1"/>
  <c r="N52" i="51"/>
  <c r="M52" i="51"/>
  <c r="L52" i="51"/>
  <c r="K52" i="51"/>
  <c r="A52" i="51" s="1"/>
  <c r="O51" i="51"/>
  <c r="N51" i="51"/>
  <c r="M51" i="51"/>
  <c r="L51" i="51"/>
  <c r="K51" i="51"/>
  <c r="E51" i="51"/>
  <c r="A51" i="51"/>
  <c r="O49" i="51"/>
  <c r="E49" i="51" s="1"/>
  <c r="N49" i="51"/>
  <c r="M49" i="51"/>
  <c r="L49" i="51"/>
  <c r="K49" i="51"/>
  <c r="A49" i="51" s="1"/>
  <c r="O48" i="51"/>
  <c r="N48" i="51"/>
  <c r="M48" i="51"/>
  <c r="L48" i="51"/>
  <c r="K48" i="51"/>
  <c r="A48" i="51" s="1"/>
  <c r="E48" i="51"/>
  <c r="O47" i="51"/>
  <c r="N47" i="51"/>
  <c r="M47" i="51"/>
  <c r="L47" i="51"/>
  <c r="K47" i="51"/>
  <c r="A47" i="51" s="1"/>
  <c r="E47" i="51"/>
  <c r="O46" i="51"/>
  <c r="E46" i="51" s="1"/>
  <c r="N46" i="51"/>
  <c r="M46" i="51"/>
  <c r="L46" i="51"/>
  <c r="K46" i="51"/>
  <c r="A46" i="51" s="1"/>
  <c r="O45" i="51"/>
  <c r="N45" i="51"/>
  <c r="M45" i="51"/>
  <c r="L45" i="51"/>
  <c r="K45" i="51"/>
  <c r="E45" i="51"/>
  <c r="A45" i="51"/>
  <c r="O44" i="51"/>
  <c r="E44" i="51" s="1"/>
  <c r="N44" i="51"/>
  <c r="M44" i="51"/>
  <c r="L44" i="51"/>
  <c r="K44" i="51"/>
  <c r="A44" i="51" s="1"/>
  <c r="O42" i="51"/>
  <c r="N42" i="51"/>
  <c r="M42" i="51"/>
  <c r="L42" i="51"/>
  <c r="K42" i="51"/>
  <c r="A42" i="51" s="1"/>
  <c r="E42" i="51"/>
  <c r="O41" i="51"/>
  <c r="N41" i="51"/>
  <c r="M41" i="51"/>
  <c r="L41" i="51"/>
  <c r="K41" i="51"/>
  <c r="A41" i="51" s="1"/>
  <c r="E41" i="51"/>
  <c r="O40" i="51"/>
  <c r="E40" i="51" s="1"/>
  <c r="N40" i="51"/>
  <c r="M40" i="51"/>
  <c r="L40" i="51"/>
  <c r="K40" i="51"/>
  <c r="A40" i="51" s="1"/>
  <c r="O39" i="51"/>
  <c r="N39" i="51"/>
  <c r="M39" i="51"/>
  <c r="L39" i="51"/>
  <c r="K39" i="51"/>
  <c r="E39" i="51"/>
  <c r="A39" i="51"/>
  <c r="O38" i="51"/>
  <c r="E38" i="51" s="1"/>
  <c r="N38" i="51"/>
  <c r="M38" i="51"/>
  <c r="L38" i="51"/>
  <c r="K38" i="51"/>
  <c r="A38" i="51" s="1"/>
  <c r="O37" i="51"/>
  <c r="N37" i="51"/>
  <c r="M37" i="51"/>
  <c r="L37" i="51"/>
  <c r="K37" i="51"/>
  <c r="A37" i="51" s="1"/>
  <c r="E37" i="51"/>
  <c r="O35" i="51"/>
  <c r="N35" i="51"/>
  <c r="M35" i="51"/>
  <c r="L35" i="51"/>
  <c r="K35" i="51"/>
  <c r="A35" i="51" s="1"/>
  <c r="E35" i="51"/>
  <c r="O34" i="51"/>
  <c r="E34" i="51" s="1"/>
  <c r="N34" i="51"/>
  <c r="M34" i="51"/>
  <c r="L34" i="51"/>
  <c r="K34" i="51"/>
  <c r="A34" i="51" s="1"/>
  <c r="O33" i="51"/>
  <c r="N33" i="51"/>
  <c r="M33" i="51"/>
  <c r="L33" i="51"/>
  <c r="K33" i="51"/>
  <c r="E33" i="51"/>
  <c r="A33" i="51"/>
  <c r="O32" i="51"/>
  <c r="E32" i="51" s="1"/>
  <c r="N32" i="51"/>
  <c r="M32" i="51"/>
  <c r="L32" i="51"/>
  <c r="K32" i="51"/>
  <c r="A32" i="51" s="1"/>
  <c r="O31" i="51"/>
  <c r="N31" i="51"/>
  <c r="M31" i="51"/>
  <c r="L31" i="51"/>
  <c r="K31" i="51"/>
  <c r="A31" i="51" s="1"/>
  <c r="E31" i="51"/>
  <c r="O30" i="51"/>
  <c r="E30" i="51" s="1"/>
  <c r="N30" i="51"/>
  <c r="M30" i="51"/>
  <c r="L30" i="51"/>
  <c r="K30" i="51"/>
  <c r="A30" i="51"/>
  <c r="O28" i="51"/>
  <c r="N28" i="51"/>
  <c r="M28" i="51"/>
  <c r="L28" i="51"/>
  <c r="K28" i="51"/>
  <c r="A28" i="51" s="1"/>
  <c r="E28" i="51"/>
  <c r="O27" i="51"/>
  <c r="N27" i="51"/>
  <c r="M27" i="51"/>
  <c r="L27" i="51"/>
  <c r="K27" i="51"/>
  <c r="E27" i="51"/>
  <c r="A27" i="51"/>
  <c r="O26" i="51"/>
  <c r="E26" i="51" s="1"/>
  <c r="N26" i="51"/>
  <c r="M26" i="51"/>
  <c r="L26" i="51"/>
  <c r="K26" i="51"/>
  <c r="A26" i="51"/>
  <c r="O25" i="51"/>
  <c r="N25" i="51"/>
  <c r="M25" i="51"/>
  <c r="L25" i="51"/>
  <c r="K25" i="51"/>
  <c r="E25" i="51"/>
  <c r="A25" i="51"/>
  <c r="O24" i="51"/>
  <c r="E24" i="51" s="1"/>
  <c r="N24" i="51"/>
  <c r="M24" i="51"/>
  <c r="L24" i="51"/>
  <c r="K24" i="51"/>
  <c r="A24" i="51" s="1"/>
  <c r="O23" i="51"/>
  <c r="N23" i="51"/>
  <c r="M23" i="51"/>
  <c r="L23" i="51"/>
  <c r="K23" i="51"/>
  <c r="A23" i="51" s="1"/>
  <c r="E23" i="51"/>
  <c r="O21" i="51"/>
  <c r="N21" i="51"/>
  <c r="M21" i="51"/>
  <c r="L21" i="51"/>
  <c r="K21" i="51"/>
  <c r="E21" i="51"/>
  <c r="A21" i="51"/>
  <c r="O20" i="51"/>
  <c r="E20" i="51" s="1"/>
  <c r="N20" i="51"/>
  <c r="M20" i="51"/>
  <c r="L20" i="51"/>
  <c r="K20" i="51"/>
  <c r="A20" i="51"/>
  <c r="O19" i="51"/>
  <c r="N19" i="51"/>
  <c r="M19" i="51"/>
  <c r="L19" i="51"/>
  <c r="K19" i="51"/>
  <c r="E19" i="51"/>
  <c r="A19" i="51"/>
  <c r="O18" i="51"/>
  <c r="E18" i="51" s="1"/>
  <c r="N18" i="51"/>
  <c r="M18" i="51"/>
  <c r="L18" i="51"/>
  <c r="K18" i="51"/>
  <c r="A18" i="51" s="1"/>
  <c r="O17" i="51"/>
  <c r="N17" i="51"/>
  <c r="M17" i="51"/>
  <c r="L17" i="51"/>
  <c r="K17" i="51"/>
  <c r="A17" i="51" s="1"/>
  <c r="E17" i="51"/>
  <c r="O16" i="51"/>
  <c r="N16" i="51"/>
  <c r="M16" i="51"/>
  <c r="L16" i="51"/>
  <c r="K16" i="51"/>
  <c r="A16" i="51" s="1"/>
  <c r="E16" i="51"/>
  <c r="O14" i="51"/>
  <c r="E14" i="51" s="1"/>
  <c r="N14" i="51"/>
  <c r="M14" i="51"/>
  <c r="L14" i="51"/>
  <c r="K14" i="51"/>
  <c r="A14" i="51" s="1"/>
  <c r="O13" i="51"/>
  <c r="N13" i="51"/>
  <c r="M13" i="51"/>
  <c r="L13" i="51"/>
  <c r="K13" i="51"/>
  <c r="E13" i="51"/>
  <c r="A13" i="51"/>
  <c r="O12" i="51"/>
  <c r="E12" i="51" s="1"/>
  <c r="N12" i="51"/>
  <c r="M12" i="51"/>
  <c r="L12" i="51"/>
  <c r="K12" i="51"/>
  <c r="A12" i="51" s="1"/>
  <c r="Q11" i="51"/>
  <c r="P10" i="31" s="1"/>
  <c r="O11" i="51"/>
  <c r="N11" i="51"/>
  <c r="M11" i="51"/>
  <c r="L11" i="51"/>
  <c r="K11" i="51"/>
  <c r="A11" i="51" s="1"/>
  <c r="E11" i="51"/>
  <c r="O10" i="51"/>
  <c r="N10" i="51"/>
  <c r="M10" i="51"/>
  <c r="L10" i="51"/>
  <c r="K10" i="51"/>
  <c r="A10" i="51" s="1"/>
  <c r="E10" i="51"/>
  <c r="O9" i="51"/>
  <c r="E9" i="51" s="1"/>
  <c r="N9" i="51"/>
  <c r="M9" i="51"/>
  <c r="L9" i="51"/>
  <c r="K9" i="51"/>
  <c r="A9" i="51" s="1"/>
  <c r="O7" i="51"/>
  <c r="N7" i="51"/>
  <c r="M7" i="51"/>
  <c r="L7" i="51"/>
  <c r="K7" i="51"/>
  <c r="E7" i="51"/>
  <c r="A7" i="51"/>
  <c r="O6" i="51"/>
  <c r="E6" i="51" s="1"/>
  <c r="N6" i="51"/>
  <c r="M6" i="51"/>
  <c r="L6" i="51"/>
  <c r="K6" i="51"/>
  <c r="A6" i="51"/>
  <c r="O5" i="51"/>
  <c r="N5" i="51"/>
  <c r="M5" i="51"/>
  <c r="L5" i="51"/>
  <c r="K5" i="51"/>
  <c r="A5" i="51" s="1"/>
  <c r="E5" i="51"/>
  <c r="O4" i="51"/>
  <c r="N4" i="51"/>
  <c r="M4" i="51"/>
  <c r="L4" i="51"/>
  <c r="K4" i="51"/>
  <c r="A4" i="51" s="1"/>
  <c r="E4" i="51"/>
  <c r="O3" i="51"/>
  <c r="E3" i="51" s="1"/>
  <c r="N3" i="51"/>
  <c r="M3" i="51"/>
  <c r="L3" i="51"/>
  <c r="K3" i="51"/>
  <c r="A3" i="51" s="1"/>
  <c r="O2" i="51"/>
  <c r="N2" i="51"/>
  <c r="M2" i="51"/>
  <c r="L2" i="51"/>
  <c r="K2" i="51"/>
  <c r="E2" i="51"/>
  <c r="A2" i="5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N75" i="50"/>
  <c r="M75" i="50"/>
  <c r="L75" i="50"/>
  <c r="K75" i="50"/>
  <c r="E75" i="50"/>
  <c r="A75" i="50"/>
  <c r="A74" i="50"/>
  <c r="O73" i="50"/>
  <c r="N73" i="50"/>
  <c r="M73" i="50"/>
  <c r="L73" i="50"/>
  <c r="K73" i="50"/>
  <c r="O72" i="50"/>
  <c r="N72" i="50"/>
  <c r="M72" i="50"/>
  <c r="L72" i="50"/>
  <c r="K72" i="50"/>
  <c r="A72" i="50" s="1"/>
  <c r="E72" i="50"/>
  <c r="O71" i="50"/>
  <c r="N71" i="50"/>
  <c r="M71" i="50"/>
  <c r="L71" i="50"/>
  <c r="K71" i="50"/>
  <c r="E71" i="50"/>
  <c r="A71" i="50"/>
  <c r="O70" i="50"/>
  <c r="E70" i="50" s="1"/>
  <c r="N70" i="50"/>
  <c r="M70" i="50"/>
  <c r="L70" i="50"/>
  <c r="K70" i="50"/>
  <c r="A70" i="50"/>
  <c r="O69" i="50"/>
  <c r="N69" i="50"/>
  <c r="M69" i="50"/>
  <c r="L69" i="50"/>
  <c r="K69" i="50"/>
  <c r="E69" i="50"/>
  <c r="A69" i="50"/>
  <c r="A68" i="50"/>
  <c r="O66" i="50"/>
  <c r="N66" i="50"/>
  <c r="M66" i="50"/>
  <c r="L66" i="50"/>
  <c r="K66" i="50"/>
  <c r="E66" i="50"/>
  <c r="A66" i="50"/>
  <c r="O65" i="50"/>
  <c r="E65" i="50" s="1"/>
  <c r="N65" i="50"/>
  <c r="M65" i="50"/>
  <c r="L65" i="50"/>
  <c r="K65" i="50"/>
  <c r="A65" i="50" s="1"/>
  <c r="O64" i="50"/>
  <c r="N64" i="50"/>
  <c r="M64" i="50"/>
  <c r="L64" i="50"/>
  <c r="K64" i="50"/>
  <c r="E64" i="50"/>
  <c r="A64" i="50"/>
  <c r="O63" i="50"/>
  <c r="E63" i="50" s="1"/>
  <c r="N63" i="50"/>
  <c r="M63" i="50"/>
  <c r="L63" i="50"/>
  <c r="K63" i="50"/>
  <c r="A63" i="50"/>
  <c r="O62" i="50"/>
  <c r="N62" i="50"/>
  <c r="M62" i="50"/>
  <c r="L62" i="50"/>
  <c r="K62" i="50"/>
  <c r="A62" i="50" s="1"/>
  <c r="E62" i="50"/>
  <c r="O61" i="50"/>
  <c r="E61" i="50" s="1"/>
  <c r="N61" i="50"/>
  <c r="M61" i="50"/>
  <c r="L61" i="50"/>
  <c r="K61" i="50"/>
  <c r="A61" i="50"/>
  <c r="O60" i="50"/>
  <c r="N60" i="50"/>
  <c r="M60" i="50"/>
  <c r="L60" i="50"/>
  <c r="K60" i="50"/>
  <c r="A60" i="50" s="1"/>
  <c r="E60" i="50"/>
  <c r="O59" i="50"/>
  <c r="N59" i="50"/>
  <c r="M59" i="50"/>
  <c r="L59" i="50"/>
  <c r="K59" i="50"/>
  <c r="E59" i="50"/>
  <c r="A59" i="50"/>
  <c r="A58" i="50"/>
  <c r="O56" i="50"/>
  <c r="E56" i="50" s="1"/>
  <c r="N56" i="50"/>
  <c r="M56" i="50"/>
  <c r="L56" i="50"/>
  <c r="K56" i="50"/>
  <c r="A56" i="50"/>
  <c r="O55" i="50"/>
  <c r="N55" i="50"/>
  <c r="M55" i="50"/>
  <c r="L55" i="50"/>
  <c r="K55" i="50"/>
  <c r="A55" i="50" s="1"/>
  <c r="E55" i="50"/>
  <c r="O54" i="50"/>
  <c r="E54" i="50" s="1"/>
  <c r="N54" i="50"/>
  <c r="M54" i="50"/>
  <c r="L54" i="50"/>
  <c r="K54" i="50"/>
  <c r="A54" i="50"/>
  <c r="O53" i="50"/>
  <c r="N53" i="50"/>
  <c r="M53" i="50"/>
  <c r="L53" i="50"/>
  <c r="K53" i="50"/>
  <c r="A53" i="50" s="1"/>
  <c r="E53" i="50"/>
  <c r="O52" i="50"/>
  <c r="N52" i="50"/>
  <c r="M52" i="50"/>
  <c r="L52" i="50"/>
  <c r="K52" i="50"/>
  <c r="E52" i="50"/>
  <c r="A52" i="50"/>
  <c r="O51" i="50"/>
  <c r="E51" i="50" s="1"/>
  <c r="N51" i="50"/>
  <c r="M51" i="50"/>
  <c r="L51" i="50"/>
  <c r="K51" i="50"/>
  <c r="A51" i="50"/>
  <c r="O49" i="50"/>
  <c r="N49" i="50"/>
  <c r="M49" i="50"/>
  <c r="L49" i="50"/>
  <c r="K49" i="50"/>
  <c r="A49" i="50" s="1"/>
  <c r="E49" i="50"/>
  <c r="O48" i="50"/>
  <c r="E48" i="50" s="1"/>
  <c r="N48" i="50"/>
  <c r="M48" i="50"/>
  <c r="L48" i="50"/>
  <c r="K48" i="50"/>
  <c r="A48" i="50"/>
  <c r="O47" i="50"/>
  <c r="N47" i="50"/>
  <c r="M47" i="50"/>
  <c r="L47" i="50"/>
  <c r="K47" i="50"/>
  <c r="A47" i="50" s="1"/>
  <c r="E47" i="50"/>
  <c r="O46" i="50"/>
  <c r="N46" i="50"/>
  <c r="M46" i="50"/>
  <c r="L46" i="50"/>
  <c r="K46" i="50"/>
  <c r="E46" i="50"/>
  <c r="A46" i="50"/>
  <c r="O45" i="50"/>
  <c r="E45" i="50" s="1"/>
  <c r="N45" i="50"/>
  <c r="M45" i="50"/>
  <c r="L45" i="50"/>
  <c r="K45" i="50"/>
  <c r="A45" i="50"/>
  <c r="O44" i="50"/>
  <c r="N44" i="50"/>
  <c r="M44" i="50"/>
  <c r="L44" i="50"/>
  <c r="K44" i="50"/>
  <c r="E44" i="50"/>
  <c r="A44" i="50"/>
  <c r="O42" i="50"/>
  <c r="E42" i="50" s="1"/>
  <c r="N42" i="50"/>
  <c r="M42" i="50"/>
  <c r="L42" i="50"/>
  <c r="K42" i="50"/>
  <c r="A42" i="50"/>
  <c r="O41" i="50"/>
  <c r="N41" i="50"/>
  <c r="M41" i="50"/>
  <c r="L41" i="50"/>
  <c r="K41" i="50"/>
  <c r="A41" i="50" s="1"/>
  <c r="E41" i="50"/>
  <c r="O40" i="50"/>
  <c r="N40" i="50"/>
  <c r="M40" i="50"/>
  <c r="L40" i="50"/>
  <c r="K40" i="50"/>
  <c r="E40" i="50"/>
  <c r="A40" i="50"/>
  <c r="O39" i="50"/>
  <c r="E39" i="50" s="1"/>
  <c r="N39" i="50"/>
  <c r="M39" i="50"/>
  <c r="L39" i="50"/>
  <c r="K39" i="50"/>
  <c r="A39" i="50"/>
  <c r="O38" i="50"/>
  <c r="N38" i="50"/>
  <c r="M38" i="50"/>
  <c r="L38" i="50"/>
  <c r="K38" i="50"/>
  <c r="E38" i="50"/>
  <c r="A38" i="50"/>
  <c r="O37" i="50"/>
  <c r="N37" i="50"/>
  <c r="M37" i="50"/>
  <c r="L37" i="50"/>
  <c r="K37" i="50"/>
  <c r="E37" i="50"/>
  <c r="A37" i="50"/>
  <c r="O35" i="50"/>
  <c r="N35" i="50"/>
  <c r="M35" i="50"/>
  <c r="L35" i="50"/>
  <c r="K35" i="50"/>
  <c r="A35" i="50" s="1"/>
  <c r="E35" i="50"/>
  <c r="O34" i="50"/>
  <c r="N34" i="50"/>
  <c r="M34" i="50"/>
  <c r="L34" i="50"/>
  <c r="K34" i="50"/>
  <c r="E34" i="50"/>
  <c r="A34" i="50"/>
  <c r="O33" i="50"/>
  <c r="E33" i="50" s="1"/>
  <c r="N33" i="50"/>
  <c r="M33" i="50"/>
  <c r="L33" i="50"/>
  <c r="K33" i="50"/>
  <c r="A33" i="50"/>
  <c r="O32" i="50"/>
  <c r="N32" i="50"/>
  <c r="M32" i="50"/>
  <c r="L32" i="50"/>
  <c r="K32" i="50"/>
  <c r="E32" i="50"/>
  <c r="A32" i="50"/>
  <c r="O31" i="50"/>
  <c r="N31" i="50"/>
  <c r="M31" i="50"/>
  <c r="L31" i="50"/>
  <c r="K31" i="50"/>
  <c r="E31" i="50"/>
  <c r="A31" i="50"/>
  <c r="O30" i="50"/>
  <c r="E30" i="50" s="1"/>
  <c r="N30" i="50"/>
  <c r="M30" i="50"/>
  <c r="L30" i="50"/>
  <c r="K30" i="50"/>
  <c r="A30" i="50" s="1"/>
  <c r="O28" i="50"/>
  <c r="N28" i="50"/>
  <c r="M28" i="50"/>
  <c r="L28" i="50"/>
  <c r="K28" i="50"/>
  <c r="E28" i="50"/>
  <c r="A28" i="50"/>
  <c r="O27" i="50"/>
  <c r="E27" i="50" s="1"/>
  <c r="N27" i="50"/>
  <c r="M27" i="50"/>
  <c r="L27" i="50"/>
  <c r="K27" i="50"/>
  <c r="A27" i="50" s="1"/>
  <c r="O26" i="50"/>
  <c r="N26" i="50"/>
  <c r="M26" i="50"/>
  <c r="L26" i="50"/>
  <c r="K26" i="50"/>
  <c r="E26" i="50"/>
  <c r="A26" i="50"/>
  <c r="O25" i="50"/>
  <c r="E25" i="50" s="1"/>
  <c r="N25" i="50"/>
  <c r="M25" i="50"/>
  <c r="L25" i="50"/>
  <c r="K25" i="50"/>
  <c r="A25" i="50"/>
  <c r="O24" i="50"/>
  <c r="N24" i="50"/>
  <c r="M24" i="50"/>
  <c r="L24" i="50"/>
  <c r="K24" i="50"/>
  <c r="A24" i="50" s="1"/>
  <c r="E24" i="50"/>
  <c r="O23" i="50"/>
  <c r="E23" i="50" s="1"/>
  <c r="N23" i="50"/>
  <c r="M23" i="50"/>
  <c r="L23" i="50"/>
  <c r="K23" i="50"/>
  <c r="A23" i="50"/>
  <c r="O21" i="50"/>
  <c r="E21" i="50" s="1"/>
  <c r="N21" i="50"/>
  <c r="M21" i="50"/>
  <c r="L21" i="50"/>
  <c r="K21" i="50"/>
  <c r="A21" i="50" s="1"/>
  <c r="O20" i="50"/>
  <c r="N20" i="50"/>
  <c r="M20" i="50"/>
  <c r="L20" i="50"/>
  <c r="K20" i="50"/>
  <c r="E20" i="50"/>
  <c r="A20" i="50"/>
  <c r="O19" i="50"/>
  <c r="E19" i="50" s="1"/>
  <c r="N19" i="50"/>
  <c r="M19" i="50"/>
  <c r="L19" i="50"/>
  <c r="K19" i="50"/>
  <c r="A19" i="50"/>
  <c r="O18" i="50"/>
  <c r="N18" i="50"/>
  <c r="M18" i="50"/>
  <c r="L18" i="50"/>
  <c r="K18" i="50"/>
  <c r="A18" i="50" s="1"/>
  <c r="E18" i="50"/>
  <c r="O17" i="50"/>
  <c r="E17" i="50" s="1"/>
  <c r="N17" i="50"/>
  <c r="M17" i="50"/>
  <c r="L17" i="50"/>
  <c r="K17" i="50"/>
  <c r="A17" i="50"/>
  <c r="O16" i="50"/>
  <c r="N16" i="50"/>
  <c r="M16" i="50"/>
  <c r="L16" i="50"/>
  <c r="K16" i="50"/>
  <c r="A16" i="50" s="1"/>
  <c r="E16" i="50"/>
  <c r="O14" i="50"/>
  <c r="N14" i="50"/>
  <c r="M14" i="50"/>
  <c r="L14" i="50"/>
  <c r="K14" i="50"/>
  <c r="E14" i="50"/>
  <c r="A14" i="50"/>
  <c r="O13" i="50"/>
  <c r="E13" i="50" s="1"/>
  <c r="N13" i="50"/>
  <c r="M13" i="50"/>
  <c r="L13" i="50"/>
  <c r="K13" i="50"/>
  <c r="A13" i="50"/>
  <c r="O12" i="50"/>
  <c r="N12" i="50"/>
  <c r="M12" i="50"/>
  <c r="L12" i="50"/>
  <c r="K12" i="50"/>
  <c r="E12" i="50"/>
  <c r="A12" i="50"/>
  <c r="Q11" i="50"/>
  <c r="P11" i="31" s="1"/>
  <c r="O11" i="50"/>
  <c r="E11" i="50" s="1"/>
  <c r="N11" i="50"/>
  <c r="M11" i="50"/>
  <c r="L11" i="50"/>
  <c r="K11" i="50"/>
  <c r="A11" i="50"/>
  <c r="O10" i="50"/>
  <c r="N10" i="50"/>
  <c r="M10" i="50"/>
  <c r="L10" i="50"/>
  <c r="K10" i="50"/>
  <c r="A10" i="50" s="1"/>
  <c r="E10" i="50"/>
  <c r="O9" i="50"/>
  <c r="N9" i="50"/>
  <c r="M9" i="50"/>
  <c r="L9" i="50"/>
  <c r="K9" i="50"/>
  <c r="E9" i="50"/>
  <c r="A9" i="50"/>
  <c r="O7" i="50"/>
  <c r="E7" i="50" s="1"/>
  <c r="N7" i="50"/>
  <c r="M7" i="50"/>
  <c r="L7" i="50"/>
  <c r="K7" i="50"/>
  <c r="A7" i="50"/>
  <c r="O6" i="50"/>
  <c r="N6" i="50"/>
  <c r="M6" i="50"/>
  <c r="L6" i="50"/>
  <c r="K6" i="50"/>
  <c r="A6" i="50" s="1"/>
  <c r="E6" i="50"/>
  <c r="O5" i="50"/>
  <c r="E5" i="50" s="1"/>
  <c r="N5" i="50"/>
  <c r="M5" i="50"/>
  <c r="L5" i="50"/>
  <c r="K5" i="50"/>
  <c r="A5" i="50"/>
  <c r="O4" i="50"/>
  <c r="N4" i="50"/>
  <c r="M4" i="50"/>
  <c r="L4" i="50"/>
  <c r="K4" i="50"/>
  <c r="A4" i="50" s="1"/>
  <c r="E4" i="50"/>
  <c r="O3" i="50"/>
  <c r="N3" i="50"/>
  <c r="M3" i="50"/>
  <c r="L3" i="50"/>
  <c r="K3" i="50"/>
  <c r="E3" i="50"/>
  <c r="A3" i="50"/>
  <c r="O2" i="50"/>
  <c r="E2" i="50" s="1"/>
  <c r="N2" i="50"/>
  <c r="M2" i="50"/>
  <c r="L2" i="50"/>
  <c r="K2" i="50"/>
  <c r="A2" i="50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N75" i="49"/>
  <c r="M75" i="49"/>
  <c r="L75" i="49"/>
  <c r="K75" i="49"/>
  <c r="A75" i="49" s="1"/>
  <c r="E75" i="49"/>
  <c r="A74" i="49"/>
  <c r="O73" i="49"/>
  <c r="N73" i="49"/>
  <c r="M73" i="49"/>
  <c r="L73" i="49"/>
  <c r="K73" i="49"/>
  <c r="O72" i="49"/>
  <c r="N72" i="49"/>
  <c r="M72" i="49"/>
  <c r="L72" i="49"/>
  <c r="K72" i="49"/>
  <c r="A72" i="49" s="1"/>
  <c r="E72" i="49"/>
  <c r="O71" i="49"/>
  <c r="N71" i="49"/>
  <c r="M71" i="49"/>
  <c r="L71" i="49"/>
  <c r="K71" i="49"/>
  <c r="E71" i="49"/>
  <c r="A71" i="49"/>
  <c r="O70" i="49"/>
  <c r="E70" i="49" s="1"/>
  <c r="N70" i="49"/>
  <c r="M70" i="49"/>
  <c r="L70" i="49"/>
  <c r="K70" i="49"/>
  <c r="A70" i="49" s="1"/>
  <c r="O69" i="49"/>
  <c r="N69" i="49"/>
  <c r="M69" i="49"/>
  <c r="L69" i="49"/>
  <c r="K69" i="49"/>
  <c r="A69" i="49" s="1"/>
  <c r="E69" i="49"/>
  <c r="A68" i="49"/>
  <c r="O66" i="49"/>
  <c r="N66" i="49"/>
  <c r="M66" i="49"/>
  <c r="L66" i="49"/>
  <c r="K66" i="49"/>
  <c r="E66" i="49"/>
  <c r="A66" i="49"/>
  <c r="O65" i="49"/>
  <c r="E65" i="49" s="1"/>
  <c r="N65" i="49"/>
  <c r="M65" i="49"/>
  <c r="L65" i="49"/>
  <c r="K65" i="49"/>
  <c r="A65" i="49" s="1"/>
  <c r="O64" i="49"/>
  <c r="N64" i="49"/>
  <c r="M64" i="49"/>
  <c r="L64" i="49"/>
  <c r="K64" i="49"/>
  <c r="E64" i="49"/>
  <c r="A64" i="49"/>
  <c r="O63" i="49"/>
  <c r="E63" i="49" s="1"/>
  <c r="N63" i="49"/>
  <c r="M63" i="49"/>
  <c r="L63" i="49"/>
  <c r="K63" i="49"/>
  <c r="A63" i="49"/>
  <c r="O62" i="49"/>
  <c r="N62" i="49"/>
  <c r="M62" i="49"/>
  <c r="L62" i="49"/>
  <c r="K62" i="49"/>
  <c r="E62" i="49"/>
  <c r="A62" i="49"/>
  <c r="O61" i="49"/>
  <c r="E61" i="49" s="1"/>
  <c r="N61" i="49"/>
  <c r="M61" i="49"/>
  <c r="L61" i="49"/>
  <c r="K61" i="49"/>
  <c r="A61" i="49"/>
  <c r="O60" i="49"/>
  <c r="N60" i="49"/>
  <c r="M60" i="49"/>
  <c r="L60" i="49"/>
  <c r="K60" i="49"/>
  <c r="A60" i="49" s="1"/>
  <c r="E60" i="49"/>
  <c r="O59" i="49"/>
  <c r="N59" i="49"/>
  <c r="M59" i="49"/>
  <c r="L59" i="49"/>
  <c r="K59" i="49"/>
  <c r="E59" i="49"/>
  <c r="A59" i="49"/>
  <c r="A58" i="49"/>
  <c r="O56" i="49"/>
  <c r="E56" i="49" s="1"/>
  <c r="N56" i="49"/>
  <c r="M56" i="49"/>
  <c r="L56" i="49"/>
  <c r="K56" i="49"/>
  <c r="A56" i="49"/>
  <c r="O55" i="49"/>
  <c r="N55" i="49"/>
  <c r="M55" i="49"/>
  <c r="L55" i="49"/>
  <c r="K55" i="49"/>
  <c r="A55" i="49" s="1"/>
  <c r="E55" i="49"/>
  <c r="O54" i="49"/>
  <c r="E54" i="49" s="1"/>
  <c r="N54" i="49"/>
  <c r="M54" i="49"/>
  <c r="L54" i="49"/>
  <c r="K54" i="49"/>
  <c r="A54" i="49"/>
  <c r="O53" i="49"/>
  <c r="N53" i="49"/>
  <c r="M53" i="49"/>
  <c r="L53" i="49"/>
  <c r="K53" i="49"/>
  <c r="A53" i="49" s="1"/>
  <c r="E53" i="49"/>
  <c r="O52" i="49"/>
  <c r="N52" i="49"/>
  <c r="M52" i="49"/>
  <c r="L52" i="49"/>
  <c r="K52" i="49"/>
  <c r="E52" i="49"/>
  <c r="A52" i="49"/>
  <c r="O51" i="49"/>
  <c r="E51" i="49" s="1"/>
  <c r="N51" i="49"/>
  <c r="M51" i="49"/>
  <c r="L51" i="49"/>
  <c r="K51" i="49"/>
  <c r="A51" i="49"/>
  <c r="O49" i="49"/>
  <c r="N49" i="49"/>
  <c r="M49" i="49"/>
  <c r="L49" i="49"/>
  <c r="K49" i="49"/>
  <c r="A49" i="49" s="1"/>
  <c r="E49" i="49"/>
  <c r="O48" i="49"/>
  <c r="E48" i="49" s="1"/>
  <c r="N48" i="49"/>
  <c r="M48" i="49"/>
  <c r="L48" i="49"/>
  <c r="K48" i="49"/>
  <c r="A48" i="49"/>
  <c r="O47" i="49"/>
  <c r="N47" i="49"/>
  <c r="M47" i="49"/>
  <c r="L47" i="49"/>
  <c r="K47" i="49"/>
  <c r="A47" i="49" s="1"/>
  <c r="E47" i="49"/>
  <c r="O46" i="49"/>
  <c r="N46" i="49"/>
  <c r="M46" i="49"/>
  <c r="L46" i="49"/>
  <c r="K46" i="49"/>
  <c r="E46" i="49"/>
  <c r="A46" i="49"/>
  <c r="O45" i="49"/>
  <c r="E45" i="49" s="1"/>
  <c r="N45" i="49"/>
  <c r="M45" i="49"/>
  <c r="L45" i="49"/>
  <c r="K45" i="49"/>
  <c r="A45" i="49" s="1"/>
  <c r="O44" i="49"/>
  <c r="N44" i="49"/>
  <c r="M44" i="49"/>
  <c r="L44" i="49"/>
  <c r="K44" i="49"/>
  <c r="A44" i="49" s="1"/>
  <c r="E44" i="49"/>
  <c r="O42" i="49"/>
  <c r="E42" i="49" s="1"/>
  <c r="N42" i="49"/>
  <c r="M42" i="49"/>
  <c r="L42" i="49"/>
  <c r="K42" i="49"/>
  <c r="A42" i="49"/>
  <c r="O41" i="49"/>
  <c r="N41" i="49"/>
  <c r="M41" i="49"/>
  <c r="L41" i="49"/>
  <c r="K41" i="49"/>
  <c r="A41" i="49" s="1"/>
  <c r="E41" i="49"/>
  <c r="O40" i="49"/>
  <c r="N40" i="49"/>
  <c r="M40" i="49"/>
  <c r="L40" i="49"/>
  <c r="K40" i="49"/>
  <c r="E40" i="49"/>
  <c r="A40" i="49"/>
  <c r="O39" i="49"/>
  <c r="E39" i="49" s="1"/>
  <c r="N39" i="49"/>
  <c r="M39" i="49"/>
  <c r="L39" i="49"/>
  <c r="K39" i="49"/>
  <c r="A39" i="49" s="1"/>
  <c r="O38" i="49"/>
  <c r="N38" i="49"/>
  <c r="M38" i="49"/>
  <c r="L38" i="49"/>
  <c r="K38" i="49"/>
  <c r="A38" i="49" s="1"/>
  <c r="E38" i="49"/>
  <c r="O37" i="49"/>
  <c r="E37" i="49" s="1"/>
  <c r="N37" i="49"/>
  <c r="M37" i="49"/>
  <c r="L37" i="49"/>
  <c r="K37" i="49"/>
  <c r="A37" i="49"/>
  <c r="O35" i="49"/>
  <c r="N35" i="49"/>
  <c r="M35" i="49"/>
  <c r="L35" i="49"/>
  <c r="K35" i="49"/>
  <c r="A35" i="49" s="1"/>
  <c r="E35" i="49"/>
  <c r="O34" i="49"/>
  <c r="N34" i="49"/>
  <c r="M34" i="49"/>
  <c r="L34" i="49"/>
  <c r="K34" i="49"/>
  <c r="E34" i="49"/>
  <c r="A34" i="49"/>
  <c r="O33" i="49"/>
  <c r="E33" i="49" s="1"/>
  <c r="N33" i="49"/>
  <c r="M33" i="49"/>
  <c r="L33" i="49"/>
  <c r="K33" i="49"/>
  <c r="A33" i="49" s="1"/>
  <c r="O32" i="49"/>
  <c r="N32" i="49"/>
  <c r="M32" i="49"/>
  <c r="L32" i="49"/>
  <c r="K32" i="49"/>
  <c r="A32" i="49" s="1"/>
  <c r="E32" i="49"/>
  <c r="O31" i="49"/>
  <c r="E31" i="49" s="1"/>
  <c r="N31" i="49"/>
  <c r="M31" i="49"/>
  <c r="L31" i="49"/>
  <c r="K31" i="49"/>
  <c r="A31" i="49"/>
  <c r="O30" i="49"/>
  <c r="N30" i="49"/>
  <c r="M30" i="49"/>
  <c r="L30" i="49"/>
  <c r="K30" i="49"/>
  <c r="E30" i="49"/>
  <c r="A30" i="49"/>
  <c r="O28" i="49"/>
  <c r="N28" i="49"/>
  <c r="M28" i="49"/>
  <c r="L28" i="49"/>
  <c r="K28" i="49"/>
  <c r="E28" i="49"/>
  <c r="A28" i="49"/>
  <c r="O27" i="49"/>
  <c r="E27" i="49" s="1"/>
  <c r="N27" i="49"/>
  <c r="M27" i="49"/>
  <c r="L27" i="49"/>
  <c r="K27" i="49"/>
  <c r="A27" i="49" s="1"/>
  <c r="O26" i="49"/>
  <c r="N26" i="49"/>
  <c r="M26" i="49"/>
  <c r="L26" i="49"/>
  <c r="K26" i="49"/>
  <c r="E26" i="49"/>
  <c r="A26" i="49"/>
  <c r="O25" i="49"/>
  <c r="E25" i="49" s="1"/>
  <c r="N25" i="49"/>
  <c r="M25" i="49"/>
  <c r="L25" i="49"/>
  <c r="K25" i="49"/>
  <c r="A25" i="49"/>
  <c r="O24" i="49"/>
  <c r="N24" i="49"/>
  <c r="M24" i="49"/>
  <c r="L24" i="49"/>
  <c r="K24" i="49"/>
  <c r="A24" i="49" s="1"/>
  <c r="E24" i="49"/>
  <c r="O23" i="49"/>
  <c r="E23" i="49" s="1"/>
  <c r="N23" i="49"/>
  <c r="M23" i="49"/>
  <c r="L23" i="49"/>
  <c r="K23" i="49"/>
  <c r="A23" i="49"/>
  <c r="O21" i="49"/>
  <c r="E21" i="49" s="1"/>
  <c r="N21" i="49"/>
  <c r="M21" i="49"/>
  <c r="L21" i="49"/>
  <c r="K21" i="49"/>
  <c r="A21" i="49" s="1"/>
  <c r="O20" i="49"/>
  <c r="N20" i="49"/>
  <c r="M20" i="49"/>
  <c r="L20" i="49"/>
  <c r="K20" i="49"/>
  <c r="E20" i="49"/>
  <c r="A20" i="49"/>
  <c r="O19" i="49"/>
  <c r="E19" i="49" s="1"/>
  <c r="N19" i="49"/>
  <c r="M19" i="49"/>
  <c r="L19" i="49"/>
  <c r="K19" i="49"/>
  <c r="A19" i="49"/>
  <c r="O18" i="49"/>
  <c r="N18" i="49"/>
  <c r="M18" i="49"/>
  <c r="L18" i="49"/>
  <c r="K18" i="49"/>
  <c r="A18" i="49" s="1"/>
  <c r="E18" i="49"/>
  <c r="O17" i="49"/>
  <c r="E17" i="49" s="1"/>
  <c r="N17" i="49"/>
  <c r="M17" i="49"/>
  <c r="L17" i="49"/>
  <c r="K17" i="49"/>
  <c r="A17" i="49"/>
  <c r="O16" i="49"/>
  <c r="N16" i="49"/>
  <c r="M16" i="49"/>
  <c r="L16" i="49"/>
  <c r="K16" i="49"/>
  <c r="A16" i="49" s="1"/>
  <c r="E16" i="49"/>
  <c r="O14" i="49"/>
  <c r="N14" i="49"/>
  <c r="M14" i="49"/>
  <c r="L14" i="49"/>
  <c r="K14" i="49"/>
  <c r="E14" i="49"/>
  <c r="A14" i="49"/>
  <c r="O13" i="49"/>
  <c r="E13" i="49" s="1"/>
  <c r="N13" i="49"/>
  <c r="M13" i="49"/>
  <c r="L13" i="49"/>
  <c r="K13" i="49"/>
  <c r="A13" i="49" s="1"/>
  <c r="O12" i="49"/>
  <c r="N12" i="49"/>
  <c r="M12" i="49"/>
  <c r="L12" i="49"/>
  <c r="K12" i="49"/>
  <c r="A12" i="49" s="1"/>
  <c r="E12" i="49"/>
  <c r="Q11" i="49"/>
  <c r="P16" i="31" s="1"/>
  <c r="O11" i="49"/>
  <c r="E11" i="49" s="1"/>
  <c r="N11" i="49"/>
  <c r="M11" i="49"/>
  <c r="L11" i="49"/>
  <c r="K11" i="49"/>
  <c r="A11" i="49"/>
  <c r="O10" i="49"/>
  <c r="N10" i="49"/>
  <c r="M10" i="49"/>
  <c r="L10" i="49"/>
  <c r="K10" i="49"/>
  <c r="A10" i="49" s="1"/>
  <c r="E10" i="49"/>
  <c r="O9" i="49"/>
  <c r="N9" i="49"/>
  <c r="M9" i="49"/>
  <c r="L9" i="49"/>
  <c r="K9" i="49"/>
  <c r="E9" i="49"/>
  <c r="A9" i="49"/>
  <c r="O7" i="49"/>
  <c r="E7" i="49" s="1"/>
  <c r="N7" i="49"/>
  <c r="M7" i="49"/>
  <c r="L7" i="49"/>
  <c r="K7" i="49"/>
  <c r="A7" i="49"/>
  <c r="O6" i="49"/>
  <c r="N6" i="49"/>
  <c r="M6" i="49"/>
  <c r="L6" i="49"/>
  <c r="K6" i="49"/>
  <c r="A6" i="49" s="1"/>
  <c r="E6" i="49"/>
  <c r="O5" i="49"/>
  <c r="E5" i="49" s="1"/>
  <c r="N5" i="49"/>
  <c r="M5" i="49"/>
  <c r="L5" i="49"/>
  <c r="K5" i="49"/>
  <c r="A5" i="49"/>
  <c r="O4" i="49"/>
  <c r="N4" i="49"/>
  <c r="M4" i="49"/>
  <c r="L4" i="49"/>
  <c r="K4" i="49"/>
  <c r="A4" i="49" s="1"/>
  <c r="E4" i="49"/>
  <c r="O3" i="49"/>
  <c r="N3" i="49"/>
  <c r="M3" i="49"/>
  <c r="L3" i="49"/>
  <c r="K3" i="49"/>
  <c r="E3" i="49"/>
  <c r="A3" i="49"/>
  <c r="O2" i="49"/>
  <c r="E2" i="49" s="1"/>
  <c r="N2" i="49"/>
  <c r="M2" i="49"/>
  <c r="L2" i="49"/>
  <c r="K2" i="49"/>
  <c r="A2" i="49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N76" i="48"/>
  <c r="M76" i="48"/>
  <c r="L76" i="48"/>
  <c r="K76" i="48"/>
  <c r="E76" i="48"/>
  <c r="A76" i="48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N72" i="48"/>
  <c r="M72" i="48"/>
  <c r="L72" i="48"/>
  <c r="K72" i="48"/>
  <c r="E72" i="48"/>
  <c r="A72" i="48"/>
  <c r="O71" i="48"/>
  <c r="E71" i="48" s="1"/>
  <c r="N71" i="48"/>
  <c r="M71" i="48"/>
  <c r="L71" i="48"/>
  <c r="K71" i="48"/>
  <c r="A71" i="48"/>
  <c r="O70" i="48"/>
  <c r="N70" i="48"/>
  <c r="M70" i="48"/>
  <c r="L70" i="48"/>
  <c r="K70" i="48"/>
  <c r="E70" i="48"/>
  <c r="A70" i="48"/>
  <c r="O69" i="48"/>
  <c r="E69" i="48" s="1"/>
  <c r="N69" i="48"/>
  <c r="M69" i="48"/>
  <c r="L69" i="48"/>
  <c r="K69" i="48"/>
  <c r="A69" i="48"/>
  <c r="A68" i="48"/>
  <c r="O66" i="48"/>
  <c r="E66" i="48" s="1"/>
  <c r="N66" i="48"/>
  <c r="M66" i="48"/>
  <c r="L66" i="48"/>
  <c r="K66" i="48"/>
  <c r="A66" i="48" s="1"/>
  <c r="O65" i="48"/>
  <c r="N65" i="48"/>
  <c r="M65" i="48"/>
  <c r="L65" i="48"/>
  <c r="K65" i="48"/>
  <c r="E65" i="48"/>
  <c r="A65" i="48"/>
  <c r="O64" i="48"/>
  <c r="E64" i="48" s="1"/>
  <c r="N64" i="48"/>
  <c r="M64" i="48"/>
  <c r="L64" i="48"/>
  <c r="K64" i="48"/>
  <c r="A64" i="48"/>
  <c r="O63" i="48"/>
  <c r="N63" i="48"/>
  <c r="M63" i="48"/>
  <c r="L63" i="48"/>
  <c r="K63" i="48"/>
  <c r="E63" i="48"/>
  <c r="A63" i="48"/>
  <c r="O62" i="48"/>
  <c r="N62" i="48"/>
  <c r="M62" i="48"/>
  <c r="L62" i="48"/>
  <c r="K62" i="48"/>
  <c r="A62" i="48" s="1"/>
  <c r="E62" i="48"/>
  <c r="O61" i="48"/>
  <c r="N61" i="48"/>
  <c r="M61" i="48"/>
  <c r="L61" i="48"/>
  <c r="K61" i="48"/>
  <c r="A61" i="48" s="1"/>
  <c r="E61" i="48"/>
  <c r="O60" i="48"/>
  <c r="N60" i="48"/>
  <c r="M60" i="48"/>
  <c r="L60" i="48"/>
  <c r="K60" i="48"/>
  <c r="E60" i="48"/>
  <c r="A60" i="48"/>
  <c r="O59" i="48"/>
  <c r="E59" i="48" s="1"/>
  <c r="N59" i="48"/>
  <c r="M59" i="48"/>
  <c r="L59" i="48"/>
  <c r="K59" i="48"/>
  <c r="A59" i="48"/>
  <c r="A58" i="48"/>
  <c r="O56" i="48"/>
  <c r="N56" i="48"/>
  <c r="M56" i="48"/>
  <c r="L56" i="48"/>
  <c r="K56" i="48"/>
  <c r="E56" i="48"/>
  <c r="A56" i="48"/>
  <c r="O55" i="48"/>
  <c r="N55" i="48"/>
  <c r="M55" i="48"/>
  <c r="L55" i="48"/>
  <c r="K55" i="48"/>
  <c r="A55" i="48" s="1"/>
  <c r="E55" i="48"/>
  <c r="O54" i="48"/>
  <c r="N54" i="48"/>
  <c r="M54" i="48"/>
  <c r="L54" i="48"/>
  <c r="K54" i="48"/>
  <c r="A54" i="48" s="1"/>
  <c r="E54" i="48"/>
  <c r="O53" i="48"/>
  <c r="N53" i="48"/>
  <c r="M53" i="48"/>
  <c r="L53" i="48"/>
  <c r="K53" i="48"/>
  <c r="E53" i="48"/>
  <c r="A53" i="48"/>
  <c r="O52" i="48"/>
  <c r="E52" i="48" s="1"/>
  <c r="N52" i="48"/>
  <c r="M52" i="48"/>
  <c r="L52" i="48"/>
  <c r="K52" i="48"/>
  <c r="A52" i="48"/>
  <c r="O51" i="48"/>
  <c r="N51" i="48"/>
  <c r="M51" i="48"/>
  <c r="L51" i="48"/>
  <c r="K51" i="48"/>
  <c r="E51" i="48"/>
  <c r="A51" i="48"/>
  <c r="O49" i="48"/>
  <c r="N49" i="48"/>
  <c r="M49" i="48"/>
  <c r="L49" i="48"/>
  <c r="K49" i="48"/>
  <c r="A49" i="48" s="1"/>
  <c r="E49" i="48"/>
  <c r="O48" i="48"/>
  <c r="N48" i="48"/>
  <c r="M48" i="48"/>
  <c r="L48" i="48"/>
  <c r="K48" i="48"/>
  <c r="A48" i="48" s="1"/>
  <c r="E48" i="48"/>
  <c r="O47" i="48"/>
  <c r="N47" i="48"/>
  <c r="M47" i="48"/>
  <c r="L47" i="48"/>
  <c r="K47" i="48"/>
  <c r="E47" i="48"/>
  <c r="A47" i="48"/>
  <c r="O46" i="48"/>
  <c r="E46" i="48" s="1"/>
  <c r="N46" i="48"/>
  <c r="M46" i="48"/>
  <c r="L46" i="48"/>
  <c r="K46" i="48"/>
  <c r="A46" i="48"/>
  <c r="O45" i="48"/>
  <c r="N45" i="48"/>
  <c r="M45" i="48"/>
  <c r="L45" i="48"/>
  <c r="K45" i="48"/>
  <c r="E45" i="48"/>
  <c r="A45" i="48"/>
  <c r="O44" i="48"/>
  <c r="E44" i="48" s="1"/>
  <c r="N44" i="48"/>
  <c r="M44" i="48"/>
  <c r="L44" i="48"/>
  <c r="K44" i="48"/>
  <c r="A44" i="48"/>
  <c r="O42" i="48"/>
  <c r="N42" i="48"/>
  <c r="M42" i="48"/>
  <c r="L42" i="48"/>
  <c r="K42" i="48"/>
  <c r="A42" i="48" s="1"/>
  <c r="E42" i="48"/>
  <c r="O41" i="48"/>
  <c r="N41" i="48"/>
  <c r="M41" i="48"/>
  <c r="L41" i="48"/>
  <c r="K41" i="48"/>
  <c r="E41" i="48"/>
  <c r="A41" i="48"/>
  <c r="O40" i="48"/>
  <c r="E40" i="48" s="1"/>
  <c r="N40" i="48"/>
  <c r="M40" i="48"/>
  <c r="L40" i="48"/>
  <c r="K40" i="48"/>
  <c r="A40" i="48"/>
  <c r="O39" i="48"/>
  <c r="N39" i="48"/>
  <c r="M39" i="48"/>
  <c r="L39" i="48"/>
  <c r="K39" i="48"/>
  <c r="E39" i="48"/>
  <c r="A39" i="48"/>
  <c r="O38" i="48"/>
  <c r="E38" i="48" s="1"/>
  <c r="N38" i="48"/>
  <c r="M38" i="48"/>
  <c r="L38" i="48"/>
  <c r="K38" i="48"/>
  <c r="A38" i="48"/>
  <c r="O37" i="48"/>
  <c r="N37" i="48"/>
  <c r="M37" i="48"/>
  <c r="L37" i="48"/>
  <c r="K37" i="48"/>
  <c r="A37" i="48" s="1"/>
  <c r="E37" i="48"/>
  <c r="O35" i="48"/>
  <c r="N35" i="48"/>
  <c r="M35" i="48"/>
  <c r="L35" i="48"/>
  <c r="K35" i="48"/>
  <c r="E35" i="48"/>
  <c r="A35" i="48"/>
  <c r="O34" i="48"/>
  <c r="E34" i="48" s="1"/>
  <c r="N34" i="48"/>
  <c r="M34" i="48"/>
  <c r="L34" i="48"/>
  <c r="K34" i="48"/>
  <c r="A34" i="48"/>
  <c r="O33" i="48"/>
  <c r="N33" i="48"/>
  <c r="M33" i="48"/>
  <c r="L33" i="48"/>
  <c r="K33" i="48"/>
  <c r="E33" i="48"/>
  <c r="A33" i="48"/>
  <c r="O32" i="48"/>
  <c r="E32" i="48" s="1"/>
  <c r="N32" i="48"/>
  <c r="M32" i="48"/>
  <c r="L32" i="48"/>
  <c r="K32" i="48"/>
  <c r="A32" i="48"/>
  <c r="O31" i="48"/>
  <c r="N31" i="48"/>
  <c r="M31" i="48"/>
  <c r="L31" i="48"/>
  <c r="K31" i="48"/>
  <c r="A31" i="48" s="1"/>
  <c r="E31" i="48"/>
  <c r="O30" i="48"/>
  <c r="N30" i="48"/>
  <c r="M30" i="48"/>
  <c r="L30" i="48"/>
  <c r="K30" i="48"/>
  <c r="A30" i="48" s="1"/>
  <c r="E30" i="48"/>
  <c r="O28" i="48"/>
  <c r="E28" i="48" s="1"/>
  <c r="N28" i="48"/>
  <c r="M28" i="48"/>
  <c r="L28" i="48"/>
  <c r="K28" i="48"/>
  <c r="A28" i="48" s="1"/>
  <c r="O27" i="48"/>
  <c r="N27" i="48"/>
  <c r="M27" i="48"/>
  <c r="L27" i="48"/>
  <c r="K27" i="48"/>
  <c r="E27" i="48"/>
  <c r="A27" i="48"/>
  <c r="O26" i="48"/>
  <c r="E26" i="48" s="1"/>
  <c r="N26" i="48"/>
  <c r="M26" i="48"/>
  <c r="L26" i="48"/>
  <c r="K26" i="48"/>
  <c r="A26" i="48"/>
  <c r="O25" i="48"/>
  <c r="N25" i="48"/>
  <c r="M25" i="48"/>
  <c r="L25" i="48"/>
  <c r="K25" i="48"/>
  <c r="E25" i="48"/>
  <c r="A25" i="48"/>
  <c r="O24" i="48"/>
  <c r="N24" i="48"/>
  <c r="M24" i="48"/>
  <c r="L24" i="48"/>
  <c r="K24" i="48"/>
  <c r="A24" i="48" s="1"/>
  <c r="E24" i="48"/>
  <c r="O23" i="48"/>
  <c r="N23" i="48"/>
  <c r="M23" i="48"/>
  <c r="L23" i="48"/>
  <c r="K23" i="48"/>
  <c r="A23" i="48" s="1"/>
  <c r="E23" i="48"/>
  <c r="O21" i="48"/>
  <c r="N21" i="48"/>
  <c r="M21" i="48"/>
  <c r="L21" i="48"/>
  <c r="K21" i="48"/>
  <c r="E21" i="48"/>
  <c r="A21" i="48"/>
  <c r="O20" i="48"/>
  <c r="E20" i="48" s="1"/>
  <c r="N20" i="48"/>
  <c r="M20" i="48"/>
  <c r="L20" i="48"/>
  <c r="K20" i="48"/>
  <c r="A20" i="48"/>
  <c r="O19" i="48"/>
  <c r="N19" i="48"/>
  <c r="M19" i="48"/>
  <c r="L19" i="48"/>
  <c r="K19" i="48"/>
  <c r="E19" i="48"/>
  <c r="A19" i="48"/>
  <c r="O18" i="48"/>
  <c r="N18" i="48"/>
  <c r="M18" i="48"/>
  <c r="L18" i="48"/>
  <c r="K18" i="48"/>
  <c r="A18" i="48" s="1"/>
  <c r="E18" i="48"/>
  <c r="O17" i="48"/>
  <c r="N17" i="48"/>
  <c r="M17" i="48"/>
  <c r="L17" i="48"/>
  <c r="K17" i="48"/>
  <c r="A17" i="48" s="1"/>
  <c r="E17" i="48"/>
  <c r="O16" i="48"/>
  <c r="N16" i="48"/>
  <c r="M16" i="48"/>
  <c r="L16" i="48"/>
  <c r="K16" i="48"/>
  <c r="E16" i="48"/>
  <c r="A16" i="48"/>
  <c r="O14" i="48"/>
  <c r="E14" i="48" s="1"/>
  <c r="N14" i="48"/>
  <c r="M14" i="48"/>
  <c r="L14" i="48"/>
  <c r="K14" i="48"/>
  <c r="A14" i="48"/>
  <c r="O13" i="48"/>
  <c r="N13" i="48"/>
  <c r="M13" i="48"/>
  <c r="L13" i="48"/>
  <c r="K13" i="48"/>
  <c r="E13" i="48"/>
  <c r="A13" i="48"/>
  <c r="O12" i="48"/>
  <c r="E12" i="48" s="1"/>
  <c r="N12" i="48"/>
  <c r="M12" i="48"/>
  <c r="L12" i="48"/>
  <c r="K12" i="48"/>
  <c r="A12" i="48"/>
  <c r="Q11" i="48"/>
  <c r="P7" i="31" s="1"/>
  <c r="O11" i="48"/>
  <c r="N11" i="48"/>
  <c r="M11" i="48"/>
  <c r="L11" i="48"/>
  <c r="K11" i="48"/>
  <c r="A11" i="48" s="1"/>
  <c r="E11" i="48"/>
  <c r="O10" i="48"/>
  <c r="N10" i="48"/>
  <c r="M10" i="48"/>
  <c r="L10" i="48"/>
  <c r="K10" i="48"/>
  <c r="E10" i="48"/>
  <c r="A10" i="48"/>
  <c r="O9" i="48"/>
  <c r="E9" i="48" s="1"/>
  <c r="N9" i="48"/>
  <c r="M9" i="48"/>
  <c r="L9" i="48"/>
  <c r="K9" i="48"/>
  <c r="A9" i="48"/>
  <c r="O7" i="48"/>
  <c r="N7" i="48"/>
  <c r="M7" i="48"/>
  <c r="L7" i="48"/>
  <c r="K7" i="48"/>
  <c r="E7" i="48"/>
  <c r="A7" i="48"/>
  <c r="O6" i="48"/>
  <c r="N6" i="48"/>
  <c r="M6" i="48"/>
  <c r="L6" i="48"/>
  <c r="K6" i="48"/>
  <c r="E6" i="48"/>
  <c r="A6" i="48"/>
  <c r="O5" i="48"/>
  <c r="N5" i="48"/>
  <c r="M5" i="48"/>
  <c r="L5" i="48"/>
  <c r="K5" i="48"/>
  <c r="A5" i="48" s="1"/>
  <c r="E5" i="48"/>
  <c r="O4" i="48"/>
  <c r="N4" i="48"/>
  <c r="M4" i="48"/>
  <c r="L4" i="48"/>
  <c r="K4" i="48"/>
  <c r="E4" i="48"/>
  <c r="A4" i="48"/>
  <c r="O3" i="48"/>
  <c r="E3" i="48" s="1"/>
  <c r="N3" i="48"/>
  <c r="M3" i="48"/>
  <c r="L3" i="48"/>
  <c r="K3" i="48"/>
  <c r="A3" i="48"/>
  <c r="O2" i="48"/>
  <c r="N2" i="48"/>
  <c r="M2" i="48"/>
  <c r="L2" i="48"/>
  <c r="K2" i="48"/>
  <c r="E2" i="48"/>
  <c r="A2" i="48"/>
  <c r="O79" i="47"/>
  <c r="N79" i="47"/>
  <c r="M79" i="47"/>
  <c r="L79" i="47"/>
  <c r="K79" i="47"/>
  <c r="A79" i="47" s="1"/>
  <c r="E79" i="47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/>
  <c r="O75" i="47"/>
  <c r="E75" i="47" s="1"/>
  <c r="N75" i="47"/>
  <c r="M75" i="47"/>
  <c r="L75" i="47"/>
  <c r="K75" i="47"/>
  <c r="A75" i="47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N71" i="47"/>
  <c r="M71" i="47"/>
  <c r="L71" i="47"/>
  <c r="K71" i="47"/>
  <c r="E71" i="47"/>
  <c r="A71" i="47"/>
  <c r="O70" i="47"/>
  <c r="E70" i="47" s="1"/>
  <c r="N70" i="47"/>
  <c r="M70" i="47"/>
  <c r="L70" i="47"/>
  <c r="K70" i="47"/>
  <c r="A70" i="47"/>
  <c r="O69" i="47"/>
  <c r="E69" i="47" s="1"/>
  <c r="N69" i="47"/>
  <c r="M69" i="47"/>
  <c r="L69" i="47"/>
  <c r="K69" i="47"/>
  <c r="A69" i="47"/>
  <c r="A68" i="47"/>
  <c r="O66" i="47"/>
  <c r="N66" i="47"/>
  <c r="M66" i="47"/>
  <c r="L66" i="47"/>
  <c r="K66" i="47"/>
  <c r="A66" i="47" s="1"/>
  <c r="E66" i="47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/>
  <c r="O63" i="47"/>
  <c r="E63" i="47" s="1"/>
  <c r="N63" i="47"/>
  <c r="M63" i="47"/>
  <c r="L63" i="47"/>
  <c r="K63" i="47"/>
  <c r="A63" i="47"/>
  <c r="O62" i="47"/>
  <c r="N62" i="47"/>
  <c r="M62" i="47"/>
  <c r="L62" i="47"/>
  <c r="K62" i="47"/>
  <c r="A62" i="47" s="1"/>
  <c r="E62" i="47"/>
  <c r="O61" i="47"/>
  <c r="N61" i="47"/>
  <c r="M61" i="47"/>
  <c r="L61" i="47"/>
  <c r="K61" i="47"/>
  <c r="A61" i="47" s="1"/>
  <c r="E61" i="47"/>
  <c r="O60" i="47"/>
  <c r="E60" i="47" s="1"/>
  <c r="N60" i="47"/>
  <c r="M60" i="47"/>
  <c r="L60" i="47"/>
  <c r="K60" i="47"/>
  <c r="A60" i="47" s="1"/>
  <c r="O59" i="47"/>
  <c r="N59" i="47"/>
  <c r="M59" i="47"/>
  <c r="L59" i="47"/>
  <c r="K59" i="47"/>
  <c r="E59" i="47"/>
  <c r="A59" i="47"/>
  <c r="A58" i="47"/>
  <c r="O56" i="47"/>
  <c r="E56" i="47" s="1"/>
  <c r="N56" i="47"/>
  <c r="M56" i="47"/>
  <c r="L56" i="47"/>
  <c r="K56" i="47"/>
  <c r="A56" i="47"/>
  <c r="O55" i="47"/>
  <c r="E55" i="47" s="1"/>
  <c r="N55" i="47"/>
  <c r="M55" i="47"/>
  <c r="L55" i="47"/>
  <c r="K55" i="47"/>
  <c r="A55" i="47" s="1"/>
  <c r="O54" i="47"/>
  <c r="N54" i="47"/>
  <c r="M54" i="47"/>
  <c r="L54" i="47"/>
  <c r="K54" i="47"/>
  <c r="A54" i="47" s="1"/>
  <c r="E54" i="47"/>
  <c r="O53" i="47"/>
  <c r="E53" i="47" s="1"/>
  <c r="N53" i="47"/>
  <c r="M53" i="47"/>
  <c r="L53" i="47"/>
  <c r="K53" i="47"/>
  <c r="A53" i="47" s="1"/>
  <c r="O52" i="47"/>
  <c r="N52" i="47"/>
  <c r="M52" i="47"/>
  <c r="L52" i="47"/>
  <c r="K52" i="47"/>
  <c r="E52" i="47"/>
  <c r="A52" i="47"/>
  <c r="O51" i="47"/>
  <c r="E51" i="47" s="1"/>
  <c r="N51" i="47"/>
  <c r="M51" i="47"/>
  <c r="L51" i="47"/>
  <c r="K51" i="47"/>
  <c r="A51" i="47"/>
  <c r="O49" i="47"/>
  <c r="E49" i="47" s="1"/>
  <c r="N49" i="47"/>
  <c r="M49" i="47"/>
  <c r="L49" i="47"/>
  <c r="K49" i="47"/>
  <c r="A49" i="47" s="1"/>
  <c r="O48" i="47"/>
  <c r="N48" i="47"/>
  <c r="M48" i="47"/>
  <c r="L48" i="47"/>
  <c r="K48" i="47"/>
  <c r="A48" i="47" s="1"/>
  <c r="E48" i="47"/>
  <c r="O47" i="47"/>
  <c r="E47" i="47" s="1"/>
  <c r="N47" i="47"/>
  <c r="M47" i="47"/>
  <c r="L47" i="47"/>
  <c r="K47" i="47"/>
  <c r="A47" i="47" s="1"/>
  <c r="O46" i="47"/>
  <c r="N46" i="47"/>
  <c r="M46" i="47"/>
  <c r="L46" i="47"/>
  <c r="K46" i="47"/>
  <c r="E46" i="47"/>
  <c r="A46" i="47"/>
  <c r="O45" i="47"/>
  <c r="E45" i="47" s="1"/>
  <c r="N45" i="47"/>
  <c r="M45" i="47"/>
  <c r="L45" i="47"/>
  <c r="K45" i="47"/>
  <c r="A45" i="47"/>
  <c r="O44" i="47"/>
  <c r="E44" i="47" s="1"/>
  <c r="N44" i="47"/>
  <c r="M44" i="47"/>
  <c r="L44" i="47"/>
  <c r="K44" i="47"/>
  <c r="A44" i="47"/>
  <c r="O42" i="47"/>
  <c r="N42" i="47"/>
  <c r="M42" i="47"/>
  <c r="L42" i="47"/>
  <c r="K42" i="47"/>
  <c r="A42" i="47" s="1"/>
  <c r="E42" i="47"/>
  <c r="O41" i="47"/>
  <c r="E41" i="47" s="1"/>
  <c r="N41" i="47"/>
  <c r="M41" i="47"/>
  <c r="L41" i="47"/>
  <c r="K41" i="47"/>
  <c r="A41" i="47" s="1"/>
  <c r="O40" i="47"/>
  <c r="N40" i="47"/>
  <c r="M40" i="47"/>
  <c r="L40" i="47"/>
  <c r="K40" i="47"/>
  <c r="E40" i="47"/>
  <c r="A40" i="47"/>
  <c r="O39" i="47"/>
  <c r="E39" i="47" s="1"/>
  <c r="N39" i="47"/>
  <c r="M39" i="47"/>
  <c r="L39" i="47"/>
  <c r="K39" i="47"/>
  <c r="A39" i="47"/>
  <c r="O38" i="47"/>
  <c r="E38" i="47" s="1"/>
  <c r="N38" i="47"/>
  <c r="M38" i="47"/>
  <c r="L38" i="47"/>
  <c r="K38" i="47"/>
  <c r="A38" i="47"/>
  <c r="O37" i="47"/>
  <c r="N37" i="47"/>
  <c r="M37" i="47"/>
  <c r="L37" i="47"/>
  <c r="K37" i="47"/>
  <c r="E37" i="47"/>
  <c r="A37" i="47"/>
  <c r="O35" i="47"/>
  <c r="E35" i="47" s="1"/>
  <c r="N35" i="47"/>
  <c r="M35" i="47"/>
  <c r="L35" i="47"/>
  <c r="K35" i="47"/>
  <c r="A35" i="47" s="1"/>
  <c r="O34" i="47"/>
  <c r="N34" i="47"/>
  <c r="M34" i="47"/>
  <c r="L34" i="47"/>
  <c r="K34" i="47"/>
  <c r="E34" i="47"/>
  <c r="A34" i="47"/>
  <c r="O33" i="47"/>
  <c r="E33" i="47" s="1"/>
  <c r="N33" i="47"/>
  <c r="M33" i="47"/>
  <c r="L33" i="47"/>
  <c r="K33" i="47"/>
  <c r="A33" i="47"/>
  <c r="O32" i="47"/>
  <c r="E32" i="47" s="1"/>
  <c r="N32" i="47"/>
  <c r="M32" i="47"/>
  <c r="L32" i="47"/>
  <c r="K32" i="47"/>
  <c r="A32" i="47"/>
  <c r="O31" i="47"/>
  <c r="N31" i="47"/>
  <c r="M31" i="47"/>
  <c r="L31" i="47"/>
  <c r="K31" i="47"/>
  <c r="E31" i="47"/>
  <c r="A31" i="47"/>
  <c r="O30" i="47"/>
  <c r="N30" i="47"/>
  <c r="M30" i="47"/>
  <c r="L30" i="47"/>
  <c r="K30" i="47"/>
  <c r="A30" i="47" s="1"/>
  <c r="E30" i="47"/>
  <c r="O28" i="47"/>
  <c r="N28" i="47"/>
  <c r="M28" i="47"/>
  <c r="L28" i="47"/>
  <c r="K28" i="47"/>
  <c r="A28" i="47" s="1"/>
  <c r="E28" i="47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/>
  <c r="O25" i="47"/>
  <c r="E25" i="47" s="1"/>
  <c r="N25" i="47"/>
  <c r="M25" i="47"/>
  <c r="L25" i="47"/>
  <c r="K25" i="47"/>
  <c r="A25" i="47"/>
  <c r="O24" i="47"/>
  <c r="E24" i="47" s="1"/>
  <c r="N24" i="47"/>
  <c r="M24" i="47"/>
  <c r="L24" i="47"/>
  <c r="K24" i="47"/>
  <c r="A24" i="47" s="1"/>
  <c r="O23" i="47"/>
  <c r="N23" i="47"/>
  <c r="M23" i="47"/>
  <c r="L23" i="47"/>
  <c r="K23" i="47"/>
  <c r="A23" i="47" s="1"/>
  <c r="E23" i="47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/>
  <c r="O19" i="47"/>
  <c r="E19" i="47" s="1"/>
  <c r="N19" i="47"/>
  <c r="M19" i="47"/>
  <c r="L19" i="47"/>
  <c r="K19" i="47"/>
  <c r="A19" i="47"/>
  <c r="O18" i="47"/>
  <c r="E18" i="47" s="1"/>
  <c r="N18" i="47"/>
  <c r="M18" i="47"/>
  <c r="L18" i="47"/>
  <c r="K18" i="47"/>
  <c r="A18" i="47" s="1"/>
  <c r="O17" i="47"/>
  <c r="N17" i="47"/>
  <c r="M17" i="47"/>
  <c r="L17" i="47"/>
  <c r="K17" i="47"/>
  <c r="A17" i="47" s="1"/>
  <c r="E17" i="47"/>
  <c r="O16" i="47"/>
  <c r="E16" i="47" s="1"/>
  <c r="N16" i="47"/>
  <c r="M16" i="47"/>
  <c r="L16" i="47"/>
  <c r="K16" i="47"/>
  <c r="A16" i="47" s="1"/>
  <c r="O14" i="47"/>
  <c r="N14" i="47"/>
  <c r="M14" i="47"/>
  <c r="L14" i="47"/>
  <c r="K14" i="47"/>
  <c r="E14" i="47"/>
  <c r="A14" i="47"/>
  <c r="O13" i="47"/>
  <c r="E13" i="47" s="1"/>
  <c r="N13" i="47"/>
  <c r="M13" i="47"/>
  <c r="L13" i="47"/>
  <c r="K13" i="47"/>
  <c r="A13" i="47"/>
  <c r="O12" i="47"/>
  <c r="E12" i="47" s="1"/>
  <c r="N12" i="47"/>
  <c r="M12" i="47"/>
  <c r="L12" i="47"/>
  <c r="K12" i="47"/>
  <c r="A12" i="47"/>
  <c r="Q11" i="47"/>
  <c r="P6" i="31" s="1"/>
  <c r="O11" i="47"/>
  <c r="N11" i="47"/>
  <c r="M11" i="47"/>
  <c r="L11" i="47"/>
  <c r="K11" i="47"/>
  <c r="A11" i="47" s="1"/>
  <c r="E11" i="47"/>
  <c r="O10" i="47"/>
  <c r="E10" i="47" s="1"/>
  <c r="N10" i="47"/>
  <c r="M10" i="47"/>
  <c r="L10" i="47"/>
  <c r="K10" i="47"/>
  <c r="A10" i="47" s="1"/>
  <c r="O9" i="47"/>
  <c r="N9" i="47"/>
  <c r="M9" i="47"/>
  <c r="L9" i="47"/>
  <c r="K9" i="47"/>
  <c r="E9" i="47"/>
  <c r="A9" i="47"/>
  <c r="O7" i="47"/>
  <c r="E7" i="47" s="1"/>
  <c r="N7" i="47"/>
  <c r="M7" i="47"/>
  <c r="L7" i="47"/>
  <c r="K7" i="47"/>
  <c r="A7" i="47"/>
  <c r="O6" i="47"/>
  <c r="E6" i="47" s="1"/>
  <c r="N6" i="47"/>
  <c r="M6" i="47"/>
  <c r="L6" i="47"/>
  <c r="K6" i="47"/>
  <c r="A6" i="47" s="1"/>
  <c r="O5" i="47"/>
  <c r="N5" i="47"/>
  <c r="M5" i="47"/>
  <c r="L5" i="47"/>
  <c r="K5" i="47"/>
  <c r="A5" i="47" s="1"/>
  <c r="E5" i="47"/>
  <c r="O4" i="47"/>
  <c r="E4" i="47" s="1"/>
  <c r="N4" i="47"/>
  <c r="M4" i="47"/>
  <c r="L4" i="47"/>
  <c r="K4" i="47"/>
  <c r="A4" i="47" s="1"/>
  <c r="O3" i="47"/>
  <c r="N3" i="47"/>
  <c r="M3" i="47"/>
  <c r="L3" i="47"/>
  <c r="K3" i="47"/>
  <c r="E3" i="47"/>
  <c r="A3" i="47"/>
  <c r="O2" i="47"/>
  <c r="E2" i="47" s="1"/>
  <c r="N2" i="47"/>
  <c r="M2" i="47"/>
  <c r="L2" i="47"/>
  <c r="K2" i="47"/>
  <c r="A2" i="47"/>
  <c r="O79" i="46"/>
  <c r="N79" i="46"/>
  <c r="M79" i="46"/>
  <c r="L79" i="46"/>
  <c r="K79" i="46"/>
  <c r="E79" i="46"/>
  <c r="A79" i="46"/>
  <c r="A78" i="46"/>
  <c r="O77" i="46"/>
  <c r="N77" i="46"/>
  <c r="M77" i="46"/>
  <c r="L77" i="46"/>
  <c r="K77" i="46"/>
  <c r="O76" i="46"/>
  <c r="N76" i="46"/>
  <c r="M76" i="46"/>
  <c r="L76" i="46"/>
  <c r="K76" i="46"/>
  <c r="E76" i="46"/>
  <c r="A76" i="46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N72" i="46"/>
  <c r="M72" i="46"/>
  <c r="L72" i="46"/>
  <c r="K72" i="46"/>
  <c r="A72" i="46" s="1"/>
  <c r="E72" i="46"/>
  <c r="O71" i="46"/>
  <c r="E71" i="46" s="1"/>
  <c r="N71" i="46"/>
  <c r="M71" i="46"/>
  <c r="L71" i="46"/>
  <c r="K71" i="46"/>
  <c r="A71" i="46"/>
  <c r="O70" i="46"/>
  <c r="N70" i="46"/>
  <c r="M70" i="46"/>
  <c r="L70" i="46"/>
  <c r="K70" i="46"/>
  <c r="A70" i="46" s="1"/>
  <c r="E70" i="46"/>
  <c r="O69" i="46"/>
  <c r="E69" i="46" s="1"/>
  <c r="N69" i="46"/>
  <c r="M69" i="46"/>
  <c r="L69" i="46"/>
  <c r="K69" i="46"/>
  <c r="A69" i="46"/>
  <c r="A68" i="46"/>
  <c r="O66" i="46"/>
  <c r="E66" i="46" s="1"/>
  <c r="N66" i="46"/>
  <c r="M66" i="46"/>
  <c r="L66" i="46"/>
  <c r="K66" i="46"/>
  <c r="A66" i="46"/>
  <c r="O65" i="46"/>
  <c r="N65" i="46"/>
  <c r="M65" i="46"/>
  <c r="L65" i="46"/>
  <c r="K65" i="46"/>
  <c r="A65" i="46" s="1"/>
  <c r="E65" i="46"/>
  <c r="O64" i="46"/>
  <c r="N64" i="46"/>
  <c r="M64" i="46"/>
  <c r="L64" i="46"/>
  <c r="K64" i="46"/>
  <c r="E64" i="46"/>
  <c r="A64" i="46"/>
  <c r="O63" i="46"/>
  <c r="E63" i="46" s="1"/>
  <c r="N63" i="46"/>
  <c r="M63" i="46"/>
  <c r="L63" i="46"/>
  <c r="K63" i="46"/>
  <c r="A63" i="46"/>
  <c r="O62" i="46"/>
  <c r="N62" i="46"/>
  <c r="M62" i="46"/>
  <c r="L62" i="46"/>
  <c r="K62" i="46"/>
  <c r="E62" i="46"/>
  <c r="A62" i="46"/>
  <c r="O61" i="46"/>
  <c r="E61" i="46" s="1"/>
  <c r="N61" i="46"/>
  <c r="M61" i="46"/>
  <c r="L61" i="46"/>
  <c r="K61" i="46"/>
  <c r="A61" i="46" s="1"/>
  <c r="O60" i="46"/>
  <c r="N60" i="46"/>
  <c r="M60" i="46"/>
  <c r="L60" i="46"/>
  <c r="K60" i="46"/>
  <c r="A60" i="46" s="1"/>
  <c r="E60" i="46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/>
  <c r="O55" i="46"/>
  <c r="N55" i="46"/>
  <c r="M55" i="46"/>
  <c r="L55" i="46"/>
  <c r="K55" i="46"/>
  <c r="E55" i="46"/>
  <c r="A55" i="46"/>
  <c r="O54" i="46"/>
  <c r="E54" i="46" s="1"/>
  <c r="N54" i="46"/>
  <c r="M54" i="46"/>
  <c r="L54" i="46"/>
  <c r="K54" i="46"/>
  <c r="A54" i="46" s="1"/>
  <c r="O53" i="46"/>
  <c r="N53" i="46"/>
  <c r="M53" i="46"/>
  <c r="L53" i="46"/>
  <c r="K53" i="46"/>
  <c r="A53" i="46" s="1"/>
  <c r="E53" i="46"/>
  <c r="O52" i="46"/>
  <c r="E52" i="46" s="1"/>
  <c r="N52" i="46"/>
  <c r="M52" i="46"/>
  <c r="L52" i="46"/>
  <c r="K52" i="46"/>
  <c r="A52" i="46" s="1"/>
  <c r="O51" i="46"/>
  <c r="N51" i="46"/>
  <c r="M51" i="46"/>
  <c r="L51" i="46"/>
  <c r="K51" i="46"/>
  <c r="A51" i="46" s="1"/>
  <c r="E51" i="46"/>
  <c r="O49" i="46"/>
  <c r="N49" i="46"/>
  <c r="M49" i="46"/>
  <c r="L49" i="46"/>
  <c r="K49" i="46"/>
  <c r="E49" i="46"/>
  <c r="A49" i="46"/>
  <c r="O48" i="46"/>
  <c r="E48" i="46" s="1"/>
  <c r="N48" i="46"/>
  <c r="M48" i="46"/>
  <c r="L48" i="46"/>
  <c r="K48" i="46"/>
  <c r="A48" i="46" s="1"/>
  <c r="O47" i="46"/>
  <c r="N47" i="46"/>
  <c r="M47" i="46"/>
  <c r="L47" i="46"/>
  <c r="K47" i="46"/>
  <c r="A47" i="46" s="1"/>
  <c r="E47" i="46"/>
  <c r="O46" i="46"/>
  <c r="E46" i="46" s="1"/>
  <c r="N46" i="46"/>
  <c r="M46" i="46"/>
  <c r="L46" i="46"/>
  <c r="K46" i="46"/>
  <c r="A46" i="46" s="1"/>
  <c r="O45" i="46"/>
  <c r="N45" i="46"/>
  <c r="M45" i="46"/>
  <c r="L45" i="46"/>
  <c r="K45" i="46"/>
  <c r="A45" i="46" s="1"/>
  <c r="E45" i="46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N41" i="46"/>
  <c r="M41" i="46"/>
  <c r="L41" i="46"/>
  <c r="K41" i="46"/>
  <c r="A41" i="46" s="1"/>
  <c r="E41" i="46"/>
  <c r="O40" i="46"/>
  <c r="E40" i="46" s="1"/>
  <c r="N40" i="46"/>
  <c r="M40" i="46"/>
  <c r="L40" i="46"/>
  <c r="K40" i="46"/>
  <c r="A40" i="46"/>
  <c r="O39" i="46"/>
  <c r="N39" i="46"/>
  <c r="M39" i="46"/>
  <c r="L39" i="46"/>
  <c r="K39" i="46"/>
  <c r="A39" i="46" s="1"/>
  <c r="E39" i="46"/>
  <c r="O38" i="46"/>
  <c r="E38" i="46" s="1"/>
  <c r="N38" i="46"/>
  <c r="M38" i="46"/>
  <c r="L38" i="46"/>
  <c r="K38" i="46"/>
  <c r="A38" i="46" s="1"/>
  <c r="O37" i="46"/>
  <c r="N37" i="46"/>
  <c r="M37" i="46"/>
  <c r="L37" i="46"/>
  <c r="K37" i="46"/>
  <c r="A37" i="46" s="1"/>
  <c r="E37" i="46"/>
  <c r="O35" i="46"/>
  <c r="N35" i="46"/>
  <c r="M35" i="46"/>
  <c r="L35" i="46"/>
  <c r="K35" i="46"/>
  <c r="A35" i="46" s="1"/>
  <c r="E35" i="46"/>
  <c r="O34" i="46"/>
  <c r="E34" i="46" s="1"/>
  <c r="N34" i="46"/>
  <c r="M34" i="46"/>
  <c r="L34" i="46"/>
  <c r="K34" i="46"/>
  <c r="A34" i="46" s="1"/>
  <c r="O33" i="46"/>
  <c r="N33" i="46"/>
  <c r="M33" i="46"/>
  <c r="L33" i="46"/>
  <c r="K33" i="46"/>
  <c r="A33" i="46" s="1"/>
  <c r="E33" i="46"/>
  <c r="O32" i="46"/>
  <c r="E32" i="46" s="1"/>
  <c r="N32" i="46"/>
  <c r="M32" i="46"/>
  <c r="L32" i="46"/>
  <c r="K32" i="46"/>
  <c r="A32" i="46" s="1"/>
  <c r="O31" i="46"/>
  <c r="N31" i="46"/>
  <c r="M31" i="46"/>
  <c r="L31" i="46"/>
  <c r="K31" i="46"/>
  <c r="A31" i="46" s="1"/>
  <c r="E31" i="46"/>
  <c r="O30" i="46"/>
  <c r="N30" i="46"/>
  <c r="M30" i="46"/>
  <c r="L30" i="46"/>
  <c r="K30" i="46"/>
  <c r="E30" i="46"/>
  <c r="A30" i="46"/>
  <c r="O28" i="46"/>
  <c r="N28" i="46"/>
  <c r="M28" i="46"/>
  <c r="L28" i="46"/>
  <c r="K28" i="46"/>
  <c r="E28" i="46"/>
  <c r="A28" i="46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N25" i="46"/>
  <c r="M25" i="46"/>
  <c r="L25" i="46"/>
  <c r="K25" i="46"/>
  <c r="E25" i="46"/>
  <c r="A25" i="46"/>
  <c r="O24" i="46"/>
  <c r="E24" i="46" s="1"/>
  <c r="N24" i="46"/>
  <c r="M24" i="46"/>
  <c r="L24" i="46"/>
  <c r="K24" i="46"/>
  <c r="A24" i="46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N19" i="46"/>
  <c r="M19" i="46"/>
  <c r="L19" i="46"/>
  <c r="K19" i="46"/>
  <c r="E19" i="46"/>
  <c r="A19" i="46"/>
  <c r="O18" i="46"/>
  <c r="N18" i="46"/>
  <c r="M18" i="46"/>
  <c r="L18" i="46"/>
  <c r="K18" i="46"/>
  <c r="E18" i="46"/>
  <c r="A18" i="46"/>
  <c r="O17" i="46"/>
  <c r="E17" i="46" s="1"/>
  <c r="N17" i="46"/>
  <c r="M17" i="46"/>
  <c r="L17" i="46"/>
  <c r="K17" i="46"/>
  <c r="A17" i="46" s="1"/>
  <c r="O16" i="46"/>
  <c r="N16" i="46"/>
  <c r="M16" i="46"/>
  <c r="L16" i="46"/>
  <c r="K16" i="46"/>
  <c r="A16" i="46" s="1"/>
  <c r="E16" i="46"/>
  <c r="O14" i="46"/>
  <c r="E14" i="46" s="1"/>
  <c r="N14" i="46"/>
  <c r="M14" i="46"/>
  <c r="L14" i="46"/>
  <c r="K14" i="46"/>
  <c r="A14" i="46" s="1"/>
  <c r="O13" i="46"/>
  <c r="N13" i="46"/>
  <c r="M13" i="46"/>
  <c r="L13" i="46"/>
  <c r="K13" i="46"/>
  <c r="E13" i="46"/>
  <c r="A13" i="46"/>
  <c r="O12" i="46"/>
  <c r="E12" i="46" s="1"/>
  <c r="N12" i="46"/>
  <c r="M12" i="46"/>
  <c r="L12" i="46"/>
  <c r="K12" i="46"/>
  <c r="A12" i="46"/>
  <c r="Q11" i="46"/>
  <c r="P8" i="31" s="1"/>
  <c r="O11" i="46"/>
  <c r="E11" i="46" s="1"/>
  <c r="N11" i="46"/>
  <c r="M11" i="46"/>
  <c r="L11" i="46"/>
  <c r="K11" i="46"/>
  <c r="A11" i="46" s="1"/>
  <c r="O10" i="46"/>
  <c r="N10" i="46"/>
  <c r="M10" i="46"/>
  <c r="L10" i="46"/>
  <c r="K10" i="46"/>
  <c r="A10" i="46" s="1"/>
  <c r="E10" i="46"/>
  <c r="O9" i="46"/>
  <c r="N9" i="46"/>
  <c r="M9" i="46"/>
  <c r="L9" i="46"/>
  <c r="K9" i="46"/>
  <c r="A9" i="46" s="1"/>
  <c r="E9" i="46"/>
  <c r="O7" i="46"/>
  <c r="N7" i="46"/>
  <c r="M7" i="46"/>
  <c r="L7" i="46"/>
  <c r="K7" i="46"/>
  <c r="E7" i="46"/>
  <c r="A7" i="46"/>
  <c r="O6" i="46"/>
  <c r="N6" i="46"/>
  <c r="M6" i="46"/>
  <c r="L6" i="46"/>
  <c r="K6" i="46"/>
  <c r="E6" i="46"/>
  <c r="A6" i="46"/>
  <c r="O5" i="46"/>
  <c r="E5" i="46" s="1"/>
  <c r="N5" i="46"/>
  <c r="M5" i="46"/>
  <c r="L5" i="46"/>
  <c r="K5" i="46"/>
  <c r="A5" i="46" s="1"/>
  <c r="O4" i="46"/>
  <c r="N4" i="46"/>
  <c r="M4" i="46"/>
  <c r="L4" i="46"/>
  <c r="K4" i="46"/>
  <c r="A4" i="46" s="1"/>
  <c r="E4" i="46"/>
  <c r="O3" i="46"/>
  <c r="N3" i="46"/>
  <c r="M3" i="46"/>
  <c r="L3" i="46"/>
  <c r="K3" i="46"/>
  <c r="A3" i="46" s="1"/>
  <c r="E3" i="46"/>
  <c r="O2" i="46"/>
  <c r="N2" i="46"/>
  <c r="M2" i="46"/>
  <c r="L2" i="46"/>
  <c r="K2" i="46"/>
  <c r="E2" i="46"/>
  <c r="A2" i="46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/>
  <c r="O75" i="45"/>
  <c r="E75" i="45" s="1"/>
  <c r="N75" i="45"/>
  <c r="M75" i="45"/>
  <c r="L75" i="45"/>
  <c r="K75" i="45"/>
  <c r="A75" i="45"/>
  <c r="A74" i="45"/>
  <c r="O73" i="45"/>
  <c r="N73" i="45"/>
  <c r="M73" i="45"/>
  <c r="L73" i="45"/>
  <c r="K73" i="45"/>
  <c r="O72" i="45"/>
  <c r="N72" i="45"/>
  <c r="M72" i="45"/>
  <c r="L72" i="45"/>
  <c r="K72" i="45"/>
  <c r="A72" i="45" s="1"/>
  <c r="E72" i="45"/>
  <c r="O71" i="45"/>
  <c r="N71" i="45"/>
  <c r="M71" i="45"/>
  <c r="L71" i="45"/>
  <c r="K71" i="45"/>
  <c r="E71" i="45"/>
  <c r="A71" i="45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/>
  <c r="A68" i="45"/>
  <c r="O66" i="45"/>
  <c r="N66" i="45"/>
  <c r="M66" i="45"/>
  <c r="L66" i="45"/>
  <c r="K66" i="45"/>
  <c r="A66" i="45" s="1"/>
  <c r="E66" i="45"/>
  <c r="O65" i="45"/>
  <c r="E65" i="45" s="1"/>
  <c r="N65" i="45"/>
  <c r="M65" i="45"/>
  <c r="L65" i="45"/>
  <c r="K65" i="45"/>
  <c r="A65" i="45" s="1"/>
  <c r="O64" i="45"/>
  <c r="N64" i="45"/>
  <c r="M64" i="45"/>
  <c r="L64" i="45"/>
  <c r="K64" i="45"/>
  <c r="E64" i="45"/>
  <c r="A64" i="45"/>
  <c r="O63" i="45"/>
  <c r="E63" i="45" s="1"/>
  <c r="N63" i="45"/>
  <c r="M63" i="45"/>
  <c r="L63" i="45"/>
  <c r="K63" i="45"/>
  <c r="A63" i="45"/>
  <c r="O62" i="45"/>
  <c r="N62" i="45"/>
  <c r="M62" i="45"/>
  <c r="L62" i="45"/>
  <c r="K62" i="45"/>
  <c r="A62" i="45" s="1"/>
  <c r="E62" i="45"/>
  <c r="O61" i="45"/>
  <c r="E61" i="45" s="1"/>
  <c r="N61" i="45"/>
  <c r="M61" i="45"/>
  <c r="L61" i="45"/>
  <c r="K61" i="45"/>
  <c r="A61" i="45"/>
  <c r="O60" i="45"/>
  <c r="N60" i="45"/>
  <c r="M60" i="45"/>
  <c r="L60" i="45"/>
  <c r="K60" i="45"/>
  <c r="A60" i="45" s="1"/>
  <c r="E60" i="45"/>
  <c r="O59" i="45"/>
  <c r="N59" i="45"/>
  <c r="M59" i="45"/>
  <c r="L59" i="45"/>
  <c r="K59" i="45"/>
  <c r="E59" i="45"/>
  <c r="A59" i="45"/>
  <c r="A58" i="45"/>
  <c r="O56" i="45"/>
  <c r="E56" i="45" s="1"/>
  <c r="N56" i="45"/>
  <c r="M56" i="45"/>
  <c r="L56" i="45"/>
  <c r="K56" i="45"/>
  <c r="A56" i="45"/>
  <c r="O55" i="45"/>
  <c r="N55" i="45"/>
  <c r="M55" i="45"/>
  <c r="L55" i="45"/>
  <c r="K55" i="45"/>
  <c r="A55" i="45" s="1"/>
  <c r="E55" i="45"/>
  <c r="O54" i="45"/>
  <c r="E54" i="45" s="1"/>
  <c r="N54" i="45"/>
  <c r="M54" i="45"/>
  <c r="L54" i="45"/>
  <c r="K54" i="45"/>
  <c r="A54" i="45"/>
  <c r="O53" i="45"/>
  <c r="N53" i="45"/>
  <c r="M53" i="45"/>
  <c r="L53" i="45"/>
  <c r="K53" i="45"/>
  <c r="A53" i="45" s="1"/>
  <c r="E53" i="45"/>
  <c r="O52" i="45"/>
  <c r="N52" i="45"/>
  <c r="M52" i="45"/>
  <c r="L52" i="45"/>
  <c r="K52" i="45"/>
  <c r="A52" i="45" s="1"/>
  <c r="E52" i="45"/>
  <c r="O51" i="45"/>
  <c r="E51" i="45" s="1"/>
  <c r="N51" i="45"/>
  <c r="M51" i="45"/>
  <c r="L51" i="45"/>
  <c r="K51" i="45"/>
  <c r="A51" i="45" s="1"/>
  <c r="O49" i="45"/>
  <c r="N49" i="45"/>
  <c r="M49" i="45"/>
  <c r="L49" i="45"/>
  <c r="K49" i="45"/>
  <c r="A49" i="45" s="1"/>
  <c r="E49" i="45"/>
  <c r="O48" i="45"/>
  <c r="E48" i="45" s="1"/>
  <c r="N48" i="45"/>
  <c r="M48" i="45"/>
  <c r="L48" i="45"/>
  <c r="K48" i="45"/>
  <c r="A48" i="45"/>
  <c r="O47" i="45"/>
  <c r="N47" i="45"/>
  <c r="M47" i="45"/>
  <c r="L47" i="45"/>
  <c r="K47" i="45"/>
  <c r="A47" i="45" s="1"/>
  <c r="E47" i="45"/>
  <c r="O46" i="45"/>
  <c r="N46" i="45"/>
  <c r="M46" i="45"/>
  <c r="L46" i="45"/>
  <c r="K46" i="45"/>
  <c r="A46" i="45" s="1"/>
  <c r="E46" i="45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/>
  <c r="O42" i="45"/>
  <c r="E42" i="45" s="1"/>
  <c r="N42" i="45"/>
  <c r="M42" i="45"/>
  <c r="L42" i="45"/>
  <c r="K42" i="45"/>
  <c r="A42" i="45"/>
  <c r="O41" i="45"/>
  <c r="N41" i="45"/>
  <c r="M41" i="45"/>
  <c r="L41" i="45"/>
  <c r="K41" i="45"/>
  <c r="A41" i="45" s="1"/>
  <c r="E41" i="45"/>
  <c r="O40" i="45"/>
  <c r="N40" i="45"/>
  <c r="M40" i="45"/>
  <c r="L40" i="45"/>
  <c r="K40" i="45"/>
  <c r="A40" i="45" s="1"/>
  <c r="E40" i="45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/>
  <c r="O37" i="45"/>
  <c r="N37" i="45"/>
  <c r="M37" i="45"/>
  <c r="L37" i="45"/>
  <c r="K37" i="45"/>
  <c r="E37" i="45"/>
  <c r="A37" i="45"/>
  <c r="O35" i="45"/>
  <c r="N35" i="45"/>
  <c r="M35" i="45"/>
  <c r="L35" i="45"/>
  <c r="K35" i="45"/>
  <c r="A35" i="45" s="1"/>
  <c r="E35" i="45"/>
  <c r="O34" i="45"/>
  <c r="N34" i="45"/>
  <c r="M34" i="45"/>
  <c r="L34" i="45"/>
  <c r="K34" i="45"/>
  <c r="A34" i="45" s="1"/>
  <c r="E34" i="45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/>
  <c r="O31" i="45"/>
  <c r="N31" i="45"/>
  <c r="M31" i="45"/>
  <c r="L31" i="45"/>
  <c r="K31" i="45"/>
  <c r="E31" i="45"/>
  <c r="A31" i="45"/>
  <c r="O30" i="45"/>
  <c r="E30" i="45" s="1"/>
  <c r="N30" i="45"/>
  <c r="M30" i="45"/>
  <c r="L30" i="45"/>
  <c r="K30" i="45"/>
  <c r="A30" i="45" s="1"/>
  <c r="O28" i="45"/>
  <c r="N28" i="45"/>
  <c r="M28" i="45"/>
  <c r="L28" i="45"/>
  <c r="K28" i="45"/>
  <c r="E28" i="45"/>
  <c r="A28" i="45"/>
  <c r="O27" i="45"/>
  <c r="E27" i="45" s="1"/>
  <c r="N27" i="45"/>
  <c r="M27" i="45"/>
  <c r="L27" i="45"/>
  <c r="K27" i="45"/>
  <c r="A27" i="45" s="1"/>
  <c r="O26" i="45"/>
  <c r="N26" i="45"/>
  <c r="M26" i="45"/>
  <c r="L26" i="45"/>
  <c r="K26" i="45"/>
  <c r="E26" i="45"/>
  <c r="A26" i="45"/>
  <c r="O25" i="45"/>
  <c r="E25" i="45" s="1"/>
  <c r="N25" i="45"/>
  <c r="M25" i="45"/>
  <c r="L25" i="45"/>
  <c r="K25" i="45"/>
  <c r="A25" i="45"/>
  <c r="O24" i="45"/>
  <c r="N24" i="45"/>
  <c r="M24" i="45"/>
  <c r="L24" i="45"/>
  <c r="K24" i="45"/>
  <c r="A24" i="45" s="1"/>
  <c r="E24" i="45"/>
  <c r="O23" i="45"/>
  <c r="E23" i="45" s="1"/>
  <c r="N23" i="45"/>
  <c r="M23" i="45"/>
  <c r="L23" i="45"/>
  <c r="K23" i="45"/>
  <c r="A23" i="45"/>
  <c r="O21" i="45"/>
  <c r="E21" i="45" s="1"/>
  <c r="N21" i="45"/>
  <c r="M21" i="45"/>
  <c r="L21" i="45"/>
  <c r="K21" i="45"/>
  <c r="A21" i="45" s="1"/>
  <c r="O20" i="45"/>
  <c r="N20" i="45"/>
  <c r="M20" i="45"/>
  <c r="L20" i="45"/>
  <c r="K20" i="45"/>
  <c r="E20" i="45"/>
  <c r="A20" i="45"/>
  <c r="O19" i="45"/>
  <c r="E19" i="45" s="1"/>
  <c r="N19" i="45"/>
  <c r="M19" i="45"/>
  <c r="L19" i="45"/>
  <c r="K19" i="45"/>
  <c r="A19" i="45"/>
  <c r="O18" i="45"/>
  <c r="N18" i="45"/>
  <c r="M18" i="45"/>
  <c r="L18" i="45"/>
  <c r="K18" i="45"/>
  <c r="A18" i="45" s="1"/>
  <c r="E18" i="45"/>
  <c r="O17" i="45"/>
  <c r="E17" i="45" s="1"/>
  <c r="N17" i="45"/>
  <c r="M17" i="45"/>
  <c r="L17" i="45"/>
  <c r="K17" i="45"/>
  <c r="A17" i="45"/>
  <c r="O16" i="45"/>
  <c r="N16" i="45"/>
  <c r="M16" i="45"/>
  <c r="L16" i="45"/>
  <c r="K16" i="45"/>
  <c r="A16" i="45" s="1"/>
  <c r="E16" i="45"/>
  <c r="O14" i="45"/>
  <c r="N14" i="45"/>
  <c r="M14" i="45"/>
  <c r="L14" i="45"/>
  <c r="K14" i="45"/>
  <c r="A14" i="45" s="1"/>
  <c r="E14" i="45"/>
  <c r="O13" i="45"/>
  <c r="E13" i="45" s="1"/>
  <c r="N13" i="45"/>
  <c r="M13" i="45"/>
  <c r="L13" i="45"/>
  <c r="K13" i="45"/>
  <c r="A13" i="45"/>
  <c r="O12" i="45"/>
  <c r="E12" i="45" s="1"/>
  <c r="N12" i="45"/>
  <c r="M12" i="45"/>
  <c r="L12" i="45"/>
  <c r="K12" i="45"/>
  <c r="A12" i="45"/>
  <c r="Q11" i="45"/>
  <c r="O11" i="45"/>
  <c r="E11" i="45" s="1"/>
  <c r="N11" i="45"/>
  <c r="M11" i="45"/>
  <c r="L11" i="45"/>
  <c r="K11" i="45"/>
  <c r="A11" i="45"/>
  <c r="O10" i="45"/>
  <c r="N10" i="45"/>
  <c r="M10" i="45"/>
  <c r="L10" i="45"/>
  <c r="K10" i="45"/>
  <c r="A10" i="45" s="1"/>
  <c r="E10" i="45"/>
  <c r="O9" i="45"/>
  <c r="N9" i="45"/>
  <c r="M9" i="45"/>
  <c r="L9" i="45"/>
  <c r="K9" i="45"/>
  <c r="E9" i="45"/>
  <c r="A9" i="45"/>
  <c r="O7" i="45"/>
  <c r="E7" i="45" s="1"/>
  <c r="N7" i="45"/>
  <c r="M7" i="45"/>
  <c r="L7" i="45"/>
  <c r="K7" i="45"/>
  <c r="A7" i="45"/>
  <c r="O6" i="45"/>
  <c r="N6" i="45"/>
  <c r="M6" i="45"/>
  <c r="L6" i="45"/>
  <c r="K6" i="45"/>
  <c r="A6" i="45" s="1"/>
  <c r="E6" i="45"/>
  <c r="O5" i="45"/>
  <c r="N5" i="45"/>
  <c r="M5" i="45"/>
  <c r="L5" i="45"/>
  <c r="K5" i="45"/>
  <c r="A5" i="45" s="1"/>
  <c r="E5" i="45"/>
  <c r="O4" i="45"/>
  <c r="E4" i="45" s="1"/>
  <c r="N4" i="45"/>
  <c r="M4" i="45"/>
  <c r="L4" i="45"/>
  <c r="K4" i="45"/>
  <c r="A4" i="45"/>
  <c r="O3" i="45"/>
  <c r="N3" i="45"/>
  <c r="M3" i="45"/>
  <c r="L3" i="45"/>
  <c r="K3" i="45"/>
  <c r="A3" i="45" s="1"/>
  <c r="E3" i="45"/>
  <c r="O2" i="45"/>
  <c r="N2" i="45"/>
  <c r="M2" i="45"/>
  <c r="L2" i="45"/>
  <c r="K2" i="45"/>
  <c r="A2" i="45" s="1"/>
  <c r="E2" i="45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N76" i="44"/>
  <c r="M76" i="44"/>
  <c r="L76" i="44"/>
  <c r="K76" i="44"/>
  <c r="A76" i="44" s="1"/>
  <c r="E76" i="44"/>
  <c r="O75" i="44"/>
  <c r="E75" i="44" s="1"/>
  <c r="N75" i="44"/>
  <c r="M75" i="44"/>
  <c r="L75" i="44"/>
  <c r="K75" i="44"/>
  <c r="A75" i="44"/>
  <c r="A74" i="44"/>
  <c r="O73" i="44"/>
  <c r="N73" i="44"/>
  <c r="M73" i="44"/>
  <c r="L73" i="44"/>
  <c r="K73" i="44"/>
  <c r="O72" i="44"/>
  <c r="N72" i="44"/>
  <c r="M72" i="44"/>
  <c r="L72" i="44"/>
  <c r="K72" i="44"/>
  <c r="E72" i="44"/>
  <c r="A72" i="44"/>
  <c r="O71" i="44"/>
  <c r="E71" i="44" s="1"/>
  <c r="N71" i="44"/>
  <c r="M71" i="44"/>
  <c r="L71" i="44"/>
  <c r="K71" i="44"/>
  <c r="A71" i="44" s="1"/>
  <c r="O70" i="44"/>
  <c r="N70" i="44"/>
  <c r="M70" i="44"/>
  <c r="L70" i="44"/>
  <c r="K70" i="44"/>
  <c r="A70" i="44" s="1"/>
  <c r="E70" i="44"/>
  <c r="O69" i="44"/>
  <c r="N69" i="44"/>
  <c r="M69" i="44"/>
  <c r="L69" i="44"/>
  <c r="K69" i="44"/>
  <c r="E69" i="44"/>
  <c r="A69" i="44"/>
  <c r="A68" i="44"/>
  <c r="O66" i="44"/>
  <c r="E66" i="44" s="1"/>
  <c r="N66" i="44"/>
  <c r="M66" i="44"/>
  <c r="L66" i="44"/>
  <c r="K66" i="44"/>
  <c r="A66" i="44"/>
  <c r="O65" i="44"/>
  <c r="N65" i="44"/>
  <c r="M65" i="44"/>
  <c r="L65" i="44"/>
  <c r="K65" i="44"/>
  <c r="A65" i="44" s="1"/>
  <c r="E65" i="44"/>
  <c r="O64" i="44"/>
  <c r="N64" i="44"/>
  <c r="M64" i="44"/>
  <c r="L64" i="44"/>
  <c r="K64" i="44"/>
  <c r="E64" i="44"/>
  <c r="A64" i="44"/>
  <c r="O63" i="44"/>
  <c r="E63" i="44" s="1"/>
  <c r="N63" i="44"/>
  <c r="M63" i="44"/>
  <c r="L63" i="44"/>
  <c r="K63" i="44"/>
  <c r="A63" i="44" s="1"/>
  <c r="O62" i="44"/>
  <c r="N62" i="44"/>
  <c r="M62" i="44"/>
  <c r="L62" i="44"/>
  <c r="K62" i="44"/>
  <c r="E62" i="44"/>
  <c r="A62" i="44"/>
  <c r="O61" i="44"/>
  <c r="E61" i="44" s="1"/>
  <c r="N61" i="44"/>
  <c r="M61" i="44"/>
  <c r="L61" i="44"/>
  <c r="K61" i="44"/>
  <c r="A61" i="44"/>
  <c r="O60" i="44"/>
  <c r="N60" i="44"/>
  <c r="M60" i="44"/>
  <c r="L60" i="44"/>
  <c r="K60" i="44"/>
  <c r="E60" i="44"/>
  <c r="A60" i="44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N55" i="44"/>
  <c r="M55" i="44"/>
  <c r="L55" i="44"/>
  <c r="K55" i="44"/>
  <c r="A55" i="44" s="1"/>
  <c r="E55" i="44"/>
  <c r="O54" i="44"/>
  <c r="E54" i="44" s="1"/>
  <c r="N54" i="44"/>
  <c r="M54" i="44"/>
  <c r="L54" i="44"/>
  <c r="K54" i="44"/>
  <c r="A54" i="44"/>
  <c r="O53" i="44"/>
  <c r="N53" i="44"/>
  <c r="M53" i="44"/>
  <c r="L53" i="44"/>
  <c r="K53" i="44"/>
  <c r="E53" i="44"/>
  <c r="A53" i="44"/>
  <c r="O52" i="44"/>
  <c r="E52" i="44" s="1"/>
  <c r="N52" i="44"/>
  <c r="M52" i="44"/>
  <c r="L52" i="44"/>
  <c r="K52" i="44"/>
  <c r="A52" i="44" s="1"/>
  <c r="O51" i="44"/>
  <c r="N51" i="44"/>
  <c r="M51" i="44"/>
  <c r="L51" i="44"/>
  <c r="K51" i="44"/>
  <c r="A51" i="44" s="1"/>
  <c r="E51" i="44"/>
  <c r="O49" i="44"/>
  <c r="N49" i="44"/>
  <c r="M49" i="44"/>
  <c r="L49" i="44"/>
  <c r="K49" i="44"/>
  <c r="A49" i="44" s="1"/>
  <c r="E49" i="44"/>
  <c r="O48" i="44"/>
  <c r="E48" i="44" s="1"/>
  <c r="N48" i="44"/>
  <c r="M48" i="44"/>
  <c r="L48" i="44"/>
  <c r="K48" i="44"/>
  <c r="A48" i="44"/>
  <c r="O47" i="44"/>
  <c r="N47" i="44"/>
  <c r="M47" i="44"/>
  <c r="L47" i="44"/>
  <c r="K47" i="44"/>
  <c r="E47" i="44"/>
  <c r="A47" i="44"/>
  <c r="O46" i="44"/>
  <c r="E46" i="44" s="1"/>
  <c r="N46" i="44"/>
  <c r="M46" i="44"/>
  <c r="L46" i="44"/>
  <c r="K46" i="44"/>
  <c r="A46" i="44" s="1"/>
  <c r="O45" i="44"/>
  <c r="N45" i="44"/>
  <c r="M45" i="44"/>
  <c r="L45" i="44"/>
  <c r="K45" i="44"/>
  <c r="A45" i="44" s="1"/>
  <c r="E45" i="44"/>
  <c r="O44" i="44"/>
  <c r="N44" i="44"/>
  <c r="M44" i="44"/>
  <c r="L44" i="44"/>
  <c r="K44" i="44"/>
  <c r="E44" i="44"/>
  <c r="A44" i="44"/>
  <c r="O42" i="44"/>
  <c r="E42" i="44" s="1"/>
  <c r="N42" i="44"/>
  <c r="M42" i="44"/>
  <c r="L42" i="44"/>
  <c r="K42" i="44"/>
  <c r="A42" i="44"/>
  <c r="O41" i="44"/>
  <c r="N41" i="44"/>
  <c r="M41" i="44"/>
  <c r="L41" i="44"/>
  <c r="K41" i="44"/>
  <c r="E41" i="44"/>
  <c r="A41" i="44"/>
  <c r="O40" i="44"/>
  <c r="E40" i="44" s="1"/>
  <c r="N40" i="44"/>
  <c r="M40" i="44"/>
  <c r="L40" i="44"/>
  <c r="K40" i="44"/>
  <c r="A40" i="44" s="1"/>
  <c r="O39" i="44"/>
  <c r="N39" i="44"/>
  <c r="M39" i="44"/>
  <c r="L39" i="44"/>
  <c r="K39" i="44"/>
  <c r="A39" i="44" s="1"/>
  <c r="E39" i="44"/>
  <c r="O38" i="44"/>
  <c r="N38" i="44"/>
  <c r="M38" i="44"/>
  <c r="L38" i="44"/>
  <c r="K38" i="44"/>
  <c r="E38" i="44"/>
  <c r="A38" i="44"/>
  <c r="O37" i="44"/>
  <c r="E37" i="44" s="1"/>
  <c r="N37" i="44"/>
  <c r="M37" i="44"/>
  <c r="L37" i="44"/>
  <c r="K37" i="44"/>
  <c r="A37" i="44"/>
  <c r="O35" i="44"/>
  <c r="N35" i="44"/>
  <c r="M35" i="44"/>
  <c r="L35" i="44"/>
  <c r="K35" i="44"/>
  <c r="E35" i="44"/>
  <c r="A35" i="44"/>
  <c r="O34" i="44"/>
  <c r="E34" i="44" s="1"/>
  <c r="N34" i="44"/>
  <c r="M34" i="44"/>
  <c r="L34" i="44"/>
  <c r="K34" i="44"/>
  <c r="A34" i="44" s="1"/>
  <c r="O33" i="44"/>
  <c r="N33" i="44"/>
  <c r="M33" i="44"/>
  <c r="L33" i="44"/>
  <c r="K33" i="44"/>
  <c r="A33" i="44" s="1"/>
  <c r="E33" i="44"/>
  <c r="O32" i="44"/>
  <c r="N32" i="44"/>
  <c r="M32" i="44"/>
  <c r="L32" i="44"/>
  <c r="K32" i="44"/>
  <c r="E32" i="44"/>
  <c r="A32" i="44"/>
  <c r="O31" i="44"/>
  <c r="E31" i="44" s="1"/>
  <c r="N31" i="44"/>
  <c r="M31" i="44"/>
  <c r="L31" i="44"/>
  <c r="K31" i="44"/>
  <c r="A31" i="44"/>
  <c r="O30" i="44"/>
  <c r="E30" i="44" s="1"/>
  <c r="N30" i="44"/>
  <c r="M30" i="44"/>
  <c r="L30" i="44"/>
  <c r="K30" i="44"/>
  <c r="A30" i="44"/>
  <c r="O28" i="44"/>
  <c r="E28" i="44" s="1"/>
  <c r="N28" i="44"/>
  <c r="M28" i="44"/>
  <c r="L28" i="44"/>
  <c r="K28" i="44"/>
  <c r="A28" i="44" s="1"/>
  <c r="O27" i="44"/>
  <c r="N27" i="44"/>
  <c r="M27" i="44"/>
  <c r="L27" i="44"/>
  <c r="K27" i="44"/>
  <c r="A27" i="44" s="1"/>
  <c r="E27" i="44"/>
  <c r="O26" i="44"/>
  <c r="N26" i="44"/>
  <c r="M26" i="44"/>
  <c r="L26" i="44"/>
  <c r="K26" i="44"/>
  <c r="E26" i="44"/>
  <c r="A26" i="44"/>
  <c r="O25" i="44"/>
  <c r="E25" i="44" s="1"/>
  <c r="N25" i="44"/>
  <c r="M25" i="44"/>
  <c r="L25" i="44"/>
  <c r="K25" i="44"/>
  <c r="A25" i="44" s="1"/>
  <c r="O24" i="44"/>
  <c r="N24" i="44"/>
  <c r="M24" i="44"/>
  <c r="L24" i="44"/>
  <c r="K24" i="44"/>
  <c r="A24" i="44" s="1"/>
  <c r="E24" i="44"/>
  <c r="O23" i="44"/>
  <c r="E23" i="44" s="1"/>
  <c r="N23" i="44"/>
  <c r="M23" i="44"/>
  <c r="L23" i="44"/>
  <c r="K23" i="44"/>
  <c r="A23" i="44"/>
  <c r="O21" i="44"/>
  <c r="N21" i="44"/>
  <c r="M21" i="44"/>
  <c r="L21" i="44"/>
  <c r="K21" i="44"/>
  <c r="A21" i="44" s="1"/>
  <c r="E21" i="44"/>
  <c r="O20" i="44"/>
  <c r="N20" i="44"/>
  <c r="M20" i="44"/>
  <c r="L20" i="44"/>
  <c r="K20" i="44"/>
  <c r="E20" i="44"/>
  <c r="A20" i="44"/>
  <c r="O19" i="44"/>
  <c r="E19" i="44" s="1"/>
  <c r="N19" i="44"/>
  <c r="M19" i="44"/>
  <c r="L19" i="44"/>
  <c r="K19" i="44"/>
  <c r="A19" i="44" s="1"/>
  <c r="O18" i="44"/>
  <c r="N18" i="44"/>
  <c r="M18" i="44"/>
  <c r="L18" i="44"/>
  <c r="K18" i="44"/>
  <c r="A18" i="44" s="1"/>
  <c r="E18" i="44"/>
  <c r="O17" i="44"/>
  <c r="E17" i="44" s="1"/>
  <c r="N17" i="44"/>
  <c r="M17" i="44"/>
  <c r="L17" i="44"/>
  <c r="K17" i="44"/>
  <c r="A17" i="44"/>
  <c r="O16" i="44"/>
  <c r="N16" i="44"/>
  <c r="M16" i="44"/>
  <c r="L16" i="44"/>
  <c r="K16" i="44"/>
  <c r="E16" i="44"/>
  <c r="A16" i="44"/>
  <c r="O14" i="44"/>
  <c r="E14" i="44" s="1"/>
  <c r="N14" i="44"/>
  <c r="M14" i="44"/>
  <c r="L14" i="44"/>
  <c r="K14" i="44"/>
  <c r="A14" i="44" s="1"/>
  <c r="O13" i="44"/>
  <c r="N13" i="44"/>
  <c r="M13" i="44"/>
  <c r="L13" i="44"/>
  <c r="K13" i="44"/>
  <c r="A13" i="44" s="1"/>
  <c r="E13" i="44"/>
  <c r="O12" i="44"/>
  <c r="N12" i="44"/>
  <c r="M12" i="44"/>
  <c r="L12" i="44"/>
  <c r="K12" i="44"/>
  <c r="E12" i="44"/>
  <c r="A12" i="44"/>
  <c r="Q11" i="44"/>
  <c r="P5" i="31" s="1"/>
  <c r="O11" i="44"/>
  <c r="E11" i="44" s="1"/>
  <c r="N11" i="44"/>
  <c r="M11" i="44"/>
  <c r="L11" i="44"/>
  <c r="K11" i="44"/>
  <c r="A11" i="44"/>
  <c r="O10" i="44"/>
  <c r="N10" i="44"/>
  <c r="M10" i="44"/>
  <c r="L10" i="44"/>
  <c r="K10" i="44"/>
  <c r="E10" i="44"/>
  <c r="A10" i="44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N6" i="44"/>
  <c r="M6" i="44"/>
  <c r="L6" i="44"/>
  <c r="K6" i="44"/>
  <c r="E6" i="44"/>
  <c r="A6" i="44"/>
  <c r="O5" i="44"/>
  <c r="E5" i="44" s="1"/>
  <c r="N5" i="44"/>
  <c r="M5" i="44"/>
  <c r="L5" i="44"/>
  <c r="K5" i="44"/>
  <c r="A5" i="44"/>
  <c r="O4" i="44"/>
  <c r="E4" i="44" s="1"/>
  <c r="N4" i="44"/>
  <c r="M4" i="44"/>
  <c r="L4" i="44"/>
  <c r="K4" i="44"/>
  <c r="A4" i="44" s="1"/>
  <c r="O3" i="44"/>
  <c r="N3" i="44"/>
  <c r="M3" i="44"/>
  <c r="L3" i="44"/>
  <c r="K3" i="44"/>
  <c r="E3" i="44"/>
  <c r="A3" i="44"/>
  <c r="O2" i="44"/>
  <c r="E2" i="44" s="1"/>
  <c r="N2" i="44"/>
  <c r="M2" i="44"/>
  <c r="L2" i="44"/>
  <c r="K2" i="44"/>
  <c r="A2" i="44"/>
  <c r="A75" i="3"/>
  <c r="E79" i="3"/>
  <c r="A79" i="3"/>
  <c r="A58" i="3"/>
  <c r="Q11" i="3"/>
  <c r="P3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L79" i="3"/>
  <c r="M79" i="3"/>
  <c r="N79" i="3"/>
  <c r="O79" i="3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C3" i="31"/>
  <c r="I3" i="31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L10" i="31" l="1"/>
  <c r="L11" i="31"/>
  <c r="L7" i="31"/>
  <c r="L6" i="31"/>
  <c r="L18" i="31"/>
  <c r="L12" i="31"/>
  <c r="L8" i="31"/>
  <c r="L20" i="31"/>
  <c r="L19" i="31"/>
  <c r="L9" i="31"/>
  <c r="L17" i="31"/>
  <c r="L16" i="31"/>
  <c r="L3" i="31"/>
  <c r="L15" i="31"/>
  <c r="L13" i="31"/>
  <c r="P4" i="31"/>
  <c r="L5" i="31" s="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E3" i="31"/>
  <c r="H3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L4" i="31" l="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<sst xmlns="http://schemas.openxmlformats.org/spreadsheetml/2006/main" count="3281" uniqueCount="263">
  <si>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</si>
  <si>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</si>
  <si>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</si>
  <si>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</si>
  <si>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</si>
  <si>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</si>
  <si>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</si>
  <si>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</si>
  <si>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</si>
  <si>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</si>
  <si>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</si>
  <si>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</si>
  <si>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</si>
  <si>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</si>
  <si>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</si>
  <si>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</si>
  <si>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</si>
  <si>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</si>
  <si>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</si>
  <si>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</si>
  <si>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</si>
  <si>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PAÍSES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</si>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</sst>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3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1"/>
      <color theme="1" tint="0.499984740745262"/>
      <name val="ADLaM Display"/>
    </font>
    <font>
      <sz val="11"/>
      <color theme="0" tint="-0.499984740745262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0"/>
      <color rgb="FF0070C0"/>
      <name val="ADLaM Display"/>
    </font>
    <font>
      <sz val="10"/>
      <color rgb="FFFF0000"/>
      <name val="ADLaM Display"/>
    </font>
    <font>
      <sz val="16"/>
      <color theme="0"/>
      <name val="ADLaM Display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7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11" borderId="4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1" fillId="0" borderId="4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8" fillId="2" borderId="0" xfId="0" applyFont="1" applyFill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0" fillId="11" borderId="6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4" xfId="0" applyFont="1" applyFill="1" applyBorder="1" applyAlignment="1">
      <alignment horizontal="center" vertical="center"/>
    </xf>
    <xf numFmtId="0" fontId="21" fillId="18" borderId="5" xfId="0" applyFont="1" applyFill="1" applyBorder="1" applyAlignment="1">
      <alignment horizontal="center" vertical="center"/>
    </xf>
    <xf numFmtId="0" fontId="21" fillId="18" borderId="6" xfId="0" applyFont="1" applyFill="1" applyBorder="1" applyAlignment="1">
      <alignment horizontal="center" vertical="center"/>
    </xf>
    <xf numFmtId="0" fontId="21" fillId="19" borderId="4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19" borderId="6" xfId="0" applyFont="1" applyFill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2" fillId="14" borderId="2" xfId="0" applyFont="1" applyFill="1" applyBorder="1" applyAlignment="1">
      <alignment horizontal="center" vertical="center"/>
    </xf>
    <xf numFmtId="0" fontId="32" fillId="14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  <color rgb="FFFFD5D5"/>
      <color rgb="FFFF9999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A2:F2"/>
  <sheetViews>
    <sheetView workbookViewId="0">
      <selection sqref="A1:XFD1048576"/>
    </sheetView>
  </sheetViews>
  <sheetFormatPr defaultColWidth="4" defaultRowHeight="14.4" x14ac:dyDescent="0.3"/>
  <sheetData>
    <row r="2" spans="1:6" x14ac:dyDescent="0.3">
      <c r="A2" s="2"/>
      <c r="B2" s="2"/>
      <c r="C2" s="2"/>
      <c r="D2" s="95"/>
      <c r="E2" s="95"/>
      <c r="F2" s="95"/>
    </row>
  </sheetData>
  <mergeCells count="1">
    <mergeCell ref="D2:F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7"/>
  <sheetViews>
    <sheetView zoomScaleNormal="100" workbookViewId="0">
      <selection sqref="A1:E24"/>
    </sheetView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148</v>
      </c>
      <c r="B1" s="31" t="s">
        <v>149</v>
      </c>
      <c r="C1" s="31" t="s">
        <v>142</v>
      </c>
      <c r="D1" s="31" t="s">
        <v>143</v>
      </c>
      <c r="E1" s="31" t="s">
        <v>144</v>
      </c>
    </row>
    <row r="2" spans="1:37" x14ac:dyDescent="0.3">
      <c r="A2" s="32" t="s">
        <v>46</v>
      </c>
      <c r="B2" s="34" t="s">
        <v>8</v>
      </c>
      <c r="C2" s="37" t="s">
        <v>5</v>
      </c>
      <c r="D2" s="34" t="s">
        <v>95</v>
      </c>
      <c r="E2" s="34" t="s">
        <v>104</v>
      </c>
      <c r="I2" s="96" t="s">
        <v>184</v>
      </c>
      <c r="J2" s="96"/>
      <c r="K2" s="96"/>
      <c r="L2" s="96"/>
      <c r="M2" s="96"/>
      <c r="O2" s="96" t="s">
        <v>178</v>
      </c>
      <c r="P2" s="96"/>
      <c r="Q2" s="96"/>
      <c r="R2" s="96"/>
      <c r="S2" s="96"/>
      <c r="U2" s="96" t="s">
        <v>170</v>
      </c>
      <c r="V2" s="96"/>
      <c r="W2" s="96"/>
      <c r="X2" s="96"/>
      <c r="Y2" s="96"/>
      <c r="AA2" s="96" t="s">
        <v>162</v>
      </c>
      <c r="AB2" s="96"/>
      <c r="AC2" s="96"/>
      <c r="AD2" s="96"/>
      <c r="AE2" s="96"/>
      <c r="AG2" s="96" t="s">
        <v>152</v>
      </c>
      <c r="AH2" s="96"/>
      <c r="AI2" s="96"/>
      <c r="AJ2" s="96"/>
      <c r="AK2" s="96"/>
    </row>
    <row r="3" spans="1:37" x14ac:dyDescent="0.3">
      <c r="A3" s="33" t="s">
        <v>65</v>
      </c>
      <c r="B3" s="34" t="s">
        <v>8</v>
      </c>
      <c r="C3" s="34" t="s">
        <v>7</v>
      </c>
      <c r="D3" s="34" t="s">
        <v>95</v>
      </c>
      <c r="E3" s="37" t="s">
        <v>96</v>
      </c>
      <c r="I3" s="27" t="s">
        <v>9</v>
      </c>
      <c r="J3" s="28">
        <v>1</v>
      </c>
      <c r="K3" s="28" t="s">
        <v>34</v>
      </c>
      <c r="L3" s="28">
        <v>1</v>
      </c>
      <c r="M3" s="29" t="s">
        <v>15</v>
      </c>
      <c r="O3" s="27" t="s">
        <v>9</v>
      </c>
      <c r="P3" s="28">
        <v>0</v>
      </c>
      <c r="Q3" s="28" t="s">
        <v>34</v>
      </c>
      <c r="R3" s="28">
        <v>2</v>
      </c>
      <c r="S3" s="29" t="s">
        <v>15</v>
      </c>
      <c r="U3" s="27" t="s">
        <v>9</v>
      </c>
      <c r="V3" s="28">
        <v>1</v>
      </c>
      <c r="W3" s="28" t="s">
        <v>34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34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34</v>
      </c>
      <c r="AJ3" s="28">
        <v>1</v>
      </c>
      <c r="AK3" s="29" t="s">
        <v>15</v>
      </c>
    </row>
    <row r="4" spans="1:37" x14ac:dyDescent="0.3">
      <c r="A4" s="33" t="s">
        <v>66</v>
      </c>
      <c r="B4" s="34" t="s">
        <v>13</v>
      </c>
      <c r="C4" s="34" t="s">
        <v>8</v>
      </c>
      <c r="D4" s="34" t="s">
        <v>105</v>
      </c>
      <c r="E4" s="34" t="s">
        <v>95</v>
      </c>
      <c r="I4" s="97" t="s">
        <v>185</v>
      </c>
      <c r="J4" s="97"/>
      <c r="K4" s="97"/>
      <c r="L4" s="97"/>
      <c r="M4" s="97"/>
      <c r="O4" s="98" t="s">
        <v>179</v>
      </c>
      <c r="P4" s="98"/>
      <c r="Q4" s="98"/>
      <c r="R4" s="98"/>
      <c r="S4" s="98"/>
      <c r="U4" s="97" t="s">
        <v>171</v>
      </c>
      <c r="V4" s="97"/>
      <c r="W4" s="97"/>
      <c r="X4" s="97"/>
      <c r="Y4" s="97"/>
      <c r="AA4" s="98" t="s">
        <v>163</v>
      </c>
      <c r="AB4" s="98"/>
      <c r="AC4" s="98"/>
      <c r="AD4" s="98"/>
      <c r="AE4" s="98"/>
      <c r="AG4" s="97" t="s">
        <v>153</v>
      </c>
      <c r="AH4" s="97"/>
      <c r="AI4" s="97"/>
      <c r="AJ4" s="97"/>
      <c r="AK4" s="97"/>
    </row>
    <row r="5" spans="1:37" x14ac:dyDescent="0.3">
      <c r="A5" s="32" t="s">
        <v>45</v>
      </c>
      <c r="B5" s="39" t="s">
        <v>11</v>
      </c>
      <c r="C5" s="34" t="s">
        <v>7</v>
      </c>
      <c r="D5" s="37" t="s">
        <v>96</v>
      </c>
      <c r="E5" s="39" t="s">
        <v>98</v>
      </c>
      <c r="I5" s="27" t="s">
        <v>5</v>
      </c>
      <c r="J5" s="28">
        <v>1</v>
      </c>
      <c r="K5" s="28" t="s">
        <v>34</v>
      </c>
      <c r="L5" s="28">
        <v>0</v>
      </c>
      <c r="M5" s="29" t="s">
        <v>11</v>
      </c>
      <c r="O5" s="27" t="s">
        <v>5</v>
      </c>
      <c r="P5" s="28">
        <v>2</v>
      </c>
      <c r="Q5" s="28" t="s">
        <v>34</v>
      </c>
      <c r="R5" s="28">
        <v>2</v>
      </c>
      <c r="S5" s="29" t="s">
        <v>11</v>
      </c>
      <c r="U5" s="27" t="s">
        <v>5</v>
      </c>
      <c r="V5" s="28">
        <v>2</v>
      </c>
      <c r="W5" s="28" t="s">
        <v>34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34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34</v>
      </c>
      <c r="AJ5" s="28">
        <v>2</v>
      </c>
      <c r="AK5" s="29" t="s">
        <v>11</v>
      </c>
    </row>
    <row r="6" spans="1:37" x14ac:dyDescent="0.3">
      <c r="A6" s="38" t="s">
        <v>48</v>
      </c>
      <c r="B6" s="34" t="s">
        <v>8</v>
      </c>
      <c r="C6" s="37" t="s">
        <v>5</v>
      </c>
      <c r="D6" s="37" t="s">
        <v>96</v>
      </c>
      <c r="E6" s="39" t="s">
        <v>104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47</v>
      </c>
      <c r="B7" s="34" t="s">
        <v>8</v>
      </c>
      <c r="C7" s="37" t="s">
        <v>5</v>
      </c>
      <c r="D7" s="34" t="s">
        <v>95</v>
      </c>
      <c r="E7" s="39" t="s">
        <v>96</v>
      </c>
      <c r="I7" s="96" t="s">
        <v>182</v>
      </c>
      <c r="J7" s="96"/>
      <c r="K7" s="96"/>
      <c r="L7" s="96"/>
      <c r="M7" s="96"/>
      <c r="O7" s="96" t="s">
        <v>176</v>
      </c>
      <c r="P7" s="96"/>
      <c r="Q7" s="96"/>
      <c r="R7" s="96"/>
      <c r="S7" s="96"/>
      <c r="U7" s="96" t="s">
        <v>168</v>
      </c>
      <c r="V7" s="96"/>
      <c r="W7" s="96"/>
      <c r="X7" s="96"/>
      <c r="Y7" s="96"/>
      <c r="AA7" s="96" t="s">
        <v>160</v>
      </c>
      <c r="AB7" s="96"/>
      <c r="AC7" s="96"/>
      <c r="AD7" s="96"/>
      <c r="AE7" s="96"/>
      <c r="AG7" s="96" t="s">
        <v>150</v>
      </c>
      <c r="AH7" s="96"/>
      <c r="AI7" s="96"/>
      <c r="AJ7" s="96"/>
      <c r="AK7" s="96"/>
    </row>
    <row r="8" spans="1:37" x14ac:dyDescent="0.3">
      <c r="A8" s="33" t="s">
        <v>49</v>
      </c>
      <c r="B8" s="34" t="s">
        <v>8</v>
      </c>
      <c r="C8" s="39" t="s">
        <v>11</v>
      </c>
      <c r="D8" s="34" t="s">
        <v>105</v>
      </c>
      <c r="E8" s="39" t="s">
        <v>106</v>
      </c>
      <c r="I8" s="27" t="s">
        <v>9</v>
      </c>
      <c r="J8" s="28">
        <v>1</v>
      </c>
      <c r="K8" s="28" t="s">
        <v>34</v>
      </c>
      <c r="L8" s="28">
        <v>0</v>
      </c>
      <c r="M8" s="29" t="s">
        <v>15</v>
      </c>
      <c r="O8" s="27" t="s">
        <v>9</v>
      </c>
      <c r="P8" s="28">
        <v>2</v>
      </c>
      <c r="Q8" s="28" t="s">
        <v>34</v>
      </c>
      <c r="R8" s="28">
        <v>1</v>
      </c>
      <c r="S8" s="29" t="s">
        <v>15</v>
      </c>
      <c r="U8" s="27" t="s">
        <v>9</v>
      </c>
      <c r="V8" s="28">
        <v>1</v>
      </c>
      <c r="W8" s="28" t="s">
        <v>34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34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34</v>
      </c>
      <c r="AJ8" s="28">
        <v>2</v>
      </c>
      <c r="AK8" s="29" t="s">
        <v>15</v>
      </c>
    </row>
    <row r="9" spans="1:37" x14ac:dyDescent="0.3">
      <c r="A9" s="33" t="s">
        <v>50</v>
      </c>
      <c r="B9" s="34" t="s">
        <v>8</v>
      </c>
      <c r="C9" s="34" t="s">
        <v>10</v>
      </c>
      <c r="D9" s="34" t="s">
        <v>106</v>
      </c>
      <c r="E9" s="34" t="s">
        <v>105</v>
      </c>
      <c r="I9" s="98" t="s">
        <v>183</v>
      </c>
      <c r="J9" s="98"/>
      <c r="K9" s="98"/>
      <c r="L9" s="98"/>
      <c r="M9" s="98"/>
      <c r="O9" s="97" t="s">
        <v>177</v>
      </c>
      <c r="P9" s="97"/>
      <c r="Q9" s="97"/>
      <c r="R9" s="97"/>
      <c r="S9" s="97"/>
      <c r="U9" s="98" t="s">
        <v>169</v>
      </c>
      <c r="V9" s="98"/>
      <c r="W9" s="98"/>
      <c r="X9" s="98"/>
      <c r="Y9" s="98"/>
      <c r="AA9" s="97" t="s">
        <v>161</v>
      </c>
      <c r="AB9" s="97"/>
      <c r="AC9" s="97"/>
      <c r="AD9" s="97"/>
      <c r="AE9" s="97"/>
      <c r="AG9" s="98" t="s">
        <v>151</v>
      </c>
      <c r="AH9" s="98"/>
      <c r="AI9" s="98"/>
      <c r="AJ9" s="98"/>
      <c r="AK9" s="98"/>
    </row>
    <row r="10" spans="1:37" x14ac:dyDescent="0.3">
      <c r="A10" s="32" t="s">
        <v>51</v>
      </c>
      <c r="B10" s="34" t="s">
        <v>8</v>
      </c>
      <c r="C10" s="37" t="s">
        <v>5</v>
      </c>
      <c r="D10" s="39" t="s">
        <v>98</v>
      </c>
      <c r="E10" s="34" t="s">
        <v>104</v>
      </c>
      <c r="I10" s="27" t="s">
        <v>5</v>
      </c>
      <c r="J10" s="28">
        <v>2</v>
      </c>
      <c r="K10" s="28" t="s">
        <v>34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34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34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34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34</v>
      </c>
      <c r="AJ10" s="28">
        <v>1</v>
      </c>
      <c r="AK10" s="29" t="s">
        <v>11</v>
      </c>
    </row>
    <row r="11" spans="1:37" x14ac:dyDescent="0.3">
      <c r="A11" s="32" t="s">
        <v>52</v>
      </c>
      <c r="B11" s="34" t="s">
        <v>8</v>
      </c>
      <c r="C11" s="37" t="s">
        <v>5</v>
      </c>
      <c r="D11" s="34" t="s">
        <v>102</v>
      </c>
      <c r="E11" s="39" t="s">
        <v>98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53</v>
      </c>
      <c r="B12" s="34" t="s">
        <v>8</v>
      </c>
      <c r="C12" s="36" t="s">
        <v>11</v>
      </c>
      <c r="D12" s="34" t="s">
        <v>95</v>
      </c>
      <c r="E12" s="39" t="s">
        <v>98</v>
      </c>
      <c r="I12" s="96" t="s">
        <v>180</v>
      </c>
      <c r="J12" s="96"/>
      <c r="K12" s="96"/>
      <c r="L12" s="96"/>
      <c r="M12" s="96"/>
      <c r="O12" s="96" t="s">
        <v>174</v>
      </c>
      <c r="P12" s="96"/>
      <c r="Q12" s="96"/>
      <c r="R12" s="96"/>
      <c r="S12" s="96"/>
      <c r="U12" s="96" t="s">
        <v>166</v>
      </c>
      <c r="V12" s="96"/>
      <c r="W12" s="96"/>
      <c r="X12" s="96"/>
      <c r="Y12" s="96"/>
      <c r="AA12" s="96" t="s">
        <v>158</v>
      </c>
      <c r="AB12" s="96"/>
      <c r="AC12" s="96"/>
      <c r="AD12" s="96"/>
      <c r="AE12" s="96"/>
      <c r="AG12" s="96" t="s">
        <v>187</v>
      </c>
      <c r="AH12" s="96"/>
      <c r="AI12" s="96"/>
      <c r="AJ12" s="96"/>
      <c r="AK12" s="96"/>
    </row>
    <row r="13" spans="1:37" x14ac:dyDescent="0.3">
      <c r="A13" s="32" t="s">
        <v>54</v>
      </c>
      <c r="B13" s="34" t="s">
        <v>8</v>
      </c>
      <c r="C13" s="34" t="s">
        <v>4</v>
      </c>
      <c r="D13" s="37" t="s">
        <v>96</v>
      </c>
      <c r="E13" s="39" t="s">
        <v>101</v>
      </c>
      <c r="I13" s="27" t="s">
        <v>9</v>
      </c>
      <c r="J13" s="28">
        <v>2</v>
      </c>
      <c r="K13" s="28" t="s">
        <v>34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34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34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34</v>
      </c>
      <c r="AD13" s="28">
        <v>1</v>
      </c>
      <c r="AE13" s="29" t="s">
        <v>15</v>
      </c>
      <c r="AG13" s="30" t="s">
        <v>9</v>
      </c>
      <c r="AH13" s="28" t="s">
        <v>186</v>
      </c>
      <c r="AI13" s="28" t="s">
        <v>34</v>
      </c>
      <c r="AJ13" s="28" t="s">
        <v>186</v>
      </c>
      <c r="AK13" s="30" t="s">
        <v>15</v>
      </c>
    </row>
    <row r="14" spans="1:37" x14ac:dyDescent="0.3">
      <c r="A14" s="32" t="s">
        <v>55</v>
      </c>
      <c r="B14" s="34" t="s">
        <v>8</v>
      </c>
      <c r="C14" s="37" t="s">
        <v>5</v>
      </c>
      <c r="D14" s="34" t="s">
        <v>95</v>
      </c>
      <c r="E14" s="39" t="s">
        <v>99</v>
      </c>
      <c r="I14" s="97" t="s">
        <v>181</v>
      </c>
      <c r="J14" s="97"/>
      <c r="K14" s="97"/>
      <c r="L14" s="97"/>
      <c r="M14" s="97"/>
      <c r="O14" s="98" t="s">
        <v>175</v>
      </c>
      <c r="P14" s="98"/>
      <c r="Q14" s="98"/>
      <c r="R14" s="98"/>
      <c r="S14" s="98"/>
      <c r="U14" s="97" t="s">
        <v>167</v>
      </c>
      <c r="V14" s="97"/>
      <c r="W14" s="97"/>
      <c r="X14" s="97"/>
      <c r="Y14" s="97"/>
      <c r="AA14" s="98" t="s">
        <v>159</v>
      </c>
      <c r="AB14" s="98"/>
      <c r="AC14" s="98"/>
      <c r="AD14" s="98"/>
      <c r="AE14" s="98"/>
      <c r="AG14" s="97" t="s">
        <v>188</v>
      </c>
      <c r="AH14" s="97"/>
      <c r="AI14" s="97"/>
      <c r="AJ14" s="97"/>
      <c r="AK14" s="97"/>
    </row>
    <row r="15" spans="1:37" x14ac:dyDescent="0.3">
      <c r="A15" s="33" t="s">
        <v>56</v>
      </c>
      <c r="B15" s="34" t="s">
        <v>8</v>
      </c>
      <c r="C15" s="34" t="s">
        <v>12</v>
      </c>
      <c r="D15" s="34" t="s">
        <v>95</v>
      </c>
      <c r="E15" s="39" t="s">
        <v>98</v>
      </c>
      <c r="I15" s="27" t="s">
        <v>5</v>
      </c>
      <c r="J15" s="28">
        <v>1</v>
      </c>
      <c r="K15" s="28" t="s">
        <v>34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34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34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34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34</v>
      </c>
      <c r="AJ15" s="28">
        <v>2</v>
      </c>
      <c r="AK15" s="30" t="s">
        <v>11</v>
      </c>
    </row>
    <row r="16" spans="1:37" x14ac:dyDescent="0.3">
      <c r="A16" s="32" t="s">
        <v>57</v>
      </c>
      <c r="B16" s="34" t="s">
        <v>8</v>
      </c>
      <c r="C16" s="37" t="s">
        <v>5</v>
      </c>
      <c r="D16" s="34" t="s">
        <v>95</v>
      </c>
      <c r="E16" s="39" t="s">
        <v>99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58</v>
      </c>
      <c r="B17" s="34" t="s">
        <v>10</v>
      </c>
      <c r="C17" s="34" t="s">
        <v>6</v>
      </c>
      <c r="D17" s="34" t="s">
        <v>95</v>
      </c>
      <c r="E17" s="39" t="s">
        <v>100</v>
      </c>
      <c r="I17" s="96" t="s">
        <v>172</v>
      </c>
      <c r="J17" s="96"/>
      <c r="K17" s="96"/>
      <c r="L17" s="96"/>
      <c r="M17" s="96"/>
      <c r="O17" s="96" t="s">
        <v>164</v>
      </c>
      <c r="P17" s="96"/>
      <c r="Q17" s="96"/>
      <c r="R17" s="96"/>
      <c r="S17" s="96"/>
      <c r="U17" s="96" t="s">
        <v>156</v>
      </c>
      <c r="V17" s="96"/>
      <c r="W17" s="96"/>
      <c r="X17" s="96"/>
      <c r="Y17" s="96"/>
      <c r="AA17" s="96" t="s">
        <v>154</v>
      </c>
      <c r="AB17" s="96"/>
      <c r="AC17" s="96"/>
      <c r="AD17" s="96"/>
      <c r="AE17" s="96"/>
      <c r="AG17" s="96" t="s">
        <v>189</v>
      </c>
      <c r="AH17" s="96"/>
      <c r="AI17" s="96"/>
      <c r="AJ17" s="96"/>
      <c r="AK17" s="96"/>
    </row>
    <row r="18" spans="1:37" x14ac:dyDescent="0.3">
      <c r="A18" s="33" t="s">
        <v>59</v>
      </c>
      <c r="B18" s="34" t="s">
        <v>8</v>
      </c>
      <c r="C18" s="34" t="s">
        <v>12</v>
      </c>
      <c r="D18" s="34" t="s">
        <v>101</v>
      </c>
      <c r="E18" s="39" t="s">
        <v>98</v>
      </c>
      <c r="I18" s="27" t="s">
        <v>9</v>
      </c>
      <c r="J18" s="28">
        <v>2</v>
      </c>
      <c r="K18" s="28" t="s">
        <v>34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34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34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34</v>
      </c>
      <c r="AD18" s="28">
        <v>1</v>
      </c>
      <c r="AE18" s="29" t="s">
        <v>15</v>
      </c>
      <c r="AG18" s="30" t="s">
        <v>9</v>
      </c>
      <c r="AH18" s="28" t="s">
        <v>186</v>
      </c>
      <c r="AI18" s="28" t="s">
        <v>34</v>
      </c>
      <c r="AJ18" s="28" t="s">
        <v>186</v>
      </c>
      <c r="AK18" s="30" t="s">
        <v>15</v>
      </c>
    </row>
    <row r="19" spans="1:37" x14ac:dyDescent="0.3">
      <c r="A19" s="33" t="s">
        <v>60</v>
      </c>
      <c r="B19" s="34" t="s">
        <v>8</v>
      </c>
      <c r="C19" s="34" t="s">
        <v>35</v>
      </c>
      <c r="D19" s="34" t="s">
        <v>95</v>
      </c>
      <c r="E19" s="39" t="s">
        <v>103</v>
      </c>
      <c r="I19" s="98" t="s">
        <v>173</v>
      </c>
      <c r="J19" s="98"/>
      <c r="K19" s="98"/>
      <c r="L19" s="98"/>
      <c r="M19" s="98"/>
      <c r="O19" s="97" t="s">
        <v>165</v>
      </c>
      <c r="P19" s="97"/>
      <c r="Q19" s="97"/>
      <c r="R19" s="97"/>
      <c r="S19" s="97"/>
      <c r="U19" s="98" t="s">
        <v>157</v>
      </c>
      <c r="V19" s="98"/>
      <c r="W19" s="98"/>
      <c r="X19" s="98"/>
      <c r="Y19" s="98"/>
      <c r="AA19" s="97" t="s">
        <v>155</v>
      </c>
      <c r="AB19" s="97"/>
      <c r="AC19" s="97"/>
      <c r="AD19" s="97"/>
      <c r="AE19" s="97"/>
      <c r="AG19" s="98" t="s">
        <v>190</v>
      </c>
      <c r="AH19" s="98"/>
      <c r="AI19" s="98"/>
      <c r="AJ19" s="98"/>
      <c r="AK19" s="98"/>
    </row>
    <row r="20" spans="1:37" x14ac:dyDescent="0.3">
      <c r="A20" s="32" t="s">
        <v>67</v>
      </c>
      <c r="B20" s="34" t="s">
        <v>8</v>
      </c>
      <c r="C20" s="34" t="s">
        <v>12</v>
      </c>
      <c r="D20" s="34" t="s">
        <v>95</v>
      </c>
      <c r="E20" s="37" t="s">
        <v>98</v>
      </c>
      <c r="I20" s="27" t="s">
        <v>5</v>
      </c>
      <c r="J20" s="28">
        <v>1</v>
      </c>
      <c r="K20" s="28" t="s">
        <v>34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34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34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34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34</v>
      </c>
      <c r="AJ20" s="28">
        <v>1</v>
      </c>
      <c r="AK20" s="30" t="s">
        <v>11</v>
      </c>
    </row>
    <row r="21" spans="1:37" x14ac:dyDescent="0.3">
      <c r="A21" s="32" t="s">
        <v>61</v>
      </c>
      <c r="B21" s="35" t="s">
        <v>8</v>
      </c>
      <c r="C21" s="40" t="s">
        <v>11</v>
      </c>
      <c r="D21" s="35" t="s">
        <v>95</v>
      </c>
      <c r="E21" s="38" t="s">
        <v>96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62</v>
      </c>
      <c r="B22" s="35" t="s">
        <v>8</v>
      </c>
      <c r="C22" s="40" t="s">
        <v>17</v>
      </c>
      <c r="D22" s="35" t="s">
        <v>99</v>
      </c>
      <c r="E22" s="38" t="s">
        <v>96</v>
      </c>
      <c r="I22" s="96" t="s">
        <v>191</v>
      </c>
      <c r="J22" s="96"/>
      <c r="K22" s="96"/>
      <c r="L22" s="96"/>
      <c r="M22" s="96"/>
      <c r="O22" s="96" t="s">
        <v>193</v>
      </c>
      <c r="P22" s="96"/>
      <c r="Q22" s="96"/>
      <c r="R22" s="96"/>
      <c r="S22" s="96"/>
    </row>
    <row r="23" spans="1:37" x14ac:dyDescent="0.3">
      <c r="A23" s="32" t="s">
        <v>63</v>
      </c>
      <c r="B23" s="35" t="s">
        <v>8</v>
      </c>
      <c r="C23" s="40" t="s">
        <v>11</v>
      </c>
      <c r="D23" s="38" t="s">
        <v>96</v>
      </c>
      <c r="E23" s="40" t="s">
        <v>98</v>
      </c>
      <c r="I23" s="27" t="s">
        <v>9</v>
      </c>
      <c r="J23" s="28" t="s">
        <v>186</v>
      </c>
      <c r="K23" s="28" t="s">
        <v>34</v>
      </c>
      <c r="L23" s="28" t="s">
        <v>186</v>
      </c>
      <c r="M23" s="29" t="s">
        <v>15</v>
      </c>
      <c r="O23" s="30" t="s">
        <v>9</v>
      </c>
      <c r="P23" s="28" t="s">
        <v>186</v>
      </c>
      <c r="Q23" s="28" t="s">
        <v>34</v>
      </c>
      <c r="R23" s="28" t="s">
        <v>186</v>
      </c>
      <c r="S23" s="30" t="s">
        <v>15</v>
      </c>
    </row>
    <row r="24" spans="1:37" x14ac:dyDescent="0.3">
      <c r="A24" s="33" t="s">
        <v>64</v>
      </c>
      <c r="B24" s="35" t="s">
        <v>8</v>
      </c>
      <c r="C24" s="35" t="s">
        <v>10</v>
      </c>
      <c r="D24" s="35" t="s">
        <v>97</v>
      </c>
      <c r="E24" s="40" t="s">
        <v>98</v>
      </c>
      <c r="I24" s="97" t="s">
        <v>192</v>
      </c>
      <c r="J24" s="97"/>
      <c r="K24" s="97"/>
      <c r="L24" s="97"/>
      <c r="M24" s="97"/>
      <c r="O24" s="98" t="s">
        <v>194</v>
      </c>
      <c r="P24" s="98"/>
      <c r="Q24" s="98"/>
      <c r="R24" s="98"/>
      <c r="S24" s="98"/>
    </row>
    <row r="25" spans="1:37" x14ac:dyDescent="0.3">
      <c r="I25" s="27" t="s">
        <v>5</v>
      </c>
      <c r="J25" s="28">
        <v>1</v>
      </c>
      <c r="K25" s="28" t="s">
        <v>34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34</v>
      </c>
      <c r="R25" s="28">
        <v>3</v>
      </c>
      <c r="S25" s="30" t="s">
        <v>11</v>
      </c>
    </row>
    <row r="86" spans="15:19" x14ac:dyDescent="0.3">
      <c r="O86" s="26"/>
      <c r="P86" s="23"/>
      <c r="Q86" s="23"/>
      <c r="R86" s="23"/>
      <c r="S86" s="24"/>
    </row>
    <row r="87" spans="15:19" x14ac:dyDescent="0.3">
      <c r="O87" s="26"/>
      <c r="P87" s="23"/>
      <c r="Q87" s="23"/>
      <c r="R87" s="23"/>
      <c r="S87" s="24"/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402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59" customWidth="1"/>
    <col min="2" max="2" width="7.88671875" style="73" customWidth="1"/>
    <col min="3" max="3" width="20.88671875" style="73" bestFit="1" customWidth="1"/>
    <col min="4" max="4" width="20" style="73" customWidth="1"/>
    <col min="5" max="9" width="20" style="59" customWidth="1"/>
    <col min="10" max="10" width="2.6640625" style="59" customWidth="1"/>
    <col min="11" max="11" width="15.5546875" style="59" customWidth="1"/>
    <col min="12" max="12" width="6.109375" style="59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73" customWidth="1"/>
    <col min="17" max="21" width="5.6640625" style="74" customWidth="1"/>
    <col min="22" max="27" width="5.6640625" style="59" customWidth="1"/>
    <col min="28" max="16384" width="9.109375" style="59"/>
  </cols>
  <sheetData>
    <row r="1" spans="2:24" ht="28.8" customHeight="1" thickTop="1" x14ac:dyDescent="0.3">
      <c r="B1" s="102" t="s">
        <v>247</v>
      </c>
      <c r="C1" s="103"/>
      <c r="D1" s="103"/>
      <c r="E1" s="103"/>
      <c r="F1" s="103"/>
      <c r="G1" s="103"/>
      <c r="H1" s="103"/>
      <c r="I1" s="104"/>
      <c r="M1" s="100"/>
      <c r="N1" s="100"/>
      <c r="O1" s="100"/>
      <c r="P1" s="101"/>
      <c r="Q1" s="101"/>
      <c r="R1" s="101"/>
      <c r="S1" s="100"/>
      <c r="T1" s="100"/>
      <c r="U1" s="100"/>
      <c r="V1" s="101"/>
      <c r="W1" s="101"/>
      <c r="X1" s="101"/>
    </row>
    <row r="2" spans="2:24" s="62" customFormat="1" ht="51" customHeight="1" x14ac:dyDescent="0.3">
      <c r="B2" s="61"/>
      <c r="C2" s="78" t="s">
        <v>86</v>
      </c>
      <c r="D2" s="81" t="s">
        <v>33</v>
      </c>
      <c r="E2" s="79" t="s">
        <v>87</v>
      </c>
      <c r="F2" s="81" t="s">
        <v>90</v>
      </c>
      <c r="G2" s="79" t="s">
        <v>88</v>
      </c>
      <c r="H2" s="81" t="s">
        <v>91</v>
      </c>
      <c r="I2" s="80" t="s">
        <v>89</v>
      </c>
      <c r="Q2" s="63"/>
      <c r="R2" s="63"/>
      <c r="S2" s="63"/>
      <c r="T2" s="63"/>
      <c r="U2" s="63"/>
    </row>
    <row r="3" spans="2:24" x14ac:dyDescent="0.3">
      <c r="B3" s="89" t="s">
        <v>68</v>
      </c>
      <c r="C3" s="90" t="str">
        <f t="shared" ref="C3:C23" si="0">K3</f>
        <v>Ivan</v>
      </c>
      <c r="D3" s="90">
        <f t="shared" ref="D3:D21" si="1">VLOOKUP(C3,O$3:U$23,2,0)</f>
        <v>0</v>
      </c>
      <c r="E3" s="90">
        <f t="shared" ref="E3:E20" si="2">VLOOKUP(C3,O$3:U$23,3,0)</f>
        <v>0</v>
      </c>
      <c r="F3" s="90">
        <f t="shared" ref="F3:F20" si="3">VLOOKUP(C3,O$3:U$23,4,0)</f>
        <v>0</v>
      </c>
      <c r="G3" s="90">
        <f t="shared" ref="G3:G20" si="4">VLOOKUP(C3,O$3:U$23,5,0)</f>
        <v>0</v>
      </c>
      <c r="H3" s="90">
        <f t="shared" ref="H3:H20" si="5">VLOOKUP(C3,O$3:U$23,6,0)</f>
        <v>0</v>
      </c>
      <c r="I3" s="91">
        <f t="shared" ref="I3:I20" si="6">VLOOKUP(C3,O$3:U$23,7,0)</f>
        <v>0</v>
      </c>
      <c r="K3" s="59" t="str">
        <f>O3</f>
        <v>Ivan</v>
      </c>
      <c r="L3" s="59">
        <f t="shared" ref="L3:L20" si="7">P3</f>
        <v>0</v>
      </c>
      <c r="O3" s="64" t="s">
        <v>243</v>
      </c>
      <c r="P3" s="65">
        <f>'1.Ivan'!Q$11</f>
        <v>0</v>
      </c>
      <c r="Q3" s="18"/>
      <c r="R3" s="18"/>
      <c r="S3" s="18"/>
      <c r="T3" s="18"/>
      <c r="U3" s="18"/>
      <c r="V3" s="66"/>
    </row>
    <row r="4" spans="2:24" x14ac:dyDescent="0.3">
      <c r="B4" s="86" t="s">
        <v>69</v>
      </c>
      <c r="C4" s="87" t="str">
        <f t="shared" si="0"/>
        <v>Sérginho</v>
      </c>
      <c r="D4" s="87">
        <f t="shared" si="1"/>
        <v>0</v>
      </c>
      <c r="E4" s="87">
        <f t="shared" si="2"/>
        <v>0</v>
      </c>
      <c r="F4" s="87">
        <f t="shared" si="3"/>
        <v>0</v>
      </c>
      <c r="G4" s="87">
        <f t="shared" si="4"/>
        <v>0</v>
      </c>
      <c r="H4" s="87">
        <f t="shared" si="5"/>
        <v>0</v>
      </c>
      <c r="I4" s="88">
        <f t="shared" si="6"/>
        <v>0</v>
      </c>
      <c r="K4" s="59" t="str">
        <f t="shared" ref="K4:K23" si="8">O4</f>
        <v>Sérginho</v>
      </c>
      <c r="L4" s="59">
        <f t="shared" si="7"/>
        <v>0</v>
      </c>
      <c r="O4" s="64" t="s">
        <v>234</v>
      </c>
      <c r="P4" s="65">
        <f>'2.Sérginho'!Q$11</f>
        <v>0</v>
      </c>
      <c r="Q4" s="18"/>
      <c r="R4" s="18"/>
      <c r="S4" s="18"/>
      <c r="T4" s="18"/>
      <c r="U4" s="18"/>
      <c r="V4" s="66"/>
    </row>
    <row r="5" spans="2:24" x14ac:dyDescent="0.3">
      <c r="B5" s="89" t="s">
        <v>70</v>
      </c>
      <c r="C5" s="90" t="str">
        <f t="shared" si="0"/>
        <v>Jean</v>
      </c>
      <c r="D5" s="90">
        <f t="shared" si="1"/>
        <v>0</v>
      </c>
      <c r="E5" s="90">
        <f t="shared" si="2"/>
        <v>0</v>
      </c>
      <c r="F5" s="90">
        <f t="shared" si="3"/>
        <v>0</v>
      </c>
      <c r="G5" s="90">
        <f t="shared" si="4"/>
        <v>0</v>
      </c>
      <c r="H5" s="90">
        <f t="shared" si="5"/>
        <v>0</v>
      </c>
      <c r="I5" s="91">
        <f t="shared" si="6"/>
        <v>0</v>
      </c>
      <c r="K5" s="59" t="str">
        <f t="shared" si="8"/>
        <v>Jean</v>
      </c>
      <c r="L5" s="59">
        <f t="shared" si="7"/>
        <v>0</v>
      </c>
      <c r="O5" s="64" t="s">
        <v>54</v>
      </c>
      <c r="P5" s="65">
        <f>'3.Jean'!Q$11</f>
        <v>0</v>
      </c>
      <c r="Q5" s="18"/>
      <c r="R5" s="18"/>
      <c r="S5" s="18"/>
      <c r="T5" s="18"/>
      <c r="U5" s="18"/>
      <c r="V5" s="66"/>
    </row>
    <row r="6" spans="2:24" x14ac:dyDescent="0.3">
      <c r="B6" s="86" t="s">
        <v>71</v>
      </c>
      <c r="C6" s="87" t="str">
        <f t="shared" si="0"/>
        <v>Macélio Henrique</v>
      </c>
      <c r="D6" s="87">
        <f t="shared" si="1"/>
        <v>0</v>
      </c>
      <c r="E6" s="87">
        <f t="shared" si="2"/>
        <v>0</v>
      </c>
      <c r="F6" s="87">
        <f t="shared" si="3"/>
        <v>0</v>
      </c>
      <c r="G6" s="87">
        <f t="shared" si="4"/>
        <v>0</v>
      </c>
      <c r="H6" s="87">
        <f t="shared" si="5"/>
        <v>0</v>
      </c>
      <c r="I6" s="88">
        <f t="shared" si="6"/>
        <v>0</v>
      </c>
      <c r="K6" s="59" t="str">
        <f t="shared" si="8"/>
        <v>Macélio Henrique</v>
      </c>
      <c r="L6" s="59">
        <f t="shared" si="7"/>
        <v>0</v>
      </c>
      <c r="O6" s="64" t="s">
        <v>235</v>
      </c>
      <c r="P6" s="65">
        <f>'4.Macélio Henrique'!Q11</f>
        <v>0</v>
      </c>
      <c r="Q6" s="18"/>
      <c r="R6" s="18"/>
      <c r="S6" s="18"/>
      <c r="T6" s="18"/>
      <c r="U6" s="18"/>
      <c r="V6" s="66"/>
    </row>
    <row r="7" spans="2:24" x14ac:dyDescent="0.3">
      <c r="B7" s="67" t="s">
        <v>72</v>
      </c>
      <c r="C7" s="68" t="str">
        <f t="shared" si="0"/>
        <v>Macélio</v>
      </c>
      <c r="D7" s="68">
        <f t="shared" si="1"/>
        <v>0</v>
      </c>
      <c r="E7" s="68">
        <f t="shared" si="2"/>
        <v>0</v>
      </c>
      <c r="F7" s="68">
        <f t="shared" si="3"/>
        <v>0</v>
      </c>
      <c r="G7" s="68">
        <f t="shared" si="4"/>
        <v>0</v>
      </c>
      <c r="H7" s="68">
        <f t="shared" si="5"/>
        <v>0</v>
      </c>
      <c r="I7" s="69">
        <f t="shared" si="6"/>
        <v>0</v>
      </c>
      <c r="K7" s="59" t="str">
        <f t="shared" si="8"/>
        <v>Macélio</v>
      </c>
      <c r="L7" s="59">
        <f t="shared" si="7"/>
        <v>0</v>
      </c>
      <c r="O7" s="64" t="s">
        <v>46</v>
      </c>
      <c r="P7" s="65">
        <f>'5.Macélio'!Q11</f>
        <v>0</v>
      </c>
      <c r="Q7" s="18"/>
      <c r="R7" s="18"/>
      <c r="S7" s="18"/>
      <c r="T7" s="18"/>
      <c r="U7" s="18"/>
      <c r="V7" s="66"/>
    </row>
    <row r="8" spans="2:24" x14ac:dyDescent="0.3">
      <c r="B8" s="67" t="s">
        <v>73</v>
      </c>
      <c r="C8" s="68" t="str">
        <f t="shared" si="0"/>
        <v>Mateus Aires</v>
      </c>
      <c r="D8" s="68">
        <f t="shared" si="1"/>
        <v>0</v>
      </c>
      <c r="E8" s="68">
        <f t="shared" si="2"/>
        <v>0</v>
      </c>
      <c r="F8" s="68">
        <f t="shared" si="3"/>
        <v>0</v>
      </c>
      <c r="G8" s="68">
        <f t="shared" si="4"/>
        <v>0</v>
      </c>
      <c r="H8" s="68">
        <f t="shared" si="5"/>
        <v>0</v>
      </c>
      <c r="I8" s="69">
        <f t="shared" si="6"/>
        <v>0</v>
      </c>
      <c r="K8" s="59" t="str">
        <f t="shared" si="8"/>
        <v>Mateus Aires</v>
      </c>
      <c r="L8" s="59">
        <f t="shared" si="7"/>
        <v>0</v>
      </c>
      <c r="O8" s="64" t="s">
        <v>244</v>
      </c>
      <c r="P8" s="65">
        <f>'6.Mateus Aires'!Q11</f>
        <v>0</v>
      </c>
      <c r="Q8" s="18"/>
      <c r="R8" s="18"/>
      <c r="S8" s="18"/>
      <c r="T8" s="18"/>
      <c r="U8" s="18"/>
      <c r="V8" s="66"/>
    </row>
    <row r="9" spans="2:24" x14ac:dyDescent="0.3">
      <c r="B9" s="67" t="s">
        <v>74</v>
      </c>
      <c r="C9" s="68" t="str">
        <f t="shared" si="0"/>
        <v>Bruno</v>
      </c>
      <c r="D9" s="68">
        <f t="shared" si="1"/>
        <v>0</v>
      </c>
      <c r="E9" s="68">
        <f t="shared" si="2"/>
        <v>0</v>
      </c>
      <c r="F9" s="68">
        <f t="shared" si="3"/>
        <v>0</v>
      </c>
      <c r="G9" s="68">
        <f t="shared" si="4"/>
        <v>0</v>
      </c>
      <c r="H9" s="68">
        <f t="shared" si="5"/>
        <v>0</v>
      </c>
      <c r="I9" s="69">
        <f t="shared" si="6"/>
        <v>0</v>
      </c>
      <c r="K9" s="59" t="str">
        <f t="shared" si="8"/>
        <v>Bruno</v>
      </c>
      <c r="L9" s="59">
        <f t="shared" si="7"/>
        <v>0</v>
      </c>
      <c r="O9" s="64" t="s">
        <v>248</v>
      </c>
      <c r="P9" s="65">
        <f>'7.Bruno'!Q11</f>
        <v>0</v>
      </c>
      <c r="Q9" s="18"/>
      <c r="R9" s="18"/>
      <c r="S9" s="18"/>
      <c r="T9" s="18"/>
      <c r="U9" s="18"/>
      <c r="V9" s="66"/>
    </row>
    <row r="10" spans="2:24" x14ac:dyDescent="0.3">
      <c r="B10" s="67" t="s">
        <v>75</v>
      </c>
      <c r="C10" s="68" t="str">
        <f t="shared" si="0"/>
        <v>Naldinho</v>
      </c>
      <c r="D10" s="68">
        <f t="shared" si="1"/>
        <v>0</v>
      </c>
      <c r="E10" s="68">
        <f t="shared" si="2"/>
        <v>0</v>
      </c>
      <c r="F10" s="68">
        <f t="shared" si="3"/>
        <v>0</v>
      </c>
      <c r="G10" s="68">
        <f t="shared" si="4"/>
        <v>0</v>
      </c>
      <c r="H10" s="68">
        <f t="shared" si="5"/>
        <v>0</v>
      </c>
      <c r="I10" s="69">
        <f t="shared" si="6"/>
        <v>0</v>
      </c>
      <c r="K10" s="59" t="str">
        <f t="shared" si="8"/>
        <v>Naldinho</v>
      </c>
      <c r="L10" s="59">
        <f t="shared" si="7"/>
        <v>0</v>
      </c>
      <c r="O10" s="64" t="s">
        <v>237</v>
      </c>
      <c r="P10" s="65">
        <f>'8.Naldinho'!Q11</f>
        <v>0</v>
      </c>
      <c r="Q10" s="18"/>
      <c r="R10" s="18"/>
      <c r="S10" s="18"/>
      <c r="T10" s="18"/>
      <c r="U10" s="18"/>
      <c r="V10" s="66"/>
    </row>
    <row r="11" spans="2:24" x14ac:dyDescent="0.3">
      <c r="B11" s="67" t="s">
        <v>76</v>
      </c>
      <c r="C11" s="68" t="str">
        <f t="shared" si="0"/>
        <v>Julio Santos</v>
      </c>
      <c r="D11" s="68">
        <f t="shared" si="1"/>
        <v>0</v>
      </c>
      <c r="E11" s="68">
        <f t="shared" si="2"/>
        <v>0</v>
      </c>
      <c r="F11" s="68">
        <f t="shared" si="3"/>
        <v>0</v>
      </c>
      <c r="G11" s="68">
        <f t="shared" si="4"/>
        <v>0</v>
      </c>
      <c r="H11" s="68">
        <f t="shared" si="5"/>
        <v>0</v>
      </c>
      <c r="I11" s="69">
        <f t="shared" si="6"/>
        <v>0</v>
      </c>
      <c r="K11" s="59" t="str">
        <f t="shared" si="8"/>
        <v>Julio Santos</v>
      </c>
      <c r="L11" s="59">
        <f t="shared" si="7"/>
        <v>0</v>
      </c>
      <c r="O11" s="64" t="s">
        <v>236</v>
      </c>
      <c r="P11" s="65">
        <f>'9.Julio Santos'!Q11</f>
        <v>0</v>
      </c>
      <c r="Q11" s="18"/>
      <c r="R11" s="18"/>
      <c r="S11" s="18"/>
      <c r="T11" s="18"/>
      <c r="U11" s="18"/>
      <c r="V11" s="66"/>
    </row>
    <row r="12" spans="2:24" x14ac:dyDescent="0.3">
      <c r="B12" s="67" t="s">
        <v>77</v>
      </c>
      <c r="C12" s="68" t="str">
        <f t="shared" si="0"/>
        <v>Joseir</v>
      </c>
      <c r="D12" s="68">
        <f t="shared" si="1"/>
        <v>0</v>
      </c>
      <c r="E12" s="68">
        <f t="shared" si="2"/>
        <v>0</v>
      </c>
      <c r="F12" s="68">
        <f t="shared" si="3"/>
        <v>0</v>
      </c>
      <c r="G12" s="68">
        <f t="shared" si="4"/>
        <v>0</v>
      </c>
      <c r="H12" s="68">
        <f t="shared" si="5"/>
        <v>0</v>
      </c>
      <c r="I12" s="69">
        <f t="shared" si="6"/>
        <v>0</v>
      </c>
      <c r="K12" s="59" t="str">
        <f t="shared" si="8"/>
        <v>Joseir</v>
      </c>
      <c r="L12" s="59">
        <f t="shared" si="7"/>
        <v>0</v>
      </c>
      <c r="O12" s="64" t="s">
        <v>239</v>
      </c>
      <c r="P12" s="65">
        <f>'10.Joseir'!Q11</f>
        <v>0</v>
      </c>
      <c r="Q12" s="18"/>
      <c r="R12" s="18"/>
      <c r="S12" s="18"/>
      <c r="T12" s="18"/>
      <c r="U12" s="18"/>
      <c r="V12" s="66"/>
    </row>
    <row r="13" spans="2:24" x14ac:dyDescent="0.3">
      <c r="B13" s="67" t="s">
        <v>78</v>
      </c>
      <c r="C13" s="68" t="str">
        <f t="shared" si="0"/>
        <v>Juninho</v>
      </c>
      <c r="D13" s="68">
        <f t="shared" si="1"/>
        <v>0</v>
      </c>
      <c r="E13" s="68">
        <f t="shared" si="2"/>
        <v>0</v>
      </c>
      <c r="F13" s="68">
        <f t="shared" si="3"/>
        <v>0</v>
      </c>
      <c r="G13" s="68">
        <f t="shared" si="4"/>
        <v>0</v>
      </c>
      <c r="H13" s="68">
        <f t="shared" si="5"/>
        <v>0</v>
      </c>
      <c r="I13" s="69">
        <f t="shared" si="6"/>
        <v>0</v>
      </c>
      <c r="K13" s="59" t="str">
        <f t="shared" si="8"/>
        <v>Juninho</v>
      </c>
      <c r="L13" s="59">
        <f t="shared" si="7"/>
        <v>0</v>
      </c>
      <c r="O13" s="64" t="s">
        <v>238</v>
      </c>
      <c r="P13" s="65">
        <f>'11.Juninho'!Q11</f>
        <v>0</v>
      </c>
      <c r="Q13" s="18"/>
      <c r="R13" s="18"/>
      <c r="S13" s="18"/>
      <c r="T13" s="18"/>
      <c r="U13" s="18"/>
      <c r="V13" s="66"/>
    </row>
    <row r="14" spans="2:24" x14ac:dyDescent="0.3">
      <c r="B14" s="67" t="s">
        <v>79</v>
      </c>
      <c r="C14" s="68" t="str">
        <f t="shared" si="0"/>
        <v>Ivani</v>
      </c>
      <c r="D14" s="68">
        <f t="shared" si="1"/>
        <v>0</v>
      </c>
      <c r="E14" s="68">
        <f t="shared" si="2"/>
        <v>0</v>
      </c>
      <c r="F14" s="68">
        <f t="shared" si="3"/>
        <v>0</v>
      </c>
      <c r="G14" s="68">
        <f t="shared" si="4"/>
        <v>0</v>
      </c>
      <c r="H14" s="68">
        <f t="shared" si="5"/>
        <v>0</v>
      </c>
      <c r="I14" s="69">
        <f t="shared" si="6"/>
        <v>0</v>
      </c>
      <c r="K14" s="59" t="str">
        <f t="shared" si="8"/>
        <v>Ivani</v>
      </c>
      <c r="L14" s="59">
        <f>P14</f>
        <v>0</v>
      </c>
      <c r="O14" s="64" t="s">
        <v>60</v>
      </c>
      <c r="P14" s="65">
        <f>'12.Ivani'!Q11</f>
        <v>0</v>
      </c>
      <c r="Q14" s="18"/>
      <c r="R14" s="18"/>
      <c r="S14" s="18"/>
      <c r="T14" s="18"/>
      <c r="U14" s="18"/>
      <c r="V14" s="66"/>
    </row>
    <row r="15" spans="2:24" x14ac:dyDescent="0.3">
      <c r="B15" s="67" t="s">
        <v>80</v>
      </c>
      <c r="C15" s="68" t="str">
        <f t="shared" si="0"/>
        <v>Manoel</v>
      </c>
      <c r="D15" s="68">
        <f t="shared" si="1"/>
        <v>0</v>
      </c>
      <c r="E15" s="68">
        <f t="shared" si="2"/>
        <v>0</v>
      </c>
      <c r="F15" s="68">
        <f t="shared" si="3"/>
        <v>0</v>
      </c>
      <c r="G15" s="68">
        <f t="shared" si="4"/>
        <v>0</v>
      </c>
      <c r="H15" s="68">
        <f t="shared" si="5"/>
        <v>0</v>
      </c>
      <c r="I15" s="69">
        <f t="shared" si="6"/>
        <v>0</v>
      </c>
      <c r="K15" s="59" t="str">
        <f t="shared" si="8"/>
        <v>Manoel</v>
      </c>
      <c r="L15" s="59">
        <f t="shared" si="7"/>
        <v>0</v>
      </c>
      <c r="O15" s="64" t="s">
        <v>240</v>
      </c>
      <c r="P15" s="65">
        <f>'13.Manoel'!Q11</f>
        <v>0</v>
      </c>
      <c r="Q15" s="18"/>
      <c r="R15" s="18"/>
      <c r="S15" s="18"/>
      <c r="T15" s="18"/>
      <c r="U15" s="18"/>
      <c r="V15" s="66"/>
    </row>
    <row r="16" spans="2:24" x14ac:dyDescent="0.3">
      <c r="B16" s="67" t="s">
        <v>81</v>
      </c>
      <c r="C16" s="68" t="str">
        <f t="shared" si="0"/>
        <v>Mateus Henrique</v>
      </c>
      <c r="D16" s="68">
        <f t="shared" si="1"/>
        <v>0</v>
      </c>
      <c r="E16" s="68">
        <f t="shared" si="2"/>
        <v>0</v>
      </c>
      <c r="F16" s="68">
        <f t="shared" si="3"/>
        <v>0</v>
      </c>
      <c r="G16" s="68">
        <f t="shared" si="4"/>
        <v>0</v>
      </c>
      <c r="H16" s="68">
        <f t="shared" si="5"/>
        <v>0</v>
      </c>
      <c r="I16" s="69">
        <f t="shared" si="6"/>
        <v>0</v>
      </c>
      <c r="K16" s="59" t="str">
        <f t="shared" si="8"/>
        <v>Mateus Henrique</v>
      </c>
      <c r="L16" s="59">
        <f t="shared" si="7"/>
        <v>0</v>
      </c>
      <c r="O16" s="64" t="s">
        <v>246</v>
      </c>
      <c r="P16" s="65">
        <f>'14.Mateus Henrique'!Q11</f>
        <v>0</v>
      </c>
      <c r="Q16" s="18"/>
      <c r="R16" s="18"/>
      <c r="S16" s="18"/>
      <c r="T16" s="18"/>
      <c r="U16" s="18"/>
      <c r="V16" s="66"/>
    </row>
    <row r="17" spans="2:22" x14ac:dyDescent="0.3">
      <c r="B17" s="67" t="s">
        <v>82</v>
      </c>
      <c r="C17" s="68" t="str">
        <f t="shared" si="0"/>
        <v>Gabriel</v>
      </c>
      <c r="D17" s="68">
        <f t="shared" si="1"/>
        <v>0</v>
      </c>
      <c r="E17" s="68">
        <f t="shared" si="2"/>
        <v>0</v>
      </c>
      <c r="F17" s="68">
        <f t="shared" si="3"/>
        <v>0</v>
      </c>
      <c r="G17" s="68">
        <f t="shared" si="4"/>
        <v>0</v>
      </c>
      <c r="H17" s="68">
        <f t="shared" si="5"/>
        <v>0</v>
      </c>
      <c r="I17" s="69">
        <f t="shared" si="6"/>
        <v>0</v>
      </c>
      <c r="K17" s="59" t="str">
        <f t="shared" si="8"/>
        <v>Gabriel</v>
      </c>
      <c r="L17" s="59">
        <f t="shared" si="7"/>
        <v>0</v>
      </c>
      <c r="O17" s="64" t="s">
        <v>48</v>
      </c>
      <c r="P17" s="65">
        <f>'15.Gabriel'!Q11</f>
        <v>0</v>
      </c>
      <c r="Q17" s="18"/>
      <c r="R17" s="18"/>
      <c r="S17" s="18"/>
      <c r="T17" s="18"/>
      <c r="U17" s="18"/>
      <c r="V17" s="66"/>
    </row>
    <row r="18" spans="2:22" x14ac:dyDescent="0.3">
      <c r="B18" s="67" t="s">
        <v>83</v>
      </c>
      <c r="C18" s="68" t="str">
        <f t="shared" si="0"/>
        <v>Marcel</v>
      </c>
      <c r="D18" s="68">
        <f t="shared" si="1"/>
        <v>0</v>
      </c>
      <c r="E18" s="68">
        <f t="shared" si="2"/>
        <v>0</v>
      </c>
      <c r="F18" s="68">
        <f t="shared" si="3"/>
        <v>0</v>
      </c>
      <c r="G18" s="68">
        <f t="shared" si="4"/>
        <v>0</v>
      </c>
      <c r="H18" s="68">
        <f t="shared" si="5"/>
        <v>0</v>
      </c>
      <c r="I18" s="69">
        <f t="shared" si="6"/>
        <v>0</v>
      </c>
      <c r="K18" s="59" t="str">
        <f t="shared" si="8"/>
        <v>Marcel</v>
      </c>
      <c r="L18" s="59">
        <f t="shared" si="7"/>
        <v>0</v>
      </c>
      <c r="O18" s="64" t="s">
        <v>241</v>
      </c>
      <c r="P18" s="65">
        <f>'16.Marcel'!Q11</f>
        <v>0</v>
      </c>
      <c r="Q18" s="18"/>
      <c r="R18" s="18"/>
      <c r="S18" s="18"/>
      <c r="T18" s="18"/>
      <c r="U18" s="18"/>
      <c r="V18" s="66"/>
    </row>
    <row r="19" spans="2:22" x14ac:dyDescent="0.3">
      <c r="B19" s="67" t="s">
        <v>84</v>
      </c>
      <c r="C19" s="68" t="str">
        <f t="shared" si="0"/>
        <v>Luana</v>
      </c>
      <c r="D19" s="68">
        <f t="shared" si="1"/>
        <v>0</v>
      </c>
      <c r="E19" s="68">
        <f t="shared" si="2"/>
        <v>0</v>
      </c>
      <c r="F19" s="68">
        <f t="shared" si="3"/>
        <v>0</v>
      </c>
      <c r="G19" s="68">
        <f t="shared" si="4"/>
        <v>0</v>
      </c>
      <c r="H19" s="68">
        <f t="shared" si="5"/>
        <v>0</v>
      </c>
      <c r="I19" s="69">
        <f t="shared" si="6"/>
        <v>0</v>
      </c>
      <c r="K19" s="59" t="str">
        <f t="shared" si="8"/>
        <v>Luana</v>
      </c>
      <c r="L19" s="59">
        <f t="shared" si="7"/>
        <v>0</v>
      </c>
      <c r="O19" s="64" t="s">
        <v>51</v>
      </c>
      <c r="P19" s="65">
        <f>'17.Luana'!Q11</f>
        <v>0</v>
      </c>
      <c r="Q19" s="18"/>
      <c r="R19" s="18"/>
      <c r="S19" s="18"/>
      <c r="T19" s="18"/>
      <c r="U19" s="18"/>
      <c r="V19" s="66"/>
    </row>
    <row r="20" spans="2:22" x14ac:dyDescent="0.3">
      <c r="B20" s="67" t="s">
        <v>85</v>
      </c>
      <c r="C20" s="68" t="str">
        <f t="shared" si="0"/>
        <v>Julio Oliveira</v>
      </c>
      <c r="D20" s="68">
        <f t="shared" si="1"/>
        <v>0</v>
      </c>
      <c r="E20" s="68">
        <f t="shared" si="2"/>
        <v>0</v>
      </c>
      <c r="F20" s="68">
        <f t="shared" si="3"/>
        <v>0</v>
      </c>
      <c r="G20" s="68">
        <f t="shared" si="4"/>
        <v>0</v>
      </c>
      <c r="H20" s="68">
        <f t="shared" si="5"/>
        <v>0</v>
      </c>
      <c r="I20" s="69">
        <f t="shared" si="6"/>
        <v>0</v>
      </c>
      <c r="K20" s="59" t="str">
        <f t="shared" si="8"/>
        <v>Julio Oliveira</v>
      </c>
      <c r="L20" s="59">
        <f t="shared" si="7"/>
        <v>0</v>
      </c>
      <c r="O20" s="64" t="s">
        <v>242</v>
      </c>
      <c r="P20" s="65">
        <f>'18.Julio Oliveira'!Q11</f>
        <v>0</v>
      </c>
      <c r="Q20" s="18"/>
      <c r="R20" s="18"/>
      <c r="S20" s="18"/>
      <c r="T20" s="18"/>
      <c r="U20" s="18"/>
      <c r="V20" s="66"/>
    </row>
    <row r="21" spans="2:22" x14ac:dyDescent="0.3">
      <c r="B21" s="92" t="s">
        <v>262</v>
      </c>
      <c r="C21" s="93" t="str">
        <f t="shared" si="0"/>
        <v>Miguel</v>
      </c>
      <c r="D21" s="68">
        <f t="shared" si="1"/>
        <v>0</v>
      </c>
      <c r="E21" s="93">
        <f t="shared" ref="E21:E23" si="9">VLOOKUP(C21,O$3:U$23,3,0)</f>
        <v>0</v>
      </c>
      <c r="F21" s="93">
        <f t="shared" ref="F21:F23" si="10">VLOOKUP(C21,O$3:U$23,4,0)</f>
        <v>0</v>
      </c>
      <c r="G21" s="93">
        <f t="shared" ref="G21:G23" si="11">VLOOKUP(C21,O$3:U$23,5,0)</f>
        <v>0</v>
      </c>
      <c r="H21" s="93">
        <f t="shared" ref="H21:H23" si="12">VLOOKUP(C21,O$3:U$23,6,0)</f>
        <v>0</v>
      </c>
      <c r="I21" s="94">
        <f t="shared" ref="I21:I23" si="13">VLOOKUP(C21,O$3:U$23,7,0)</f>
        <v>0</v>
      </c>
      <c r="K21" s="59" t="s">
        <v>245</v>
      </c>
      <c r="L21" s="59">
        <f>P21</f>
        <v>0</v>
      </c>
      <c r="O21" s="64" t="s">
        <v>245</v>
      </c>
      <c r="P21" s="65">
        <f>'19.Miguel'!Q12</f>
        <v>0</v>
      </c>
      <c r="Q21" s="18"/>
      <c r="R21" s="18"/>
      <c r="S21" s="18"/>
      <c r="T21" s="18"/>
      <c r="U21" s="18"/>
      <c r="V21" s="66"/>
    </row>
    <row r="22" spans="2:22" x14ac:dyDescent="0.3">
      <c r="B22" s="92" t="s">
        <v>261</v>
      </c>
      <c r="C22" s="93" t="str">
        <f t="shared" si="0"/>
        <v>Francesco</v>
      </c>
      <c r="D22" s="93">
        <f t="shared" ref="D22" si="14">VLOOKUP(C22,O$3:U$23,2,0)</f>
        <v>0</v>
      </c>
      <c r="E22" s="93">
        <f t="shared" si="9"/>
        <v>0</v>
      </c>
      <c r="F22" s="93">
        <f>VLOOKUP(C22,O$3:U$23,4,0)</f>
        <v>0</v>
      </c>
      <c r="G22" s="93">
        <f t="shared" si="11"/>
        <v>0</v>
      </c>
      <c r="H22" s="93">
        <f t="shared" si="12"/>
        <v>0</v>
      </c>
      <c r="I22" s="69">
        <f>VLOOKUP(C22,O$3:U$23,7,0)</f>
        <v>0</v>
      </c>
      <c r="K22" s="59" t="s">
        <v>258</v>
      </c>
      <c r="L22" s="59">
        <f>P22</f>
        <v>0</v>
      </c>
      <c r="O22" s="64" t="s">
        <v>258</v>
      </c>
      <c r="P22" s="65">
        <f>'18.Julio Oliveira'!Q13</f>
        <v>0</v>
      </c>
      <c r="Q22" s="18"/>
      <c r="R22" s="18"/>
      <c r="S22" s="18"/>
      <c r="T22" s="18"/>
      <c r="U22" s="18"/>
      <c r="V22" s="66"/>
    </row>
    <row r="23" spans="2:22" ht="16.2" thickBot="1" x14ac:dyDescent="0.35">
      <c r="B23" s="70" t="s">
        <v>262</v>
      </c>
      <c r="C23" s="71" t="str">
        <f t="shared" si="0"/>
        <v>Chicão</v>
      </c>
      <c r="D23" s="71">
        <f>VLOOKUP(C23,O$3:U$23,2,0)</f>
        <v>0</v>
      </c>
      <c r="E23" s="71">
        <f t="shared" si="9"/>
        <v>0</v>
      </c>
      <c r="F23" s="71">
        <f t="shared" si="10"/>
        <v>0</v>
      </c>
      <c r="G23" s="71">
        <f t="shared" si="11"/>
        <v>0</v>
      </c>
      <c r="H23" s="71">
        <f t="shared" si="12"/>
        <v>0</v>
      </c>
      <c r="I23" s="72">
        <f t="shared" si="13"/>
        <v>0</v>
      </c>
      <c r="K23" s="59" t="str">
        <f t="shared" si="8"/>
        <v>Chicão</v>
      </c>
      <c r="L23" s="59">
        <f>P23</f>
        <v>0</v>
      </c>
      <c r="O23" s="64" t="s">
        <v>259</v>
      </c>
      <c r="P23" s="65">
        <f>'18.Julio Oliveira'!Q14</f>
        <v>0</v>
      </c>
      <c r="Q23" s="18"/>
      <c r="R23" s="18"/>
      <c r="S23" s="18"/>
      <c r="T23" s="18"/>
      <c r="U23" s="18"/>
      <c r="V23" s="66"/>
    </row>
    <row r="24" spans="2:22" ht="16.2" thickTop="1" x14ac:dyDescent="0.3">
      <c r="P24" s="65"/>
      <c r="Q24" s="18"/>
      <c r="R24" s="18"/>
      <c r="S24" s="18"/>
      <c r="T24" s="18"/>
      <c r="U24" s="18"/>
    </row>
    <row r="25" spans="2:22" x14ac:dyDescent="0.3">
      <c r="Q25" s="18"/>
      <c r="R25" s="18"/>
      <c r="S25" s="18"/>
      <c r="T25" s="18"/>
      <c r="U25" s="18"/>
    </row>
    <row r="26" spans="2:22" ht="18" x14ac:dyDescent="0.3">
      <c r="B26" s="75"/>
      <c r="C26" s="41" t="s">
        <v>201</v>
      </c>
      <c r="D26" s="49">
        <v>2</v>
      </c>
      <c r="E26" s="6" t="s">
        <v>20</v>
      </c>
      <c r="F26" s="49">
        <v>0</v>
      </c>
      <c r="G26" s="43" t="s">
        <v>202</v>
      </c>
      <c r="H26" s="60"/>
      <c r="I26" s="76"/>
    </row>
    <row r="27" spans="2:22" x14ac:dyDescent="0.3">
      <c r="B27" s="74"/>
    </row>
    <row r="28" spans="2:22" x14ac:dyDescent="0.3">
      <c r="B28" s="74"/>
    </row>
    <row r="29" spans="2:22" ht="16.8" x14ac:dyDescent="0.3">
      <c r="E29" s="75"/>
      <c r="F29" s="60"/>
      <c r="G29" s="77" t="s">
        <v>147</v>
      </c>
      <c r="H29" s="60"/>
      <c r="I29" s="76"/>
    </row>
    <row r="30" spans="2:22" ht="16.8" x14ac:dyDescent="0.3">
      <c r="E30" s="75"/>
      <c r="F30" s="60"/>
      <c r="G30" s="60"/>
      <c r="H30" s="60"/>
      <c r="I30" s="76"/>
    </row>
    <row r="31" spans="2:22" ht="16.8" x14ac:dyDescent="0.3">
      <c r="E31" s="75"/>
      <c r="F31" s="60"/>
      <c r="G31" s="60"/>
      <c r="H31" s="60"/>
      <c r="I31" s="76"/>
    </row>
    <row r="32" spans="2:22" ht="16.8" x14ac:dyDescent="0.3">
      <c r="E32" s="75"/>
      <c r="F32" s="60"/>
      <c r="G32" s="60"/>
      <c r="H32" s="60"/>
      <c r="I32" s="76"/>
    </row>
    <row r="33" spans="5:9" ht="16.8" x14ac:dyDescent="0.3">
      <c r="E33" s="75"/>
      <c r="F33" s="60"/>
      <c r="G33" s="60"/>
      <c r="H33" s="60"/>
      <c r="I33" s="76"/>
    </row>
    <row r="34" spans="5:9" ht="16.8" x14ac:dyDescent="0.3">
      <c r="E34" s="75"/>
      <c r="F34" s="60"/>
      <c r="G34" s="60"/>
      <c r="H34" s="60"/>
      <c r="I34" s="76"/>
    </row>
    <row r="35" spans="5:9" ht="16.8" x14ac:dyDescent="0.3">
      <c r="E35" s="75"/>
      <c r="F35" s="60"/>
      <c r="G35" s="60"/>
      <c r="H35" s="60"/>
      <c r="I35" s="76"/>
    </row>
    <row r="36" spans="5:9" ht="16.8" x14ac:dyDescent="0.3">
      <c r="E36" s="75"/>
      <c r="F36" s="60"/>
      <c r="G36" s="60"/>
      <c r="H36" s="60"/>
      <c r="I36" s="76"/>
    </row>
    <row r="37" spans="5:9" ht="16.8" x14ac:dyDescent="0.3">
      <c r="E37" s="75"/>
      <c r="F37" s="60"/>
      <c r="G37" s="60"/>
      <c r="H37" s="60"/>
      <c r="I37" s="76"/>
    </row>
    <row r="38" spans="5:9" ht="16.8" x14ac:dyDescent="0.3">
      <c r="E38" s="75"/>
      <c r="F38" s="60"/>
      <c r="G38" s="60"/>
      <c r="H38" s="60"/>
      <c r="I38" s="76"/>
    </row>
    <row r="39" spans="5:9" ht="16.8" x14ac:dyDescent="0.3">
      <c r="E39" s="75"/>
      <c r="F39" s="60"/>
      <c r="G39" s="60"/>
      <c r="H39" s="60"/>
      <c r="I39" s="76"/>
    </row>
    <row r="40" spans="5:9" ht="16.8" x14ac:dyDescent="0.3">
      <c r="E40" s="75"/>
      <c r="F40" s="60"/>
      <c r="G40" s="60"/>
      <c r="H40" s="60"/>
      <c r="I40" s="76"/>
    </row>
    <row r="41" spans="5:9" ht="16.8" x14ac:dyDescent="0.3">
      <c r="E41" s="75"/>
      <c r="F41" s="60"/>
      <c r="G41" s="60"/>
      <c r="H41" s="60"/>
      <c r="I41" s="76"/>
    </row>
    <row r="42" spans="5:9" ht="16.8" x14ac:dyDescent="0.3">
      <c r="E42" s="75"/>
      <c r="F42" s="60"/>
      <c r="G42" s="60"/>
      <c r="H42" s="60"/>
      <c r="I42" s="76"/>
    </row>
    <row r="43" spans="5:9" ht="16.8" x14ac:dyDescent="0.3">
      <c r="E43" s="75"/>
      <c r="F43" s="60"/>
      <c r="G43" s="60"/>
      <c r="H43" s="60"/>
      <c r="I43" s="76"/>
    </row>
    <row r="44" spans="5:9" ht="16.8" x14ac:dyDescent="0.3">
      <c r="E44" s="75"/>
      <c r="F44" s="60"/>
      <c r="G44" s="60"/>
      <c r="H44" s="60"/>
      <c r="I44" s="76"/>
    </row>
    <row r="45" spans="5:9" ht="16.8" x14ac:dyDescent="0.3">
      <c r="E45" s="75"/>
      <c r="F45" s="60"/>
      <c r="G45" s="60"/>
      <c r="H45" s="60"/>
      <c r="I45" s="76"/>
    </row>
    <row r="46" spans="5:9" ht="16.8" x14ac:dyDescent="0.3">
      <c r="E46" s="75"/>
      <c r="F46" s="60"/>
      <c r="G46" s="60"/>
      <c r="H46" s="60"/>
      <c r="I46" s="76"/>
    </row>
    <row r="47" spans="5:9" ht="16.8" x14ac:dyDescent="0.3">
      <c r="E47" s="75"/>
      <c r="F47" s="60"/>
      <c r="G47" s="60"/>
      <c r="H47" s="60"/>
      <c r="I47" s="76"/>
    </row>
    <row r="48" spans="5:9" ht="16.8" x14ac:dyDescent="0.3">
      <c r="E48" s="75"/>
      <c r="F48" s="60"/>
      <c r="G48" s="60"/>
      <c r="H48" s="60"/>
      <c r="I48" s="76"/>
    </row>
    <row r="49" spans="2:10" ht="16.8" x14ac:dyDescent="0.3">
      <c r="E49" s="75"/>
      <c r="F49" s="60"/>
      <c r="G49" s="60"/>
      <c r="H49" s="60"/>
      <c r="I49" s="76"/>
    </row>
    <row r="50" spans="2:10" ht="16.8" x14ac:dyDescent="0.3">
      <c r="E50" s="75"/>
      <c r="F50" s="60"/>
      <c r="G50" s="60"/>
      <c r="H50" s="60"/>
      <c r="I50" s="76"/>
    </row>
    <row r="51" spans="2:10" ht="16.8" x14ac:dyDescent="0.3">
      <c r="E51" s="75"/>
      <c r="F51" s="60"/>
      <c r="G51" s="60"/>
      <c r="H51" s="60"/>
      <c r="I51" s="76"/>
    </row>
    <row r="52" spans="2:10" ht="16.8" x14ac:dyDescent="0.3">
      <c r="E52" s="75"/>
      <c r="F52" s="60"/>
      <c r="G52" s="60"/>
      <c r="H52" s="60"/>
      <c r="I52" s="76"/>
    </row>
    <row r="53" spans="2:10" ht="16.8" x14ac:dyDescent="0.3">
      <c r="E53" s="75"/>
      <c r="F53" s="60"/>
      <c r="G53" s="60"/>
      <c r="H53" s="60"/>
      <c r="I53" s="76"/>
    </row>
    <row r="54" spans="2:10" ht="16.8" x14ac:dyDescent="0.3">
      <c r="E54" s="75"/>
      <c r="F54" s="60"/>
      <c r="G54" s="60"/>
      <c r="H54" s="60"/>
      <c r="I54" s="76"/>
    </row>
    <row r="55" spans="2:10" ht="16.8" x14ac:dyDescent="0.3">
      <c r="E55" s="75"/>
      <c r="F55" s="60"/>
      <c r="G55" s="60"/>
      <c r="H55" s="60"/>
      <c r="I55" s="76"/>
    </row>
    <row r="56" spans="2:10" ht="16.8" x14ac:dyDescent="0.3">
      <c r="E56" s="75"/>
      <c r="F56" s="60"/>
      <c r="G56" s="60"/>
      <c r="H56" s="60"/>
      <c r="I56" s="76"/>
    </row>
    <row r="57" spans="2:10" ht="16.8" x14ac:dyDescent="0.3">
      <c r="E57" s="75"/>
      <c r="F57" s="60"/>
      <c r="G57" s="60"/>
      <c r="H57" s="60"/>
      <c r="I57" s="76"/>
    </row>
    <row r="58" spans="2:10" ht="16.8" x14ac:dyDescent="0.3">
      <c r="E58" s="75"/>
      <c r="F58" s="60"/>
      <c r="G58" s="60"/>
      <c r="H58" s="60"/>
      <c r="I58" s="76"/>
    </row>
    <row r="59" spans="2:10" ht="16.8" x14ac:dyDescent="0.3">
      <c r="E59" s="75"/>
      <c r="F59" s="60"/>
      <c r="G59" s="60"/>
      <c r="H59" s="60"/>
      <c r="I59" s="76"/>
    </row>
    <row r="64" spans="2:10" x14ac:dyDescent="0.3">
      <c r="B64" s="99"/>
      <c r="C64" s="99"/>
      <c r="D64" s="99"/>
      <c r="E64" s="73"/>
      <c r="F64" s="73"/>
      <c r="G64" s="73"/>
      <c r="H64" s="99"/>
      <c r="I64" s="99"/>
      <c r="J64" s="99"/>
    </row>
    <row r="70" spans="2:10" x14ac:dyDescent="0.3">
      <c r="B70" s="99"/>
      <c r="C70" s="99"/>
      <c r="D70" s="99"/>
      <c r="E70" s="73"/>
      <c r="F70" s="73"/>
      <c r="G70" s="73"/>
      <c r="H70" s="99"/>
      <c r="I70" s="99"/>
      <c r="J70" s="99"/>
    </row>
    <row r="76" spans="2:10" x14ac:dyDescent="0.3">
      <c r="B76" s="99"/>
      <c r="C76" s="99"/>
      <c r="D76" s="99"/>
      <c r="E76" s="73"/>
      <c r="F76" s="73"/>
      <c r="G76" s="73"/>
      <c r="H76" s="99"/>
      <c r="I76" s="99"/>
      <c r="J76" s="99"/>
    </row>
    <row r="82" spans="2:10" x14ac:dyDescent="0.3">
      <c r="B82" s="99"/>
      <c r="C82" s="99"/>
      <c r="D82" s="99"/>
      <c r="E82" s="73"/>
      <c r="F82" s="73"/>
      <c r="G82" s="73"/>
      <c r="H82" s="99"/>
      <c r="I82" s="99"/>
      <c r="J82" s="99"/>
    </row>
    <row r="83" spans="2:10" x14ac:dyDescent="0.3">
      <c r="B83" s="99"/>
      <c r="C83" s="99"/>
      <c r="D83" s="99"/>
      <c r="E83" s="73"/>
      <c r="F83" s="73"/>
      <c r="G83" s="73"/>
      <c r="H83" s="99"/>
      <c r="I83" s="99"/>
      <c r="J83" s="99"/>
    </row>
    <row r="88" spans="2:10" x14ac:dyDescent="0.3">
      <c r="B88" s="99"/>
      <c r="C88" s="99"/>
      <c r="D88" s="99"/>
      <c r="E88" s="73"/>
      <c r="F88" s="73"/>
      <c r="G88" s="73"/>
      <c r="H88" s="99"/>
      <c r="I88" s="99"/>
      <c r="J88" s="99"/>
    </row>
    <row r="89" spans="2:10" x14ac:dyDescent="0.3">
      <c r="B89" s="99"/>
      <c r="C89" s="99"/>
      <c r="D89" s="99"/>
      <c r="E89" s="73"/>
      <c r="F89" s="73"/>
      <c r="G89" s="73"/>
      <c r="H89" s="99"/>
      <c r="I89" s="99"/>
      <c r="J89" s="99"/>
    </row>
    <row r="94" spans="2:10" x14ac:dyDescent="0.3">
      <c r="B94" s="99"/>
      <c r="C94" s="99"/>
      <c r="D94" s="99"/>
      <c r="E94" s="73"/>
      <c r="F94" s="73"/>
      <c r="G94" s="73"/>
      <c r="H94" s="99"/>
      <c r="I94" s="99"/>
      <c r="J94" s="99"/>
    </row>
    <row r="100" spans="2:10" x14ac:dyDescent="0.3">
      <c r="B100" s="99"/>
      <c r="C100" s="99"/>
      <c r="D100" s="99"/>
      <c r="E100" s="73"/>
      <c r="F100" s="73"/>
      <c r="G100" s="73"/>
      <c r="H100" s="99"/>
      <c r="I100" s="99"/>
      <c r="J100" s="99"/>
    </row>
    <row r="106" spans="2:10" x14ac:dyDescent="0.3">
      <c r="B106" s="99"/>
      <c r="C106" s="99"/>
      <c r="D106" s="99"/>
      <c r="E106" s="73"/>
      <c r="F106" s="73"/>
      <c r="G106" s="73"/>
      <c r="H106" s="99"/>
      <c r="I106" s="99"/>
      <c r="J106" s="99"/>
    </row>
    <row r="107" spans="2:10" x14ac:dyDescent="0.3">
      <c r="B107" s="99"/>
      <c r="C107" s="99"/>
      <c r="D107" s="99"/>
      <c r="E107" s="73"/>
      <c r="F107" s="73"/>
      <c r="G107" s="73"/>
      <c r="H107" s="99"/>
      <c r="I107" s="99"/>
      <c r="J107" s="99"/>
    </row>
    <row r="112" spans="2:10" x14ac:dyDescent="0.3">
      <c r="B112" s="99"/>
      <c r="C112" s="99"/>
      <c r="D112" s="99"/>
      <c r="E112" s="73"/>
      <c r="F112" s="73"/>
      <c r="G112" s="73"/>
      <c r="H112" s="99"/>
      <c r="I112" s="99"/>
      <c r="J112" s="99"/>
    </row>
    <row r="113" spans="2:10" x14ac:dyDescent="0.3">
      <c r="B113" s="99"/>
      <c r="C113" s="99"/>
      <c r="D113" s="99"/>
      <c r="E113" s="73"/>
      <c r="F113" s="73"/>
      <c r="G113" s="73"/>
      <c r="H113" s="99"/>
      <c r="I113" s="99"/>
      <c r="J113" s="99"/>
    </row>
    <row r="114" spans="2:10" x14ac:dyDescent="0.3">
      <c r="B114" s="99"/>
      <c r="C114" s="99"/>
      <c r="D114" s="99"/>
      <c r="E114" s="73"/>
      <c r="F114" s="73"/>
      <c r="G114" s="73"/>
      <c r="H114" s="99"/>
      <c r="I114" s="99"/>
      <c r="J114" s="99"/>
    </row>
    <row r="118" spans="2:10" x14ac:dyDescent="0.3">
      <c r="B118" s="99"/>
      <c r="C118" s="99"/>
      <c r="D118" s="99"/>
      <c r="E118" s="73"/>
      <c r="F118" s="73"/>
      <c r="G118" s="73"/>
      <c r="H118" s="99"/>
      <c r="I118" s="99"/>
      <c r="J118" s="99"/>
    </row>
    <row r="119" spans="2:10" x14ac:dyDescent="0.3">
      <c r="B119" s="99"/>
      <c r="C119" s="99"/>
      <c r="D119" s="99"/>
      <c r="E119" s="73"/>
      <c r="F119" s="73"/>
      <c r="G119" s="73"/>
      <c r="H119" s="99"/>
      <c r="I119" s="99"/>
      <c r="J119" s="99"/>
    </row>
    <row r="124" spans="2:10" x14ac:dyDescent="0.3">
      <c r="B124" s="99"/>
      <c r="C124" s="99"/>
      <c r="D124" s="99"/>
      <c r="E124" s="73"/>
      <c r="F124" s="73"/>
      <c r="G124" s="73"/>
      <c r="H124" s="99"/>
      <c r="I124" s="99"/>
      <c r="J124" s="99"/>
    </row>
    <row r="130" spans="2:10" x14ac:dyDescent="0.3">
      <c r="B130" s="99"/>
      <c r="C130" s="99"/>
      <c r="D130" s="99"/>
      <c r="E130" s="73"/>
      <c r="F130" s="73"/>
      <c r="G130" s="73"/>
      <c r="H130" s="99"/>
      <c r="I130" s="99"/>
      <c r="J130" s="99"/>
    </row>
    <row r="131" spans="2:10" x14ac:dyDescent="0.3">
      <c r="B131" s="99"/>
      <c r="C131" s="99"/>
      <c r="D131" s="99"/>
      <c r="E131" s="73"/>
      <c r="F131" s="73"/>
      <c r="G131" s="73"/>
      <c r="H131" s="99"/>
      <c r="I131" s="99"/>
      <c r="J131" s="99"/>
    </row>
    <row r="132" spans="2:10" x14ac:dyDescent="0.3">
      <c r="B132" s="99"/>
      <c r="C132" s="99"/>
      <c r="D132" s="99"/>
      <c r="E132" s="73"/>
      <c r="F132" s="73"/>
      <c r="G132" s="73"/>
      <c r="H132" s="99"/>
      <c r="I132" s="99"/>
      <c r="J132" s="99"/>
    </row>
    <row r="136" spans="2:10" x14ac:dyDescent="0.3">
      <c r="B136" s="99"/>
      <c r="C136" s="99"/>
      <c r="D136" s="99"/>
      <c r="E136" s="73"/>
      <c r="F136" s="73"/>
      <c r="G136" s="73"/>
      <c r="H136" s="99"/>
      <c r="I136" s="99"/>
      <c r="J136" s="99"/>
    </row>
    <row r="137" spans="2:10" x14ac:dyDescent="0.3">
      <c r="B137" s="99"/>
      <c r="C137" s="99"/>
      <c r="D137" s="99"/>
      <c r="E137" s="73"/>
      <c r="F137" s="73"/>
      <c r="G137" s="73"/>
      <c r="H137" s="99"/>
      <c r="I137" s="99"/>
      <c r="J137" s="99"/>
    </row>
    <row r="142" spans="2:10" x14ac:dyDescent="0.3">
      <c r="B142" s="99"/>
      <c r="C142" s="99"/>
      <c r="D142" s="99"/>
      <c r="E142" s="73"/>
      <c r="F142" s="73"/>
      <c r="G142" s="73"/>
      <c r="H142" s="99"/>
      <c r="I142" s="99"/>
      <c r="J142" s="99"/>
    </row>
    <row r="148" spans="2:10" x14ac:dyDescent="0.3">
      <c r="B148" s="99"/>
      <c r="C148" s="99"/>
      <c r="D148" s="99"/>
      <c r="E148" s="73"/>
      <c r="F148" s="73"/>
      <c r="G148" s="73"/>
      <c r="H148" s="99"/>
      <c r="I148" s="99"/>
      <c r="J148" s="99"/>
    </row>
    <row r="149" spans="2:10" x14ac:dyDescent="0.3">
      <c r="B149" s="99"/>
      <c r="C149" s="99"/>
      <c r="D149" s="99"/>
      <c r="E149" s="73"/>
      <c r="F149" s="73"/>
      <c r="G149" s="73"/>
      <c r="H149" s="99"/>
      <c r="I149" s="99"/>
      <c r="J149" s="99"/>
    </row>
    <row r="150" spans="2:10" x14ac:dyDescent="0.3">
      <c r="B150" s="99"/>
      <c r="C150" s="99"/>
      <c r="D150" s="99"/>
      <c r="E150" s="73"/>
      <c r="F150" s="73"/>
      <c r="G150" s="73"/>
      <c r="H150" s="99"/>
      <c r="I150" s="99"/>
      <c r="J150" s="99"/>
    </row>
    <row r="151" spans="2:10" x14ac:dyDescent="0.3">
      <c r="B151" s="99"/>
      <c r="C151" s="99"/>
      <c r="D151" s="99"/>
      <c r="E151" s="73"/>
      <c r="F151" s="73"/>
      <c r="G151" s="73"/>
      <c r="H151" s="99"/>
      <c r="I151" s="99"/>
      <c r="J151" s="99"/>
    </row>
    <row r="154" spans="2:10" x14ac:dyDescent="0.3">
      <c r="B154" s="99"/>
      <c r="C154" s="99"/>
      <c r="D154" s="99"/>
      <c r="E154" s="73"/>
      <c r="F154" s="73"/>
      <c r="G154" s="73"/>
      <c r="H154" s="99"/>
      <c r="I154" s="99"/>
      <c r="J154" s="99"/>
    </row>
    <row r="160" spans="2:10" x14ac:dyDescent="0.3">
      <c r="B160" s="99"/>
      <c r="C160" s="99"/>
      <c r="D160" s="99"/>
      <c r="E160" s="73"/>
      <c r="F160" s="73"/>
      <c r="G160" s="73"/>
      <c r="H160" s="99"/>
      <c r="I160" s="99"/>
      <c r="J160" s="99"/>
    </row>
    <row r="161" spans="2:10" x14ac:dyDescent="0.3">
      <c r="B161" s="99"/>
      <c r="C161" s="99"/>
      <c r="D161" s="99"/>
      <c r="E161" s="73"/>
      <c r="F161" s="73"/>
      <c r="G161" s="73"/>
      <c r="H161" s="99"/>
      <c r="I161" s="99"/>
      <c r="J161" s="99"/>
    </row>
    <row r="164" spans="2:10" x14ac:dyDescent="0.3">
      <c r="B164" s="99"/>
      <c r="C164" s="99"/>
      <c r="D164" s="99"/>
      <c r="E164" s="73"/>
      <c r="F164" s="73"/>
      <c r="G164" s="73"/>
      <c r="H164" s="99"/>
      <c r="I164" s="99"/>
      <c r="J164" s="99"/>
    </row>
    <row r="170" spans="2:10" x14ac:dyDescent="0.3">
      <c r="B170" s="99"/>
      <c r="C170" s="99"/>
      <c r="D170" s="99"/>
      <c r="E170" s="73"/>
      <c r="F170" s="73"/>
      <c r="G170" s="73"/>
      <c r="H170" s="99"/>
      <c r="I170" s="99"/>
      <c r="J170" s="99"/>
    </row>
    <row r="176" spans="2:10" x14ac:dyDescent="0.3">
      <c r="B176" s="99"/>
      <c r="C176" s="99"/>
      <c r="D176" s="99"/>
      <c r="E176" s="73"/>
      <c r="F176" s="73"/>
      <c r="G176" s="73"/>
      <c r="H176" s="99"/>
      <c r="I176" s="99"/>
      <c r="J176" s="99"/>
    </row>
    <row r="182" spans="2:10" x14ac:dyDescent="0.3">
      <c r="B182" s="99"/>
      <c r="C182" s="99"/>
      <c r="D182" s="99"/>
      <c r="E182" s="73"/>
      <c r="F182" s="73"/>
      <c r="G182" s="73"/>
      <c r="H182" s="99"/>
      <c r="I182" s="99"/>
      <c r="J182" s="99"/>
    </row>
    <row r="188" spans="2:10" x14ac:dyDescent="0.3">
      <c r="B188" s="99"/>
      <c r="C188" s="99"/>
      <c r="D188" s="99"/>
      <c r="E188" s="73"/>
      <c r="F188" s="73"/>
      <c r="G188" s="73"/>
      <c r="H188" s="99"/>
      <c r="I188" s="99"/>
      <c r="J188" s="99"/>
    </row>
    <row r="189" spans="2:10" x14ac:dyDescent="0.3">
      <c r="B189" s="99"/>
      <c r="C189" s="99"/>
      <c r="D189" s="99"/>
      <c r="E189" s="73"/>
      <c r="F189" s="73"/>
      <c r="G189" s="73"/>
      <c r="H189" s="99"/>
      <c r="I189" s="99"/>
      <c r="J189" s="99"/>
    </row>
    <row r="194" spans="2:10" x14ac:dyDescent="0.3">
      <c r="B194" s="99"/>
      <c r="C194" s="99"/>
      <c r="D194" s="99"/>
      <c r="E194" s="73"/>
      <c r="F194" s="73"/>
      <c r="G194" s="73"/>
      <c r="H194" s="99"/>
      <c r="I194" s="99"/>
      <c r="J194" s="99"/>
    </row>
    <row r="195" spans="2:10" x14ac:dyDescent="0.3">
      <c r="B195" s="99"/>
      <c r="C195" s="99"/>
      <c r="D195" s="99"/>
      <c r="E195" s="73"/>
      <c r="F195" s="73"/>
      <c r="G195" s="73"/>
      <c r="H195" s="99"/>
      <c r="I195" s="99"/>
      <c r="J195" s="99"/>
    </row>
    <row r="200" spans="2:10" x14ac:dyDescent="0.3">
      <c r="B200" s="99"/>
      <c r="C200" s="99"/>
      <c r="D200" s="99"/>
      <c r="E200" s="73"/>
      <c r="F200" s="73"/>
      <c r="G200" s="73"/>
      <c r="H200" s="99"/>
      <c r="I200" s="99"/>
      <c r="J200" s="99"/>
    </row>
    <row r="206" spans="2:10" x14ac:dyDescent="0.3">
      <c r="B206" s="99"/>
      <c r="C206" s="99"/>
      <c r="D206" s="99"/>
      <c r="E206" s="73"/>
      <c r="F206" s="73"/>
      <c r="G206" s="73"/>
      <c r="H206" s="99"/>
      <c r="I206" s="99"/>
      <c r="J206" s="99"/>
    </row>
    <row r="212" spans="2:10" x14ac:dyDescent="0.3">
      <c r="B212" s="99"/>
      <c r="C212" s="99"/>
      <c r="D212" s="99"/>
      <c r="E212" s="73"/>
      <c r="F212" s="73"/>
      <c r="G212" s="73"/>
      <c r="H212" s="99"/>
      <c r="I212" s="99"/>
      <c r="J212" s="99"/>
    </row>
    <row r="213" spans="2:10" x14ac:dyDescent="0.3">
      <c r="B213" s="99"/>
      <c r="C213" s="99"/>
      <c r="D213" s="99"/>
      <c r="E213" s="73"/>
      <c r="F213" s="73"/>
      <c r="G213" s="73"/>
      <c r="H213" s="99"/>
      <c r="I213" s="99"/>
      <c r="J213" s="99"/>
    </row>
    <row r="218" spans="2:10" x14ac:dyDescent="0.3">
      <c r="B218" s="99"/>
      <c r="C218" s="99"/>
      <c r="D218" s="99"/>
      <c r="E218" s="73"/>
      <c r="F218" s="73"/>
      <c r="G218" s="73"/>
      <c r="H218" s="99"/>
      <c r="I218" s="99"/>
      <c r="J218" s="99"/>
    </row>
    <row r="219" spans="2:10" x14ac:dyDescent="0.3">
      <c r="B219" s="99"/>
      <c r="C219" s="99"/>
      <c r="D219" s="99"/>
      <c r="E219" s="73"/>
      <c r="F219" s="73"/>
      <c r="G219" s="73"/>
      <c r="H219" s="99"/>
      <c r="I219" s="99"/>
      <c r="J219" s="99"/>
    </row>
    <row r="220" spans="2:10" x14ac:dyDescent="0.3">
      <c r="B220" s="99"/>
      <c r="C220" s="99"/>
      <c r="D220" s="99"/>
      <c r="E220" s="73"/>
      <c r="F220" s="73"/>
      <c r="G220" s="73"/>
      <c r="H220" s="99"/>
      <c r="I220" s="99"/>
      <c r="J220" s="99"/>
    </row>
    <row r="224" spans="2:10" x14ac:dyDescent="0.3">
      <c r="B224" s="99"/>
      <c r="C224" s="99"/>
      <c r="D224" s="99"/>
      <c r="E224" s="73"/>
      <c r="F224" s="73"/>
      <c r="G224" s="73"/>
      <c r="H224" s="99"/>
      <c r="I224" s="99"/>
      <c r="J224" s="99"/>
    </row>
    <row r="225" spans="2:10" x14ac:dyDescent="0.3">
      <c r="B225" s="99"/>
      <c r="C225" s="99"/>
      <c r="D225" s="99"/>
      <c r="E225" s="73"/>
      <c r="F225" s="73"/>
      <c r="G225" s="73"/>
      <c r="H225" s="99"/>
      <c r="I225" s="99"/>
      <c r="J225" s="99"/>
    </row>
    <row r="230" spans="2:10" x14ac:dyDescent="0.3">
      <c r="B230" s="99"/>
      <c r="C230" s="99"/>
      <c r="D230" s="99"/>
      <c r="E230" s="73"/>
      <c r="F230" s="73"/>
      <c r="G230" s="73"/>
      <c r="H230" s="99"/>
      <c r="I230" s="99"/>
      <c r="J230" s="99"/>
    </row>
    <row r="236" spans="2:10" x14ac:dyDescent="0.3">
      <c r="B236" s="99"/>
      <c r="C236" s="99"/>
      <c r="D236" s="99"/>
      <c r="E236" s="73"/>
      <c r="F236" s="73"/>
      <c r="G236" s="73"/>
      <c r="H236" s="99"/>
      <c r="I236" s="99"/>
      <c r="J236" s="99"/>
    </row>
    <row r="237" spans="2:10" x14ac:dyDescent="0.3">
      <c r="B237" s="99"/>
      <c r="C237" s="99"/>
      <c r="D237" s="99"/>
      <c r="E237" s="73"/>
      <c r="F237" s="73"/>
      <c r="G237" s="73"/>
      <c r="H237" s="99"/>
      <c r="I237" s="99"/>
      <c r="J237" s="99"/>
    </row>
    <row r="238" spans="2:10" x14ac:dyDescent="0.3">
      <c r="B238" s="99"/>
      <c r="C238" s="99"/>
      <c r="D238" s="99"/>
      <c r="E238" s="73"/>
      <c r="F238" s="73"/>
      <c r="G238" s="73"/>
      <c r="H238" s="99"/>
      <c r="I238" s="99"/>
      <c r="J238" s="99"/>
    </row>
    <row r="242" spans="2:10" x14ac:dyDescent="0.3">
      <c r="B242" s="99"/>
      <c r="C242" s="99"/>
      <c r="D242" s="99"/>
      <c r="E242" s="73"/>
      <c r="F242" s="73"/>
      <c r="G242" s="73"/>
      <c r="H242" s="99"/>
      <c r="I242" s="99"/>
      <c r="J242" s="99"/>
    </row>
    <row r="243" spans="2:10" x14ac:dyDescent="0.3">
      <c r="B243" s="99"/>
      <c r="C243" s="99"/>
      <c r="D243" s="99"/>
      <c r="E243" s="73"/>
      <c r="F243" s="73"/>
      <c r="G243" s="73"/>
      <c r="H243" s="99"/>
      <c r="I243" s="99"/>
      <c r="J243" s="99"/>
    </row>
    <row r="248" spans="2:10" x14ac:dyDescent="0.3">
      <c r="B248" s="99"/>
      <c r="C248" s="99"/>
      <c r="D248" s="99"/>
      <c r="E248" s="73"/>
      <c r="F248" s="73"/>
      <c r="G248" s="73"/>
      <c r="H248" s="99"/>
      <c r="I248" s="99"/>
      <c r="J248" s="99"/>
    </row>
    <row r="254" spans="2:10" x14ac:dyDescent="0.3">
      <c r="B254" s="99"/>
      <c r="C254" s="99"/>
      <c r="D254" s="99"/>
      <c r="E254" s="73"/>
      <c r="F254" s="73"/>
      <c r="G254" s="73"/>
      <c r="H254" s="99"/>
      <c r="I254" s="99"/>
      <c r="J254" s="99"/>
    </row>
    <row r="255" spans="2:10" x14ac:dyDescent="0.3">
      <c r="B255" s="99"/>
      <c r="C255" s="99"/>
      <c r="D255" s="99"/>
      <c r="E255" s="73"/>
      <c r="F255" s="73"/>
      <c r="G255" s="73"/>
      <c r="H255" s="99"/>
      <c r="I255" s="99"/>
      <c r="J255" s="99"/>
    </row>
    <row r="256" spans="2:10" x14ac:dyDescent="0.3">
      <c r="B256" s="99"/>
      <c r="C256" s="99"/>
      <c r="D256" s="99"/>
      <c r="E256" s="73"/>
      <c r="F256" s="73"/>
      <c r="G256" s="73"/>
      <c r="H256" s="99"/>
      <c r="I256" s="99"/>
      <c r="J256" s="99"/>
    </row>
    <row r="257" spans="2:10" x14ac:dyDescent="0.3">
      <c r="B257" s="99"/>
      <c r="C257" s="99"/>
      <c r="D257" s="99"/>
      <c r="E257" s="73"/>
      <c r="F257" s="73"/>
      <c r="G257" s="73"/>
      <c r="H257" s="99"/>
      <c r="I257" s="99"/>
      <c r="J257" s="99"/>
    </row>
    <row r="260" spans="2:10" x14ac:dyDescent="0.3">
      <c r="B260" s="99"/>
      <c r="C260" s="99"/>
      <c r="D260" s="99"/>
      <c r="E260" s="73"/>
      <c r="F260" s="73"/>
      <c r="G260" s="73"/>
      <c r="H260" s="99"/>
      <c r="I260" s="99"/>
      <c r="J260" s="99"/>
    </row>
    <row r="266" spans="2:10" x14ac:dyDescent="0.3">
      <c r="B266" s="99"/>
      <c r="C266" s="99"/>
      <c r="D266" s="99"/>
      <c r="E266" s="73"/>
      <c r="F266" s="73"/>
      <c r="G266" s="73"/>
      <c r="H266" s="99"/>
      <c r="I266" s="99"/>
      <c r="J266" s="99"/>
    </row>
    <row r="267" spans="2:10" x14ac:dyDescent="0.3">
      <c r="B267" s="99"/>
      <c r="C267" s="99"/>
      <c r="D267" s="99"/>
      <c r="E267" s="73"/>
      <c r="F267" s="73"/>
      <c r="G267" s="73"/>
      <c r="H267" s="99"/>
      <c r="I267" s="99"/>
      <c r="J267" s="99"/>
    </row>
    <row r="272" spans="2:10" x14ac:dyDescent="0.3">
      <c r="B272" s="99"/>
      <c r="C272" s="99"/>
      <c r="D272" s="99"/>
      <c r="E272" s="73"/>
      <c r="F272" s="73"/>
      <c r="G272" s="73"/>
      <c r="H272" s="99"/>
      <c r="I272" s="99"/>
      <c r="J272" s="99"/>
    </row>
    <row r="273" spans="2:10" x14ac:dyDescent="0.3">
      <c r="B273" s="99"/>
      <c r="C273" s="99"/>
      <c r="D273" s="99"/>
      <c r="E273" s="73"/>
      <c r="F273" s="73"/>
      <c r="G273" s="73"/>
      <c r="H273" s="99"/>
      <c r="I273" s="99"/>
      <c r="J273" s="99"/>
    </row>
    <row r="274" spans="2:10" x14ac:dyDescent="0.3">
      <c r="B274" s="99"/>
      <c r="C274" s="99"/>
      <c r="D274" s="99"/>
      <c r="E274" s="73"/>
      <c r="F274" s="73"/>
      <c r="G274" s="73"/>
      <c r="H274" s="99"/>
      <c r="I274" s="99"/>
      <c r="J274" s="99"/>
    </row>
    <row r="275" spans="2:10" x14ac:dyDescent="0.3">
      <c r="B275" s="99"/>
      <c r="C275" s="99"/>
      <c r="D275" s="99"/>
      <c r="E275" s="73"/>
      <c r="F275" s="73"/>
      <c r="G275" s="73"/>
      <c r="H275" s="99"/>
      <c r="I275" s="99"/>
      <c r="J275" s="99"/>
    </row>
    <row r="278" spans="2:10" x14ac:dyDescent="0.3">
      <c r="B278" s="99"/>
      <c r="C278" s="99"/>
      <c r="D278" s="99"/>
      <c r="E278" s="73"/>
      <c r="F278" s="73"/>
      <c r="G278" s="73"/>
      <c r="H278" s="99"/>
      <c r="I278" s="99"/>
      <c r="J278" s="99"/>
    </row>
    <row r="284" spans="2:10" x14ac:dyDescent="0.3">
      <c r="B284" s="99"/>
      <c r="C284" s="99"/>
      <c r="D284" s="99"/>
      <c r="E284" s="73"/>
      <c r="F284" s="73"/>
      <c r="G284" s="73"/>
      <c r="H284" s="99"/>
      <c r="I284" s="99"/>
      <c r="J284" s="99"/>
    </row>
    <row r="290" spans="2:10" x14ac:dyDescent="0.3">
      <c r="B290" s="99"/>
      <c r="C290" s="99"/>
      <c r="D290" s="99"/>
      <c r="E290" s="73"/>
      <c r="F290" s="73"/>
      <c r="G290" s="73"/>
      <c r="H290" s="99"/>
      <c r="I290" s="99"/>
      <c r="J290" s="99"/>
    </row>
    <row r="296" spans="2:10" x14ac:dyDescent="0.3">
      <c r="B296" s="99"/>
      <c r="C296" s="99"/>
      <c r="D296" s="99"/>
      <c r="E296" s="73"/>
      <c r="F296" s="73"/>
      <c r="G296" s="73"/>
      <c r="H296" s="99"/>
      <c r="I296" s="99"/>
      <c r="J296" s="99"/>
    </row>
    <row r="302" spans="2:10" x14ac:dyDescent="0.3">
      <c r="B302" s="99"/>
      <c r="C302" s="99"/>
      <c r="D302" s="99"/>
      <c r="E302" s="73"/>
      <c r="F302" s="73"/>
      <c r="G302" s="73"/>
      <c r="H302" s="99"/>
      <c r="I302" s="99"/>
      <c r="J302" s="99"/>
    </row>
    <row r="303" spans="2:10" x14ac:dyDescent="0.3">
      <c r="B303" s="99"/>
      <c r="C303" s="99"/>
      <c r="D303" s="99"/>
      <c r="E303" s="73"/>
      <c r="F303" s="73"/>
      <c r="G303" s="73"/>
      <c r="H303" s="99"/>
      <c r="I303" s="99"/>
      <c r="J303" s="99"/>
    </row>
    <row r="308" spans="2:10" x14ac:dyDescent="0.3">
      <c r="B308" s="99"/>
      <c r="C308" s="99"/>
      <c r="D308" s="99"/>
      <c r="E308" s="73"/>
      <c r="F308" s="73"/>
      <c r="G308" s="73"/>
      <c r="H308" s="99"/>
      <c r="I308" s="99"/>
      <c r="J308" s="99"/>
    </row>
    <row r="309" spans="2:10" x14ac:dyDescent="0.3">
      <c r="B309" s="99"/>
      <c r="C309" s="99"/>
      <c r="D309" s="99"/>
      <c r="E309" s="73"/>
      <c r="F309" s="73"/>
      <c r="G309" s="73"/>
      <c r="H309" s="99"/>
      <c r="I309" s="99"/>
      <c r="J309" s="99"/>
    </row>
    <row r="314" spans="2:10" x14ac:dyDescent="0.3">
      <c r="B314" s="99"/>
      <c r="C314" s="99"/>
      <c r="D314" s="99"/>
      <c r="E314" s="73"/>
      <c r="F314" s="73"/>
      <c r="G314" s="73"/>
      <c r="H314" s="99"/>
      <c r="I314" s="99"/>
      <c r="J314" s="99"/>
    </row>
    <row r="320" spans="2:10" x14ac:dyDescent="0.3">
      <c r="B320" s="99"/>
      <c r="C320" s="99"/>
      <c r="D320" s="99"/>
      <c r="E320" s="73"/>
      <c r="F320" s="73"/>
      <c r="G320" s="73"/>
      <c r="H320" s="99"/>
      <c r="I320" s="99"/>
      <c r="J320" s="99"/>
    </row>
    <row r="326" spans="2:10" x14ac:dyDescent="0.3">
      <c r="B326" s="99"/>
      <c r="C326" s="99"/>
      <c r="D326" s="99"/>
      <c r="E326" s="73"/>
      <c r="F326" s="73"/>
      <c r="G326" s="73"/>
      <c r="H326" s="99"/>
      <c r="I326" s="99"/>
      <c r="J326" s="99"/>
    </row>
    <row r="327" spans="2:10" x14ac:dyDescent="0.3">
      <c r="B327" s="99"/>
      <c r="C327" s="99"/>
      <c r="D327" s="99"/>
      <c r="E327" s="73"/>
      <c r="F327" s="73"/>
      <c r="G327" s="73"/>
      <c r="H327" s="99"/>
      <c r="I327" s="99"/>
      <c r="J327" s="99"/>
    </row>
    <row r="332" spans="2:10" x14ac:dyDescent="0.3">
      <c r="B332" s="99"/>
      <c r="C332" s="99"/>
      <c r="D332" s="99"/>
      <c r="E332" s="73"/>
      <c r="F332" s="73"/>
      <c r="G332" s="73"/>
      <c r="H332" s="99"/>
      <c r="I332" s="99"/>
      <c r="J332" s="99"/>
    </row>
    <row r="333" spans="2:10" x14ac:dyDescent="0.3">
      <c r="B333" s="99"/>
      <c r="C333" s="99"/>
      <c r="D333" s="99"/>
      <c r="E333" s="73"/>
      <c r="F333" s="73"/>
      <c r="G333" s="73"/>
      <c r="H333" s="99"/>
      <c r="I333" s="99"/>
      <c r="J333" s="99"/>
    </row>
    <row r="334" spans="2:10" x14ac:dyDescent="0.3">
      <c r="B334" s="99"/>
      <c r="C334" s="99"/>
      <c r="D334" s="99"/>
      <c r="E334" s="73"/>
      <c r="F334" s="73"/>
      <c r="G334" s="73"/>
      <c r="H334" s="99"/>
      <c r="I334" s="99"/>
      <c r="J334" s="99"/>
    </row>
    <row r="338" spans="2:10" x14ac:dyDescent="0.3">
      <c r="B338" s="99"/>
      <c r="C338" s="99"/>
      <c r="D338" s="99"/>
      <c r="E338" s="73"/>
      <c r="F338" s="73"/>
      <c r="G338" s="73"/>
      <c r="H338" s="99"/>
      <c r="I338" s="99"/>
      <c r="J338" s="99"/>
    </row>
    <row r="339" spans="2:10" x14ac:dyDescent="0.3">
      <c r="B339" s="99"/>
      <c r="C339" s="99"/>
      <c r="D339" s="99"/>
      <c r="E339" s="73"/>
      <c r="F339" s="73"/>
      <c r="G339" s="73"/>
      <c r="H339" s="99"/>
      <c r="I339" s="99"/>
      <c r="J339" s="99"/>
    </row>
    <row r="344" spans="2:10" x14ac:dyDescent="0.3">
      <c r="B344" s="99"/>
      <c r="C344" s="99"/>
      <c r="D344" s="99"/>
      <c r="E344" s="73"/>
      <c r="F344" s="73"/>
      <c r="G344" s="73"/>
      <c r="H344" s="99"/>
      <c r="I344" s="99"/>
      <c r="J344" s="99"/>
    </row>
    <row r="350" spans="2:10" x14ac:dyDescent="0.3">
      <c r="B350" s="99"/>
      <c r="C350" s="99"/>
      <c r="D350" s="99"/>
      <c r="E350" s="73"/>
      <c r="F350" s="73"/>
      <c r="G350" s="73"/>
      <c r="H350" s="99"/>
      <c r="I350" s="99"/>
      <c r="J350" s="99"/>
    </row>
    <row r="351" spans="2:10" x14ac:dyDescent="0.3">
      <c r="B351" s="99"/>
      <c r="C351" s="99"/>
      <c r="D351" s="99"/>
      <c r="E351" s="73"/>
      <c r="F351" s="73"/>
      <c r="G351" s="73"/>
      <c r="H351" s="99"/>
      <c r="I351" s="99"/>
      <c r="J351" s="99"/>
    </row>
    <row r="352" spans="2:10" x14ac:dyDescent="0.3">
      <c r="B352" s="99"/>
      <c r="C352" s="99"/>
      <c r="D352" s="99"/>
      <c r="E352" s="73"/>
      <c r="F352" s="73"/>
      <c r="G352" s="73"/>
      <c r="H352" s="99"/>
      <c r="I352" s="99"/>
      <c r="J352" s="99"/>
    </row>
    <row r="356" spans="2:10" x14ac:dyDescent="0.3">
      <c r="B356" s="99"/>
      <c r="C356" s="99"/>
      <c r="D356" s="99"/>
      <c r="E356" s="73"/>
      <c r="F356" s="73"/>
      <c r="G356" s="73"/>
      <c r="H356" s="99"/>
      <c r="I356" s="99"/>
      <c r="J356" s="99"/>
    </row>
    <row r="357" spans="2:10" x14ac:dyDescent="0.3">
      <c r="B357" s="99"/>
      <c r="C357" s="99"/>
      <c r="D357" s="99"/>
      <c r="E357" s="73"/>
      <c r="F357" s="73"/>
      <c r="G357" s="73"/>
      <c r="H357" s="99"/>
      <c r="I357" s="99"/>
      <c r="J357" s="99"/>
    </row>
    <row r="362" spans="2:10" x14ac:dyDescent="0.3">
      <c r="B362" s="99"/>
      <c r="C362" s="99"/>
      <c r="D362" s="99"/>
      <c r="E362" s="73"/>
      <c r="F362" s="73"/>
      <c r="G362" s="73"/>
      <c r="H362" s="99"/>
      <c r="I362" s="99"/>
      <c r="J362" s="99"/>
    </row>
    <row r="368" spans="2:10" x14ac:dyDescent="0.3">
      <c r="B368" s="99"/>
      <c r="C368" s="99"/>
      <c r="D368" s="99"/>
      <c r="E368" s="73"/>
      <c r="F368" s="73"/>
      <c r="G368" s="73"/>
      <c r="H368" s="99"/>
      <c r="I368" s="99"/>
      <c r="J368" s="99"/>
    </row>
    <row r="369" spans="2:10" x14ac:dyDescent="0.3">
      <c r="B369" s="99"/>
      <c r="C369" s="99"/>
      <c r="D369" s="99"/>
      <c r="E369" s="73"/>
      <c r="F369" s="73"/>
      <c r="G369" s="73"/>
      <c r="H369" s="99"/>
      <c r="I369" s="99"/>
      <c r="J369" s="99"/>
    </row>
    <row r="370" spans="2:10" x14ac:dyDescent="0.3">
      <c r="B370" s="99"/>
      <c r="C370" s="99"/>
      <c r="D370" s="99"/>
      <c r="E370" s="73"/>
      <c r="F370" s="73"/>
      <c r="G370" s="73"/>
      <c r="H370" s="99"/>
      <c r="I370" s="99"/>
      <c r="J370" s="99"/>
    </row>
    <row r="371" spans="2:10" x14ac:dyDescent="0.3">
      <c r="B371" s="99"/>
      <c r="C371" s="99"/>
      <c r="D371" s="99"/>
      <c r="E371" s="73"/>
      <c r="F371" s="73"/>
      <c r="G371" s="73"/>
      <c r="H371" s="99"/>
      <c r="I371" s="99"/>
      <c r="J371" s="99"/>
    </row>
    <row r="374" spans="2:10" x14ac:dyDescent="0.3">
      <c r="B374" s="99"/>
      <c r="C374" s="99"/>
      <c r="D374" s="99"/>
      <c r="E374" s="73"/>
      <c r="F374" s="73"/>
      <c r="G374" s="73"/>
      <c r="H374" s="99"/>
      <c r="I374" s="99"/>
      <c r="J374" s="99"/>
    </row>
    <row r="380" spans="2:10" x14ac:dyDescent="0.3">
      <c r="B380" s="99"/>
      <c r="C380" s="99"/>
      <c r="D380" s="99"/>
      <c r="E380" s="73"/>
      <c r="F380" s="73"/>
      <c r="G380" s="73"/>
      <c r="H380" s="99"/>
      <c r="I380" s="99"/>
      <c r="J380" s="99"/>
    </row>
    <row r="381" spans="2:10" x14ac:dyDescent="0.3">
      <c r="B381" s="99"/>
      <c r="C381" s="99"/>
      <c r="D381" s="99"/>
      <c r="E381" s="73"/>
      <c r="F381" s="73"/>
      <c r="G381" s="73"/>
      <c r="H381" s="99"/>
      <c r="I381" s="99"/>
      <c r="J381" s="99"/>
    </row>
    <row r="383" spans="2:10" x14ac:dyDescent="0.3">
      <c r="B383" s="99"/>
      <c r="C383" s="99"/>
      <c r="D383" s="99"/>
      <c r="E383" s="73"/>
      <c r="F383" s="73"/>
      <c r="G383" s="73"/>
      <c r="H383" s="99"/>
      <c r="I383" s="99"/>
      <c r="J383" s="99"/>
    </row>
    <row r="389" spans="2:10" x14ac:dyDescent="0.3">
      <c r="B389" s="99"/>
      <c r="C389" s="99"/>
      <c r="D389" s="99"/>
      <c r="E389" s="73"/>
      <c r="F389" s="73"/>
      <c r="G389" s="73"/>
      <c r="H389" s="99"/>
      <c r="I389" s="99"/>
      <c r="J389" s="99"/>
    </row>
    <row r="390" spans="2:10" x14ac:dyDescent="0.3">
      <c r="B390" s="99"/>
      <c r="C390" s="99"/>
      <c r="D390" s="99"/>
      <c r="E390" s="73"/>
      <c r="F390" s="73"/>
      <c r="G390" s="73"/>
      <c r="H390" s="99"/>
      <c r="I390" s="99"/>
      <c r="J390" s="99"/>
    </row>
    <row r="395" spans="2:10" x14ac:dyDescent="0.3">
      <c r="B395" s="99"/>
      <c r="C395" s="99"/>
      <c r="D395" s="99"/>
      <c r="E395" s="73"/>
      <c r="F395" s="73"/>
      <c r="G395" s="73"/>
      <c r="H395" s="99"/>
      <c r="I395" s="99"/>
      <c r="J395" s="99"/>
    </row>
    <row r="396" spans="2:10" x14ac:dyDescent="0.3">
      <c r="B396" s="99"/>
      <c r="C396" s="99"/>
      <c r="D396" s="99"/>
      <c r="E396" s="73"/>
      <c r="F396" s="73"/>
      <c r="G396" s="73"/>
      <c r="H396" s="99"/>
      <c r="I396" s="99"/>
      <c r="J396" s="99"/>
    </row>
    <row r="397" spans="2:10" x14ac:dyDescent="0.3">
      <c r="B397" s="99"/>
      <c r="C397" s="99"/>
      <c r="D397" s="99"/>
      <c r="E397" s="73"/>
      <c r="F397" s="73"/>
      <c r="G397" s="73"/>
      <c r="H397" s="99"/>
      <c r="I397" s="99"/>
      <c r="J397" s="99"/>
    </row>
    <row r="398" spans="2:10" x14ac:dyDescent="0.3">
      <c r="B398" s="99"/>
      <c r="C398" s="99"/>
      <c r="D398" s="99"/>
      <c r="E398" s="73"/>
      <c r="F398" s="73"/>
      <c r="G398" s="73"/>
      <c r="H398" s="99"/>
      <c r="I398" s="99"/>
      <c r="J398" s="99"/>
    </row>
    <row r="399" spans="2:10" x14ac:dyDescent="0.3">
      <c r="B399" s="99"/>
      <c r="C399" s="99"/>
      <c r="D399" s="99"/>
      <c r="E399" s="73"/>
      <c r="F399" s="73"/>
      <c r="G399" s="73"/>
      <c r="H399" s="99"/>
      <c r="I399" s="99"/>
      <c r="J399" s="99"/>
    </row>
    <row r="400" spans="2:10" x14ac:dyDescent="0.3">
      <c r="B400" s="99"/>
      <c r="C400" s="99"/>
      <c r="D400" s="99"/>
      <c r="E400" s="73"/>
      <c r="F400" s="73"/>
      <c r="G400" s="73"/>
      <c r="H400" s="99"/>
      <c r="I400" s="99"/>
      <c r="J400" s="99"/>
    </row>
    <row r="401" spans="2:10" x14ac:dyDescent="0.3">
      <c r="B401" s="99"/>
      <c r="C401" s="99"/>
      <c r="D401" s="99"/>
      <c r="E401" s="73"/>
      <c r="F401" s="73"/>
      <c r="G401" s="73"/>
      <c r="H401" s="99"/>
      <c r="I401" s="99"/>
      <c r="J401" s="99"/>
    </row>
    <row r="402" spans="2:10" x14ac:dyDescent="0.3">
      <c r="B402" s="99"/>
      <c r="C402" s="99"/>
      <c r="D402" s="99"/>
      <c r="E402" s="73"/>
      <c r="F402" s="73"/>
      <c r="G402" s="73"/>
      <c r="H402" s="99"/>
      <c r="I402" s="99"/>
      <c r="J402" s="99"/>
    </row>
  </sheetData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111</v>
      </c>
    </row>
    <row r="2" spans="1:5" x14ac:dyDescent="0.3">
      <c r="A2" s="12" t="s">
        <v>12</v>
      </c>
      <c r="B2" s="2">
        <v>2</v>
      </c>
      <c r="C2" s="2" t="s">
        <v>34</v>
      </c>
      <c r="D2" s="2">
        <v>1</v>
      </c>
      <c r="E2" s="13" t="s">
        <v>134</v>
      </c>
    </row>
    <row r="3" spans="1:5" x14ac:dyDescent="0.3">
      <c r="A3" s="12" t="s">
        <v>5</v>
      </c>
      <c r="B3" s="2">
        <v>2</v>
      </c>
      <c r="C3" s="2" t="s">
        <v>34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34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34</v>
      </c>
      <c r="D5" s="2">
        <v>0</v>
      </c>
      <c r="E5" s="13" t="s">
        <v>135</v>
      </c>
    </row>
    <row r="6" spans="1:5" x14ac:dyDescent="0.3">
      <c r="A6" s="12" t="s">
        <v>13</v>
      </c>
      <c r="B6" s="2">
        <v>2</v>
      </c>
      <c r="C6" s="2" t="s">
        <v>34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34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34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34</v>
      </c>
      <c r="D9" s="2">
        <v>2</v>
      </c>
      <c r="E9" s="13" t="s">
        <v>19</v>
      </c>
    </row>
    <row r="11" spans="1:5" x14ac:dyDescent="0.3">
      <c r="A11" s="12" t="s">
        <v>112</v>
      </c>
    </row>
    <row r="12" spans="1:5" x14ac:dyDescent="0.3">
      <c r="A12" s="12" t="s">
        <v>12</v>
      </c>
      <c r="B12" s="2">
        <v>1</v>
      </c>
      <c r="C12" s="2" t="s">
        <v>34</v>
      </c>
      <c r="D12" s="2">
        <v>1</v>
      </c>
      <c r="E12" s="13" t="s">
        <v>134</v>
      </c>
    </row>
    <row r="13" spans="1:5" x14ac:dyDescent="0.3">
      <c r="A13" s="12" t="s">
        <v>5</v>
      </c>
      <c r="B13" s="2">
        <v>1</v>
      </c>
      <c r="C13" s="2" t="s">
        <v>34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34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34</v>
      </c>
      <c r="D15" s="2">
        <v>1</v>
      </c>
      <c r="E15" s="13" t="s">
        <v>135</v>
      </c>
    </row>
    <row r="16" spans="1:5" x14ac:dyDescent="0.3">
      <c r="A16" s="12" t="s">
        <v>13</v>
      </c>
      <c r="B16" s="2">
        <v>1</v>
      </c>
      <c r="C16" s="2" t="s">
        <v>34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34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34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34</v>
      </c>
      <c r="D19" s="2">
        <v>1</v>
      </c>
      <c r="E19" s="13" t="s">
        <v>19</v>
      </c>
    </row>
    <row r="21" spans="1:5" x14ac:dyDescent="0.3">
      <c r="A21" s="12" t="s">
        <v>113</v>
      </c>
    </row>
    <row r="22" spans="1:5" x14ac:dyDescent="0.3">
      <c r="A22" s="12" t="s">
        <v>12</v>
      </c>
      <c r="B22" s="2">
        <v>2</v>
      </c>
      <c r="C22" s="2" t="s">
        <v>34</v>
      </c>
      <c r="D22" s="2">
        <v>1</v>
      </c>
      <c r="E22" s="13" t="s">
        <v>134</v>
      </c>
    </row>
    <row r="23" spans="1:5" x14ac:dyDescent="0.3">
      <c r="A23" s="12" t="s">
        <v>5</v>
      </c>
      <c r="B23" s="2">
        <v>2</v>
      </c>
      <c r="C23" s="2" t="s">
        <v>34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34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34</v>
      </c>
      <c r="D25" s="2">
        <v>0</v>
      </c>
      <c r="E25" s="13" t="s">
        <v>135</v>
      </c>
    </row>
    <row r="26" spans="1:5" x14ac:dyDescent="0.3">
      <c r="A26" s="12" t="s">
        <v>13</v>
      </c>
      <c r="B26" s="2">
        <v>1</v>
      </c>
      <c r="C26" s="2" t="s">
        <v>34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34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34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34</v>
      </c>
      <c r="D29" s="2">
        <v>0</v>
      </c>
      <c r="E29" s="13" t="s">
        <v>19</v>
      </c>
    </row>
    <row r="31" spans="1:5" x14ac:dyDescent="0.3">
      <c r="A31" s="12" t="s">
        <v>114</v>
      </c>
    </row>
    <row r="32" spans="1:5" x14ac:dyDescent="0.3">
      <c r="A32" s="12" t="s">
        <v>12</v>
      </c>
      <c r="B32" s="2">
        <v>3</v>
      </c>
      <c r="C32" s="2" t="s">
        <v>34</v>
      </c>
      <c r="D32" s="2">
        <v>2</v>
      </c>
      <c r="E32" s="13" t="s">
        <v>134</v>
      </c>
    </row>
    <row r="33" spans="1:5" x14ac:dyDescent="0.3">
      <c r="A33" s="12" t="s">
        <v>5</v>
      </c>
      <c r="B33" s="2">
        <v>3</v>
      </c>
      <c r="C33" s="2" t="s">
        <v>34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34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34</v>
      </c>
      <c r="D35" s="2">
        <v>2</v>
      </c>
      <c r="E35" s="13" t="s">
        <v>135</v>
      </c>
    </row>
    <row r="36" spans="1:5" x14ac:dyDescent="0.3">
      <c r="A36" s="12" t="s">
        <v>13</v>
      </c>
      <c r="B36" s="2">
        <v>3</v>
      </c>
      <c r="C36" s="2" t="s">
        <v>34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34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34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34</v>
      </c>
      <c r="D39" s="2">
        <v>1</v>
      </c>
      <c r="E39" s="13" t="s">
        <v>19</v>
      </c>
    </row>
    <row r="41" spans="1:5" x14ac:dyDescent="0.3">
      <c r="A41" s="12" t="s">
        <v>115</v>
      </c>
    </row>
    <row r="42" spans="1:5" x14ac:dyDescent="0.3">
      <c r="A42" s="12" t="s">
        <v>12</v>
      </c>
      <c r="B42" s="2">
        <v>1</v>
      </c>
      <c r="C42" s="2" t="s">
        <v>34</v>
      </c>
      <c r="D42" s="2">
        <v>0</v>
      </c>
      <c r="E42" s="13" t="s">
        <v>134</v>
      </c>
    </row>
    <row r="43" spans="1:5" x14ac:dyDescent="0.3">
      <c r="A43" s="12" t="s">
        <v>5</v>
      </c>
      <c r="B43" s="2">
        <v>2</v>
      </c>
      <c r="C43" s="2" t="s">
        <v>34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34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34</v>
      </c>
      <c r="D45" s="2">
        <v>1</v>
      </c>
      <c r="E45" s="13" t="s">
        <v>135</v>
      </c>
    </row>
    <row r="46" spans="1:5" x14ac:dyDescent="0.3">
      <c r="A46" s="12" t="s">
        <v>13</v>
      </c>
      <c r="B46" s="2">
        <v>1</v>
      </c>
      <c r="C46" s="2" t="s">
        <v>34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34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34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34</v>
      </c>
      <c r="D49" s="2">
        <v>2</v>
      </c>
      <c r="E49" s="13" t="s">
        <v>19</v>
      </c>
    </row>
    <row r="51" spans="1:5" x14ac:dyDescent="0.3">
      <c r="A51" s="12" t="s">
        <v>116</v>
      </c>
    </row>
    <row r="52" spans="1:5" x14ac:dyDescent="0.3">
      <c r="A52" s="12" t="s">
        <v>12</v>
      </c>
      <c r="B52" s="2">
        <v>2</v>
      </c>
      <c r="C52" s="2" t="s">
        <v>34</v>
      </c>
      <c r="D52" s="2">
        <v>0</v>
      </c>
      <c r="E52" s="13" t="s">
        <v>134</v>
      </c>
    </row>
    <row r="53" spans="1:5" x14ac:dyDescent="0.3">
      <c r="A53" s="12" t="s">
        <v>5</v>
      </c>
      <c r="B53" s="2">
        <v>2</v>
      </c>
      <c r="C53" s="2" t="s">
        <v>34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34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34</v>
      </c>
      <c r="D55" s="2">
        <v>0</v>
      </c>
      <c r="E55" s="13" t="s">
        <v>135</v>
      </c>
    </row>
    <row r="56" spans="1:5" x14ac:dyDescent="0.3">
      <c r="A56" s="12" t="s">
        <v>13</v>
      </c>
      <c r="B56" s="2">
        <v>3</v>
      </c>
      <c r="C56" s="2" t="s">
        <v>34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34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34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34</v>
      </c>
      <c r="D59" s="2">
        <v>0</v>
      </c>
      <c r="E59" s="13" t="s">
        <v>19</v>
      </c>
    </row>
    <row r="61" spans="1:5" x14ac:dyDescent="0.3">
      <c r="A61" s="12" t="s">
        <v>117</v>
      </c>
    </row>
    <row r="62" spans="1:5" x14ac:dyDescent="0.3">
      <c r="A62" s="12" t="s">
        <v>12</v>
      </c>
      <c r="B62" s="2">
        <v>2</v>
      </c>
      <c r="C62" s="2" t="s">
        <v>34</v>
      </c>
      <c r="D62" s="2">
        <v>0</v>
      </c>
      <c r="E62" s="13" t="s">
        <v>134</v>
      </c>
    </row>
    <row r="63" spans="1:5" x14ac:dyDescent="0.3">
      <c r="A63" s="12" t="s">
        <v>5</v>
      </c>
      <c r="B63" s="2">
        <v>1</v>
      </c>
      <c r="C63" s="2" t="s">
        <v>34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34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34</v>
      </c>
      <c r="D65" s="2">
        <v>0</v>
      </c>
      <c r="E65" s="13" t="s">
        <v>135</v>
      </c>
    </row>
    <row r="66" spans="1:5" x14ac:dyDescent="0.3">
      <c r="A66" s="12" t="s">
        <v>13</v>
      </c>
      <c r="B66" s="2">
        <v>2</v>
      </c>
      <c r="C66" s="2" t="s">
        <v>34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34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34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34</v>
      </c>
      <c r="D69" s="2">
        <v>1</v>
      </c>
      <c r="E69" s="13" t="s">
        <v>19</v>
      </c>
    </row>
    <row r="71" spans="1:5" x14ac:dyDescent="0.3">
      <c r="A71" s="12" t="s">
        <v>118</v>
      </c>
    </row>
    <row r="72" spans="1:5" x14ac:dyDescent="0.3">
      <c r="A72" s="12" t="s">
        <v>12</v>
      </c>
      <c r="B72" s="2">
        <v>2</v>
      </c>
      <c r="C72" s="2" t="s">
        <v>34</v>
      </c>
      <c r="D72" s="2">
        <v>0</v>
      </c>
      <c r="E72" s="13" t="s">
        <v>134</v>
      </c>
    </row>
    <row r="73" spans="1:5" x14ac:dyDescent="0.3">
      <c r="A73" s="12" t="s">
        <v>5</v>
      </c>
      <c r="B73" s="2">
        <v>2</v>
      </c>
      <c r="C73" s="2" t="s">
        <v>34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34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34</v>
      </c>
      <c r="D75" s="2">
        <v>1</v>
      </c>
      <c r="E75" s="13" t="s">
        <v>135</v>
      </c>
    </row>
    <row r="76" spans="1:5" x14ac:dyDescent="0.3">
      <c r="A76" s="12" t="s">
        <v>13</v>
      </c>
      <c r="B76" s="2">
        <v>2</v>
      </c>
      <c r="C76" s="2" t="s">
        <v>34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34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34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34</v>
      </c>
      <c r="D79" s="2">
        <v>0</v>
      </c>
      <c r="E79" s="13" t="s">
        <v>19</v>
      </c>
    </row>
    <row r="81" spans="1:5" x14ac:dyDescent="0.3">
      <c r="A81" s="12" t="s">
        <v>119</v>
      </c>
    </row>
    <row r="82" spans="1:5" x14ac:dyDescent="0.3">
      <c r="A82" s="12" t="s">
        <v>12</v>
      </c>
      <c r="B82" s="2">
        <v>1</v>
      </c>
      <c r="C82" s="2" t="s">
        <v>34</v>
      </c>
      <c r="D82" s="2">
        <v>0</v>
      </c>
      <c r="E82" s="13" t="s">
        <v>134</v>
      </c>
    </row>
    <row r="83" spans="1:5" x14ac:dyDescent="0.3">
      <c r="A83" s="12" t="s">
        <v>5</v>
      </c>
      <c r="B83" s="2">
        <v>2</v>
      </c>
      <c r="C83" s="2" t="s">
        <v>34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34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34</v>
      </c>
      <c r="D85" s="2">
        <v>0</v>
      </c>
      <c r="E85" s="13" t="s">
        <v>135</v>
      </c>
    </row>
    <row r="86" spans="1:5" x14ac:dyDescent="0.3">
      <c r="A86" s="12" t="s">
        <v>13</v>
      </c>
      <c r="B86" s="2">
        <v>1</v>
      </c>
      <c r="C86" s="2" t="s">
        <v>34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34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34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34</v>
      </c>
      <c r="D89" s="2">
        <v>1</v>
      </c>
      <c r="E89" s="13" t="s">
        <v>19</v>
      </c>
    </row>
    <row r="91" spans="1:5" x14ac:dyDescent="0.3">
      <c r="A91" s="12" t="s">
        <v>120</v>
      </c>
    </row>
    <row r="92" spans="1:5" x14ac:dyDescent="0.3">
      <c r="A92" s="12" t="s">
        <v>12</v>
      </c>
      <c r="B92" s="2">
        <v>1</v>
      </c>
      <c r="C92" s="2" t="s">
        <v>34</v>
      </c>
      <c r="D92" s="2">
        <v>2</v>
      </c>
      <c r="E92" s="13" t="s">
        <v>134</v>
      </c>
    </row>
    <row r="93" spans="1:5" x14ac:dyDescent="0.3">
      <c r="A93" s="12" t="s">
        <v>5</v>
      </c>
      <c r="B93" s="2">
        <v>1</v>
      </c>
      <c r="C93" s="2" t="s">
        <v>34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34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34</v>
      </c>
      <c r="D95" s="2">
        <v>1</v>
      </c>
      <c r="E95" s="13" t="s">
        <v>135</v>
      </c>
    </row>
    <row r="96" spans="1:5" x14ac:dyDescent="0.3">
      <c r="A96" s="12" t="s">
        <v>13</v>
      </c>
      <c r="B96" s="2">
        <v>2</v>
      </c>
      <c r="C96" s="2" t="s">
        <v>34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34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34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34</v>
      </c>
      <c r="D99" s="2">
        <v>2</v>
      </c>
      <c r="E99" s="13" t="s">
        <v>19</v>
      </c>
    </row>
    <row r="101" spans="1:5" x14ac:dyDescent="0.3">
      <c r="A101" s="12" t="s">
        <v>121</v>
      </c>
    </row>
    <row r="102" spans="1:5" x14ac:dyDescent="0.3">
      <c r="A102" s="12" t="s">
        <v>12</v>
      </c>
      <c r="B102" s="2">
        <v>2</v>
      </c>
      <c r="C102" s="2" t="s">
        <v>34</v>
      </c>
      <c r="D102" s="2">
        <v>1</v>
      </c>
      <c r="E102" s="13" t="s">
        <v>134</v>
      </c>
    </row>
    <row r="103" spans="1:5" x14ac:dyDescent="0.3">
      <c r="A103" s="12" t="s">
        <v>5</v>
      </c>
      <c r="B103" s="2">
        <v>2</v>
      </c>
      <c r="C103" s="2" t="s">
        <v>34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34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34</v>
      </c>
      <c r="D105" s="2">
        <v>0</v>
      </c>
      <c r="E105" s="13" t="s">
        <v>135</v>
      </c>
    </row>
    <row r="106" spans="1:5" x14ac:dyDescent="0.3">
      <c r="A106" s="12" t="s">
        <v>13</v>
      </c>
      <c r="B106" s="2">
        <v>1</v>
      </c>
      <c r="C106" s="2" t="s">
        <v>34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34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34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34</v>
      </c>
      <c r="D109" s="2">
        <v>0</v>
      </c>
      <c r="E109" s="13" t="s">
        <v>19</v>
      </c>
    </row>
    <row r="111" spans="1:5" x14ac:dyDescent="0.3">
      <c r="A111" s="12" t="s">
        <v>122</v>
      </c>
    </row>
    <row r="112" spans="1:5" x14ac:dyDescent="0.3">
      <c r="A112" s="12" t="s">
        <v>12</v>
      </c>
      <c r="B112" s="2">
        <v>1</v>
      </c>
      <c r="C112" s="2" t="s">
        <v>34</v>
      </c>
      <c r="D112" s="2">
        <v>2</v>
      </c>
      <c r="E112" s="13" t="s">
        <v>134</v>
      </c>
    </row>
    <row r="113" spans="1:5" x14ac:dyDescent="0.3">
      <c r="A113" s="12" t="s">
        <v>5</v>
      </c>
      <c r="B113" s="2">
        <v>1</v>
      </c>
      <c r="C113" s="2" t="s">
        <v>34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34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34</v>
      </c>
      <c r="D115" s="2">
        <v>0</v>
      </c>
      <c r="E115" s="13" t="s">
        <v>135</v>
      </c>
    </row>
    <row r="116" spans="1:5" x14ac:dyDescent="0.3">
      <c r="A116" s="12" t="s">
        <v>13</v>
      </c>
      <c r="B116" s="2">
        <v>3</v>
      </c>
      <c r="C116" s="2" t="s">
        <v>34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34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34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34</v>
      </c>
      <c r="D119" s="2">
        <v>1</v>
      </c>
      <c r="E119" s="13" t="s">
        <v>19</v>
      </c>
    </row>
    <row r="121" spans="1:5" x14ac:dyDescent="0.3">
      <c r="A121" s="12" t="s">
        <v>123</v>
      </c>
    </row>
    <row r="122" spans="1:5" x14ac:dyDescent="0.3">
      <c r="A122" s="12" t="s">
        <v>12</v>
      </c>
      <c r="B122" s="2">
        <v>1</v>
      </c>
      <c r="C122" s="2" t="s">
        <v>34</v>
      </c>
      <c r="D122" s="2">
        <v>1</v>
      </c>
      <c r="E122" s="13" t="s">
        <v>134</v>
      </c>
    </row>
    <row r="123" spans="1:5" x14ac:dyDescent="0.3">
      <c r="A123" s="12" t="s">
        <v>5</v>
      </c>
      <c r="B123" s="2">
        <v>2</v>
      </c>
      <c r="C123" s="2" t="s">
        <v>34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34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34</v>
      </c>
      <c r="D125" s="2">
        <v>0</v>
      </c>
      <c r="E125" s="13" t="s">
        <v>135</v>
      </c>
    </row>
    <row r="126" spans="1:5" x14ac:dyDescent="0.3">
      <c r="A126" s="12" t="s">
        <v>13</v>
      </c>
      <c r="B126" s="2">
        <v>4</v>
      </c>
      <c r="C126" s="2" t="s">
        <v>34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34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34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34</v>
      </c>
      <c r="D129" s="2">
        <v>0</v>
      </c>
      <c r="E129" s="13" t="s">
        <v>19</v>
      </c>
    </row>
    <row r="131" spans="1:6" x14ac:dyDescent="0.3">
      <c r="A131" s="12" t="s">
        <v>124</v>
      </c>
    </row>
    <row r="132" spans="1:6" x14ac:dyDescent="0.3">
      <c r="A132" s="12" t="s">
        <v>12</v>
      </c>
      <c r="B132" s="2">
        <v>1</v>
      </c>
      <c r="C132" s="2" t="s">
        <v>34</v>
      </c>
      <c r="D132" s="2">
        <v>0</v>
      </c>
      <c r="E132" s="13" t="s">
        <v>136</v>
      </c>
      <c r="F132" t="s">
        <v>137</v>
      </c>
    </row>
    <row r="133" spans="1:6" x14ac:dyDescent="0.3">
      <c r="A133" s="12" t="s">
        <v>5</v>
      </c>
      <c r="B133" s="2">
        <v>2</v>
      </c>
      <c r="C133" s="2" t="s">
        <v>34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34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34</v>
      </c>
      <c r="D135" s="2">
        <v>0</v>
      </c>
      <c r="E135" s="13" t="s">
        <v>135</v>
      </c>
    </row>
    <row r="136" spans="1:6" x14ac:dyDescent="0.3">
      <c r="A136" s="12" t="s">
        <v>13</v>
      </c>
      <c r="B136" s="2">
        <v>1</v>
      </c>
      <c r="C136" s="2" t="s">
        <v>34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34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34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34</v>
      </c>
      <c r="D139" s="2">
        <v>0</v>
      </c>
      <c r="E139" s="13" t="s">
        <v>19</v>
      </c>
    </row>
    <row r="141" spans="1:6" x14ac:dyDescent="0.3">
      <c r="A141" s="12" t="s">
        <v>125</v>
      </c>
    </row>
    <row r="142" spans="1:6" x14ac:dyDescent="0.3">
      <c r="A142" s="12" t="s">
        <v>12</v>
      </c>
      <c r="B142" s="2">
        <v>1</v>
      </c>
      <c r="C142" s="2" t="s">
        <v>34</v>
      </c>
      <c r="D142" s="2">
        <v>0</v>
      </c>
      <c r="E142" s="13" t="s">
        <v>134</v>
      </c>
    </row>
    <row r="143" spans="1:6" x14ac:dyDescent="0.3">
      <c r="A143" s="12" t="s">
        <v>5</v>
      </c>
      <c r="B143" s="2">
        <v>0</v>
      </c>
      <c r="C143" s="2" t="s">
        <v>34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34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34</v>
      </c>
      <c r="D145" s="2">
        <v>1</v>
      </c>
      <c r="E145" s="13" t="s">
        <v>135</v>
      </c>
    </row>
    <row r="146" spans="1:5" x14ac:dyDescent="0.3">
      <c r="A146" s="12" t="s">
        <v>13</v>
      </c>
      <c r="B146" s="2">
        <v>1</v>
      </c>
      <c r="C146" s="2" t="s">
        <v>34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34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34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34</v>
      </c>
      <c r="D149" s="2">
        <v>0</v>
      </c>
      <c r="E149" s="13" t="s">
        <v>19</v>
      </c>
    </row>
    <row r="151" spans="1:5" x14ac:dyDescent="0.3">
      <c r="A151" s="12" t="s">
        <v>126</v>
      </c>
    </row>
    <row r="152" spans="1:5" x14ac:dyDescent="0.3">
      <c r="A152" s="12" t="s">
        <v>12</v>
      </c>
      <c r="B152" s="2">
        <v>1</v>
      </c>
      <c r="C152" s="2" t="s">
        <v>34</v>
      </c>
      <c r="D152" s="2">
        <v>2</v>
      </c>
      <c r="E152" s="13" t="s">
        <v>134</v>
      </c>
    </row>
    <row r="153" spans="1:5" x14ac:dyDescent="0.3">
      <c r="A153" s="12" t="s">
        <v>5</v>
      </c>
      <c r="B153" s="2">
        <v>2</v>
      </c>
      <c r="C153" s="2" t="s">
        <v>34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34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34</v>
      </c>
      <c r="D155" s="2">
        <v>1</v>
      </c>
      <c r="E155" s="13" t="s">
        <v>135</v>
      </c>
    </row>
    <row r="156" spans="1:5" x14ac:dyDescent="0.3">
      <c r="A156" s="12" t="s">
        <v>13</v>
      </c>
      <c r="B156" s="2">
        <v>1</v>
      </c>
      <c r="C156" s="2" t="s">
        <v>34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34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34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34</v>
      </c>
      <c r="D159" s="2">
        <v>1</v>
      </c>
      <c r="E159" s="13" t="s">
        <v>19</v>
      </c>
    </row>
    <row r="161" spans="1:5" x14ac:dyDescent="0.3">
      <c r="A161" s="12" t="s">
        <v>127</v>
      </c>
    </row>
    <row r="162" spans="1:5" x14ac:dyDescent="0.3">
      <c r="A162" s="12" t="s">
        <v>12</v>
      </c>
      <c r="B162" s="2">
        <v>2</v>
      </c>
      <c r="C162" s="2" t="s">
        <v>34</v>
      </c>
      <c r="D162" s="2">
        <v>1</v>
      </c>
      <c r="E162" s="13" t="s">
        <v>134</v>
      </c>
    </row>
    <row r="163" spans="1:5" x14ac:dyDescent="0.3">
      <c r="A163" s="12" t="s">
        <v>5</v>
      </c>
      <c r="B163" s="2">
        <v>1</v>
      </c>
      <c r="C163" s="2" t="s">
        <v>34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34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34</v>
      </c>
      <c r="D165" s="2">
        <v>0</v>
      </c>
      <c r="E165" s="13" t="s">
        <v>135</v>
      </c>
    </row>
    <row r="166" spans="1:5" x14ac:dyDescent="0.3">
      <c r="A166" s="12" t="s">
        <v>13</v>
      </c>
      <c r="B166" s="2">
        <v>1</v>
      </c>
      <c r="C166" s="2" t="s">
        <v>34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34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34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34</v>
      </c>
      <c r="D169" s="2">
        <v>1</v>
      </c>
      <c r="E169" s="13" t="s">
        <v>19</v>
      </c>
    </row>
    <row r="171" spans="1:5" x14ac:dyDescent="0.3">
      <c r="A171" s="12" t="s">
        <v>128</v>
      </c>
    </row>
    <row r="172" spans="1:5" x14ac:dyDescent="0.3">
      <c r="A172" s="12" t="s">
        <v>12</v>
      </c>
      <c r="B172" s="2">
        <v>1</v>
      </c>
      <c r="C172" s="2" t="s">
        <v>34</v>
      </c>
      <c r="D172" s="2">
        <v>2</v>
      </c>
      <c r="E172" s="13" t="s">
        <v>134</v>
      </c>
    </row>
    <row r="173" spans="1:5" x14ac:dyDescent="0.3">
      <c r="A173" s="12" t="s">
        <v>5</v>
      </c>
      <c r="B173" s="2">
        <v>1</v>
      </c>
      <c r="C173" s="2" t="s">
        <v>34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34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34</v>
      </c>
      <c r="D175" s="2">
        <v>0</v>
      </c>
      <c r="E175" s="13" t="s">
        <v>135</v>
      </c>
    </row>
    <row r="176" spans="1:5" x14ac:dyDescent="0.3">
      <c r="A176" s="12" t="s">
        <v>13</v>
      </c>
      <c r="B176" s="2">
        <v>0</v>
      </c>
      <c r="C176" s="2" t="s">
        <v>34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34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34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34</v>
      </c>
      <c r="D179" s="2">
        <v>1</v>
      </c>
      <c r="E179" s="13" t="s">
        <v>19</v>
      </c>
    </row>
    <row r="181" spans="1:5" x14ac:dyDescent="0.3">
      <c r="A181" s="12" t="s">
        <v>129</v>
      </c>
    </row>
    <row r="182" spans="1:5" x14ac:dyDescent="0.3">
      <c r="A182" s="12" t="s">
        <v>12</v>
      </c>
      <c r="B182" s="2">
        <v>3</v>
      </c>
      <c r="C182" s="2" t="s">
        <v>34</v>
      </c>
      <c r="D182" s="2">
        <v>0</v>
      </c>
      <c r="E182" s="13" t="s">
        <v>134</v>
      </c>
    </row>
    <row r="183" spans="1:5" x14ac:dyDescent="0.3">
      <c r="A183" s="12" t="s">
        <v>5</v>
      </c>
      <c r="B183" s="2">
        <v>2</v>
      </c>
      <c r="C183" s="2" t="s">
        <v>34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34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34</v>
      </c>
      <c r="D185" s="2">
        <v>0</v>
      </c>
      <c r="E185" s="13" t="s">
        <v>135</v>
      </c>
    </row>
    <row r="186" spans="1:5" x14ac:dyDescent="0.3">
      <c r="A186" s="12" t="s">
        <v>13</v>
      </c>
      <c r="B186" s="2">
        <v>2</v>
      </c>
      <c r="C186" s="2" t="s">
        <v>34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34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34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34</v>
      </c>
      <c r="D189" s="2">
        <v>2</v>
      </c>
      <c r="E189" s="13" t="s">
        <v>19</v>
      </c>
    </row>
    <row r="191" spans="1:5" x14ac:dyDescent="0.3">
      <c r="A191" s="12" t="s">
        <v>130</v>
      </c>
    </row>
    <row r="192" spans="1:5" x14ac:dyDescent="0.3">
      <c r="A192" s="12" t="s">
        <v>12</v>
      </c>
      <c r="B192" s="2">
        <v>2</v>
      </c>
      <c r="C192" s="2" t="s">
        <v>34</v>
      </c>
      <c r="D192" s="2">
        <v>1</v>
      </c>
      <c r="E192" s="13" t="s">
        <v>134</v>
      </c>
    </row>
    <row r="193" spans="1:5" x14ac:dyDescent="0.3">
      <c r="A193" s="12" t="s">
        <v>5</v>
      </c>
      <c r="B193" s="2">
        <v>2</v>
      </c>
      <c r="C193" s="2" t="s">
        <v>34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34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34</v>
      </c>
      <c r="D195" s="2">
        <v>0</v>
      </c>
      <c r="E195" s="13" t="s">
        <v>135</v>
      </c>
    </row>
    <row r="196" spans="1:5" x14ac:dyDescent="0.3">
      <c r="A196" s="12" t="s">
        <v>13</v>
      </c>
      <c r="B196" s="2">
        <v>2</v>
      </c>
      <c r="C196" s="2" t="s">
        <v>34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34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34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34</v>
      </c>
      <c r="D199" s="2">
        <v>1</v>
      </c>
      <c r="E199" s="13" t="s">
        <v>19</v>
      </c>
    </row>
    <row r="201" spans="1:5" x14ac:dyDescent="0.3">
      <c r="A201" s="12" t="s">
        <v>131</v>
      </c>
    </row>
    <row r="202" spans="1:5" x14ac:dyDescent="0.3">
      <c r="A202" s="12" t="s">
        <v>12</v>
      </c>
      <c r="B202" s="2">
        <v>1</v>
      </c>
      <c r="C202" s="2" t="s">
        <v>34</v>
      </c>
      <c r="D202" s="2">
        <v>0</v>
      </c>
      <c r="E202" s="13" t="s">
        <v>134</v>
      </c>
    </row>
    <row r="203" spans="1:5" x14ac:dyDescent="0.3">
      <c r="A203" s="12" t="s">
        <v>5</v>
      </c>
      <c r="B203" s="2">
        <v>2</v>
      </c>
      <c r="C203" s="2" t="s">
        <v>34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34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34</v>
      </c>
      <c r="D205" s="2">
        <v>1</v>
      </c>
      <c r="E205" s="13" t="s">
        <v>135</v>
      </c>
    </row>
    <row r="206" spans="1:5" x14ac:dyDescent="0.3">
      <c r="A206" s="12" t="s">
        <v>13</v>
      </c>
      <c r="B206" s="2">
        <v>1</v>
      </c>
      <c r="C206" s="2" t="s">
        <v>34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34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34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34</v>
      </c>
      <c r="D209" s="2">
        <v>1</v>
      </c>
      <c r="E209" s="13" t="s">
        <v>19</v>
      </c>
    </row>
    <row r="211" spans="1:5" x14ac:dyDescent="0.3">
      <c r="A211" s="12" t="s">
        <v>132</v>
      </c>
    </row>
    <row r="212" spans="1:5" x14ac:dyDescent="0.3">
      <c r="A212" s="12" t="s">
        <v>12</v>
      </c>
      <c r="B212" s="2">
        <v>1</v>
      </c>
      <c r="C212" s="2" t="s">
        <v>34</v>
      </c>
      <c r="D212" s="2">
        <v>2</v>
      </c>
      <c r="E212" s="13" t="s">
        <v>134</v>
      </c>
    </row>
    <row r="213" spans="1:5" x14ac:dyDescent="0.3">
      <c r="A213" s="12" t="s">
        <v>5</v>
      </c>
      <c r="B213" s="2">
        <v>2</v>
      </c>
      <c r="C213" s="2" t="s">
        <v>34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34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34</v>
      </c>
      <c r="D215" s="2">
        <v>1</v>
      </c>
      <c r="E215" s="13" t="s">
        <v>135</v>
      </c>
    </row>
    <row r="216" spans="1:5" x14ac:dyDescent="0.3">
      <c r="A216" s="12" t="s">
        <v>13</v>
      </c>
      <c r="B216" s="2">
        <v>0</v>
      </c>
      <c r="C216" s="2" t="s">
        <v>34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34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34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34</v>
      </c>
      <c r="D219" s="2">
        <v>0</v>
      </c>
      <c r="E219" s="13" t="s">
        <v>19</v>
      </c>
    </row>
    <row r="221" spans="1:5" x14ac:dyDescent="0.3">
      <c r="A221" s="12" t="s">
        <v>133</v>
      </c>
    </row>
    <row r="222" spans="1:5" x14ac:dyDescent="0.3">
      <c r="A222" s="12" t="s">
        <v>12</v>
      </c>
      <c r="B222" s="2">
        <v>1</v>
      </c>
      <c r="C222" s="2" t="s">
        <v>34</v>
      </c>
      <c r="D222" s="2">
        <v>0</v>
      </c>
      <c r="E222" s="13" t="s">
        <v>134</v>
      </c>
    </row>
    <row r="223" spans="1:5" x14ac:dyDescent="0.3">
      <c r="A223" s="12" t="s">
        <v>5</v>
      </c>
      <c r="B223" s="2">
        <v>2</v>
      </c>
      <c r="C223" s="2" t="s">
        <v>34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34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34</v>
      </c>
      <c r="D225" s="2">
        <v>1</v>
      </c>
      <c r="E225" s="13" t="s">
        <v>135</v>
      </c>
    </row>
    <row r="226" spans="1:5" x14ac:dyDescent="0.3">
      <c r="A226" s="12" t="s">
        <v>13</v>
      </c>
      <c r="B226" s="2">
        <v>1</v>
      </c>
      <c r="C226" s="2" t="s">
        <v>34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34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34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34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zoomScale="85" zoomScaleNormal="85" workbookViewId="0">
      <selection sqref="A1:K1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20" width="8.109375" style="3" customWidth="1"/>
    <col min="21" max="21" width="1.88671875" style="3" customWidth="1"/>
    <col min="22" max="24" width="8.109375" style="3" customWidth="1"/>
    <col min="25" max="16384" width="8.88671875" style="3"/>
  </cols>
  <sheetData>
    <row r="1" spans="1:24" ht="16.8" thickTop="1" thickBot="1" x14ac:dyDescent="0.35">
      <c r="A1" s="162" t="s">
        <v>229</v>
      </c>
      <c r="B1" s="163"/>
      <c r="C1" s="163"/>
      <c r="D1" s="163"/>
      <c r="E1" s="163"/>
      <c r="F1" s="163"/>
      <c r="G1" s="163"/>
      <c r="H1" s="163"/>
      <c r="I1" s="163"/>
      <c r="J1" s="163"/>
      <c r="K1" s="164"/>
    </row>
    <row r="2" spans="1:24" ht="16.2" thickTop="1" x14ac:dyDescent="0.3">
      <c r="A2" s="108" t="s">
        <v>0</v>
      </c>
      <c r="B2" s="109"/>
      <c r="C2" s="109"/>
      <c r="D2" s="109"/>
      <c r="E2" s="109"/>
      <c r="F2" s="15"/>
      <c r="G2" s="109" t="s">
        <v>22</v>
      </c>
      <c r="H2" s="109"/>
      <c r="I2" s="109"/>
      <c r="J2" s="109"/>
      <c r="K2" s="116"/>
      <c r="O2" s="165" t="s">
        <v>21</v>
      </c>
      <c r="P2" s="166"/>
      <c r="R2" s="144" t="s">
        <v>227</v>
      </c>
      <c r="S2" s="145"/>
      <c r="T2" s="146"/>
      <c r="V2" s="135" t="s">
        <v>28</v>
      </c>
      <c r="W2" s="136"/>
      <c r="X2" s="137"/>
    </row>
    <row r="3" spans="1:24" ht="18" customHeight="1" x14ac:dyDescent="0.3">
      <c r="A3" s="56" t="s">
        <v>195</v>
      </c>
      <c r="B3" s="57">
        <v>0</v>
      </c>
      <c r="C3" s="58" t="s">
        <v>20</v>
      </c>
      <c r="D3" s="57">
        <v>0</v>
      </c>
      <c r="E3" s="29" t="s">
        <v>196</v>
      </c>
      <c r="F3" s="16"/>
      <c r="G3" s="47" t="s">
        <v>211</v>
      </c>
      <c r="H3" s="49"/>
      <c r="I3" s="6" t="s">
        <v>20</v>
      </c>
      <c r="J3" s="49"/>
      <c r="K3" s="45" t="s">
        <v>212</v>
      </c>
      <c r="O3" s="5" t="s">
        <v>195</v>
      </c>
      <c r="P3" s="9" t="s">
        <v>222</v>
      </c>
      <c r="R3" s="117">
        <f>V12*0.4</f>
        <v>80</v>
      </c>
      <c r="S3" s="118"/>
      <c r="T3" s="119"/>
      <c r="V3" s="152">
        <v>10</v>
      </c>
      <c r="W3" s="153"/>
      <c r="X3" s="154"/>
    </row>
    <row r="4" spans="1:24" ht="18" customHeight="1" x14ac:dyDescent="0.3">
      <c r="A4" s="56" t="s">
        <v>197</v>
      </c>
      <c r="B4" s="57">
        <v>0</v>
      </c>
      <c r="C4" s="58" t="s">
        <v>20</v>
      </c>
      <c r="D4" s="57">
        <v>0</v>
      </c>
      <c r="E4" s="29" t="s">
        <v>198</v>
      </c>
      <c r="F4" s="16"/>
      <c r="G4" s="47" t="s">
        <v>213</v>
      </c>
      <c r="H4" s="49"/>
      <c r="I4" s="6" t="s">
        <v>20</v>
      </c>
      <c r="J4" s="49"/>
      <c r="K4" s="45" t="s">
        <v>214</v>
      </c>
      <c r="O4" s="5" t="s">
        <v>221</v>
      </c>
      <c r="P4" s="9" t="s">
        <v>208</v>
      </c>
      <c r="R4" s="117"/>
      <c r="S4" s="118"/>
      <c r="T4" s="119"/>
      <c r="V4" s="152"/>
      <c r="W4" s="153"/>
      <c r="X4" s="154"/>
    </row>
    <row r="5" spans="1:24" ht="18" customHeight="1" x14ac:dyDescent="0.3">
      <c r="A5" s="56" t="s">
        <v>197</v>
      </c>
      <c r="B5" s="57"/>
      <c r="C5" s="58" t="s">
        <v>20</v>
      </c>
      <c r="D5" s="57"/>
      <c r="E5" s="29" t="s">
        <v>195</v>
      </c>
      <c r="F5" s="16"/>
      <c r="G5" s="47" t="s">
        <v>214</v>
      </c>
      <c r="H5" s="49"/>
      <c r="I5" s="6" t="s">
        <v>20</v>
      </c>
      <c r="J5" s="49"/>
      <c r="K5" s="45" t="s">
        <v>212</v>
      </c>
      <c r="O5" s="5" t="s">
        <v>224</v>
      </c>
      <c r="P5" s="9" t="s">
        <v>218</v>
      </c>
      <c r="R5" s="120"/>
      <c r="S5" s="121"/>
      <c r="T5" s="122"/>
      <c r="V5" s="155"/>
      <c r="W5" s="156"/>
      <c r="X5" s="157"/>
    </row>
    <row r="6" spans="1:24" x14ac:dyDescent="0.3">
      <c r="A6" s="56" t="s">
        <v>196</v>
      </c>
      <c r="B6" s="57"/>
      <c r="C6" s="58" t="s">
        <v>20</v>
      </c>
      <c r="D6" s="57"/>
      <c r="E6" s="29" t="s">
        <v>198</v>
      </c>
      <c r="F6" s="16"/>
      <c r="G6" s="47" t="s">
        <v>211</v>
      </c>
      <c r="H6" s="49"/>
      <c r="I6" s="6" t="s">
        <v>20</v>
      </c>
      <c r="J6" s="49"/>
      <c r="K6" s="45" t="s">
        <v>213</v>
      </c>
      <c r="O6" s="5" t="s">
        <v>200</v>
      </c>
      <c r="P6" s="9" t="s">
        <v>219</v>
      </c>
    </row>
    <row r="7" spans="1:24" x14ac:dyDescent="0.3">
      <c r="A7" s="56" t="s">
        <v>196</v>
      </c>
      <c r="B7" s="57"/>
      <c r="C7" s="58" t="s">
        <v>20</v>
      </c>
      <c r="D7" s="57"/>
      <c r="E7" s="29" t="s">
        <v>197</v>
      </c>
      <c r="F7" s="16"/>
      <c r="G7" s="47" t="s">
        <v>214</v>
      </c>
      <c r="H7" s="49"/>
      <c r="I7" s="6" t="s">
        <v>20</v>
      </c>
      <c r="J7" s="49"/>
      <c r="K7" s="45" t="s">
        <v>211</v>
      </c>
      <c r="O7" s="5" t="s">
        <v>204</v>
      </c>
      <c r="P7" s="9" t="s">
        <v>213</v>
      </c>
      <c r="R7" s="158" t="s">
        <v>31</v>
      </c>
      <c r="S7" s="159"/>
      <c r="T7" s="160"/>
      <c r="V7" s="135" t="s">
        <v>29</v>
      </c>
      <c r="W7" s="136"/>
      <c r="X7" s="137"/>
    </row>
    <row r="8" spans="1:24" x14ac:dyDescent="0.3">
      <c r="A8" s="56" t="s">
        <v>198</v>
      </c>
      <c r="B8" s="57"/>
      <c r="C8" s="58" t="s">
        <v>20</v>
      </c>
      <c r="D8" s="57"/>
      <c r="E8" s="29" t="s">
        <v>195</v>
      </c>
      <c r="F8" s="16"/>
      <c r="G8" s="47" t="s">
        <v>212</v>
      </c>
      <c r="H8" s="49"/>
      <c r="I8" s="6" t="s">
        <v>20</v>
      </c>
      <c r="J8" s="49"/>
      <c r="K8" s="45" t="s">
        <v>213</v>
      </c>
      <c r="O8" s="5" t="s">
        <v>203</v>
      </c>
      <c r="P8" s="9" t="s">
        <v>225</v>
      </c>
      <c r="R8" s="117">
        <f>V12*0.3</f>
        <v>60</v>
      </c>
      <c r="S8" s="118"/>
      <c r="T8" s="119"/>
      <c r="V8" s="129">
        <v>20</v>
      </c>
      <c r="W8" s="130"/>
      <c r="X8" s="131"/>
    </row>
    <row r="9" spans="1:24" ht="15.6" x14ac:dyDescent="0.3">
      <c r="A9" s="108" t="s">
        <v>1</v>
      </c>
      <c r="B9" s="109"/>
      <c r="C9" s="109"/>
      <c r="D9" s="109"/>
      <c r="E9" s="109"/>
      <c r="F9" s="16"/>
      <c r="G9" s="109" t="s">
        <v>23</v>
      </c>
      <c r="H9" s="109"/>
      <c r="I9" s="109"/>
      <c r="J9" s="109"/>
      <c r="K9" s="116"/>
      <c r="O9" s="5" t="s">
        <v>206</v>
      </c>
      <c r="P9" s="9" t="s">
        <v>197</v>
      </c>
      <c r="R9" s="120"/>
      <c r="S9" s="121"/>
      <c r="T9" s="122"/>
      <c r="V9" s="132"/>
      <c r="W9" s="133"/>
      <c r="X9" s="134"/>
    </row>
    <row r="10" spans="1:24" x14ac:dyDescent="0.3">
      <c r="A10" s="41" t="s">
        <v>199</v>
      </c>
      <c r="B10" s="49">
        <v>4</v>
      </c>
      <c r="C10" s="6" t="s">
        <v>20</v>
      </c>
      <c r="D10" s="49">
        <v>0</v>
      </c>
      <c r="E10" s="43" t="s">
        <v>200</v>
      </c>
      <c r="F10" s="16"/>
      <c r="G10" s="47" t="s">
        <v>215</v>
      </c>
      <c r="H10" s="49"/>
      <c r="I10" s="6" t="s">
        <v>20</v>
      </c>
      <c r="J10" s="49"/>
      <c r="K10" s="45" t="s">
        <v>230</v>
      </c>
      <c r="O10" s="5" t="s">
        <v>205</v>
      </c>
      <c r="P10" s="9" t="s">
        <v>198</v>
      </c>
    </row>
    <row r="11" spans="1:24" x14ac:dyDescent="0.3">
      <c r="A11" s="41" t="s">
        <v>201</v>
      </c>
      <c r="B11" s="49">
        <v>2</v>
      </c>
      <c r="C11" s="6" t="s">
        <v>20</v>
      </c>
      <c r="D11" s="49">
        <v>0</v>
      </c>
      <c r="E11" s="43" t="s">
        <v>202</v>
      </c>
      <c r="F11" s="16"/>
      <c r="G11" s="47" t="s">
        <v>217</v>
      </c>
      <c r="H11" s="49"/>
      <c r="I11" s="6" t="s">
        <v>20</v>
      </c>
      <c r="J11" s="49"/>
      <c r="K11" s="45" t="s">
        <v>218</v>
      </c>
      <c r="O11" s="5" t="s">
        <v>216</v>
      </c>
      <c r="P11" s="9" t="s">
        <v>199</v>
      </c>
      <c r="R11" s="141" t="s">
        <v>32</v>
      </c>
      <c r="S11" s="142"/>
      <c r="T11" s="143"/>
      <c r="V11" s="135" t="s">
        <v>30</v>
      </c>
      <c r="W11" s="136"/>
      <c r="X11" s="137"/>
    </row>
    <row r="12" spans="1:24" ht="15.75" customHeight="1" x14ac:dyDescent="0.3">
      <c r="A12" s="41" t="s">
        <v>202</v>
      </c>
      <c r="B12" s="49"/>
      <c r="C12" s="6" t="s">
        <v>20</v>
      </c>
      <c r="D12" s="49"/>
      <c r="E12" s="43" t="s">
        <v>200</v>
      </c>
      <c r="F12" s="16"/>
      <c r="G12" s="47" t="s">
        <v>218</v>
      </c>
      <c r="H12" s="49"/>
      <c r="I12" s="6" t="s">
        <v>20</v>
      </c>
      <c r="J12" s="49"/>
      <c r="K12" s="45" t="s">
        <v>230</v>
      </c>
      <c r="O12" s="5" t="s">
        <v>201</v>
      </c>
      <c r="P12" s="9" t="s">
        <v>226</v>
      </c>
      <c r="R12" s="117">
        <f>V12*0.2</f>
        <v>40</v>
      </c>
      <c r="S12" s="118"/>
      <c r="T12" s="119"/>
      <c r="V12" s="147">
        <f>V3*V8</f>
        <v>200</v>
      </c>
      <c r="W12" s="112"/>
      <c r="X12" s="148"/>
    </row>
    <row r="13" spans="1:24" ht="15.75" customHeight="1" x14ac:dyDescent="0.3">
      <c r="A13" s="41" t="s">
        <v>199</v>
      </c>
      <c r="B13" s="49"/>
      <c r="C13" s="6" t="s">
        <v>20</v>
      </c>
      <c r="D13" s="49"/>
      <c r="E13" s="43" t="s">
        <v>201</v>
      </c>
      <c r="F13" s="16"/>
      <c r="G13" s="47" t="s">
        <v>215</v>
      </c>
      <c r="H13" s="49"/>
      <c r="I13" s="6" t="s">
        <v>20</v>
      </c>
      <c r="J13" s="49"/>
      <c r="K13" s="45" t="s">
        <v>217</v>
      </c>
      <c r="O13" s="5" t="s">
        <v>207</v>
      </c>
      <c r="P13" s="9" t="s">
        <v>223</v>
      </c>
      <c r="R13" s="120"/>
      <c r="S13" s="121"/>
      <c r="T13" s="122"/>
      <c r="V13" s="149"/>
      <c r="W13" s="150"/>
      <c r="X13" s="151"/>
    </row>
    <row r="14" spans="1:24" ht="15.75" customHeight="1" x14ac:dyDescent="0.3">
      <c r="A14" s="41" t="s">
        <v>202</v>
      </c>
      <c r="B14" s="49"/>
      <c r="C14" s="6" t="s">
        <v>20</v>
      </c>
      <c r="D14" s="49"/>
      <c r="E14" s="43" t="s">
        <v>199</v>
      </c>
      <c r="F14" s="16"/>
      <c r="G14" s="47" t="s">
        <v>218</v>
      </c>
      <c r="H14" s="49"/>
      <c r="I14" s="6" t="s">
        <v>20</v>
      </c>
      <c r="J14" s="49"/>
      <c r="K14" s="45" t="s">
        <v>215</v>
      </c>
      <c r="O14" s="5" t="s">
        <v>210</v>
      </c>
      <c r="P14" s="9" t="s">
        <v>211</v>
      </c>
      <c r="V14" s="11"/>
      <c r="W14" s="11"/>
      <c r="X14" s="11"/>
    </row>
    <row r="15" spans="1:24" x14ac:dyDescent="0.3">
      <c r="A15" s="41" t="s">
        <v>200</v>
      </c>
      <c r="B15" s="49"/>
      <c r="C15" s="6" t="s">
        <v>20</v>
      </c>
      <c r="D15" s="49"/>
      <c r="E15" s="43" t="s">
        <v>201</v>
      </c>
      <c r="F15" s="16"/>
      <c r="G15" s="47" t="s">
        <v>216</v>
      </c>
      <c r="H15" s="49"/>
      <c r="I15" s="6" t="s">
        <v>20</v>
      </c>
      <c r="J15" s="49"/>
      <c r="K15" s="45" t="s">
        <v>217</v>
      </c>
      <c r="O15" s="5" t="s">
        <v>209</v>
      </c>
      <c r="P15" s="9" t="s">
        <v>202</v>
      </c>
      <c r="R15" s="138" t="s">
        <v>228</v>
      </c>
      <c r="S15" s="139"/>
      <c r="T15" s="140"/>
      <c r="V15" s="128"/>
      <c r="W15" s="128"/>
      <c r="X15" s="128"/>
    </row>
    <row r="16" spans="1:24" ht="21" customHeight="1" x14ac:dyDescent="0.3">
      <c r="A16" s="108" t="s">
        <v>2</v>
      </c>
      <c r="B16" s="109"/>
      <c r="C16" s="109"/>
      <c r="D16" s="109"/>
      <c r="E16" s="109"/>
      <c r="F16" s="16"/>
      <c r="G16" s="109" t="s">
        <v>24</v>
      </c>
      <c r="H16" s="109"/>
      <c r="I16" s="109"/>
      <c r="J16" s="109"/>
      <c r="K16" s="116"/>
      <c r="O16" s="5" t="s">
        <v>215</v>
      </c>
      <c r="P16" s="9" t="s">
        <v>217</v>
      </c>
      <c r="R16" s="117">
        <f>V12*0.1</f>
        <v>20</v>
      </c>
      <c r="S16" s="118"/>
      <c r="T16" s="119"/>
      <c r="V16" s="112"/>
      <c r="W16" s="112"/>
      <c r="X16" s="112"/>
    </row>
    <row r="17" spans="1:24" ht="21" customHeight="1" x14ac:dyDescent="0.3">
      <c r="A17" s="41" t="s">
        <v>203</v>
      </c>
      <c r="B17" s="49">
        <v>10</v>
      </c>
      <c r="C17" s="6" t="s">
        <v>20</v>
      </c>
      <c r="D17" s="49">
        <v>0</v>
      </c>
      <c r="E17" s="43" t="s">
        <v>204</v>
      </c>
      <c r="F17" s="16"/>
      <c r="G17" s="47" t="s">
        <v>219</v>
      </c>
      <c r="H17" s="49"/>
      <c r="I17" s="6" t="s">
        <v>20</v>
      </c>
      <c r="J17" s="49"/>
      <c r="K17" s="45" t="s">
        <v>220</v>
      </c>
      <c r="O17" s="5" t="s">
        <v>214</v>
      </c>
      <c r="P17" s="9" t="s">
        <v>212</v>
      </c>
      <c r="R17" s="120"/>
      <c r="S17" s="121"/>
      <c r="T17" s="122"/>
      <c r="V17" s="112"/>
      <c r="W17" s="112"/>
      <c r="X17" s="112"/>
    </row>
    <row r="18" spans="1:24" ht="18.600000000000001" thickBot="1" x14ac:dyDescent="0.35">
      <c r="A18" s="41" t="s">
        <v>205</v>
      </c>
      <c r="B18" s="49"/>
      <c r="C18" s="6" t="s">
        <v>20</v>
      </c>
      <c r="D18" s="49"/>
      <c r="E18" s="43" t="s">
        <v>206</v>
      </c>
      <c r="F18" s="16"/>
      <c r="G18" s="47" t="s">
        <v>221</v>
      </c>
      <c r="H18" s="49"/>
      <c r="I18" s="6" t="s">
        <v>20</v>
      </c>
      <c r="J18" s="49"/>
      <c r="K18" s="45" t="s">
        <v>222</v>
      </c>
      <c r="O18" s="7" t="s">
        <v>196</v>
      </c>
      <c r="P18" s="10" t="s">
        <v>220</v>
      </c>
    </row>
    <row r="19" spans="1:24" ht="18.600000000000001" thickTop="1" x14ac:dyDescent="0.3">
      <c r="A19" s="41" t="s">
        <v>206</v>
      </c>
      <c r="B19" s="49"/>
      <c r="C19" s="6" t="s">
        <v>20</v>
      </c>
      <c r="D19" s="49"/>
      <c r="E19" s="43" t="s">
        <v>204</v>
      </c>
      <c r="F19" s="16"/>
      <c r="G19" s="47" t="s">
        <v>222</v>
      </c>
      <c r="H19" s="49"/>
      <c r="I19" s="6" t="s">
        <v>20</v>
      </c>
      <c r="J19" s="49"/>
      <c r="K19" s="45" t="s">
        <v>220</v>
      </c>
    </row>
    <row r="20" spans="1:24" x14ac:dyDescent="0.3">
      <c r="A20" s="41" t="s">
        <v>203</v>
      </c>
      <c r="B20" s="49"/>
      <c r="C20" s="6" t="s">
        <v>20</v>
      </c>
      <c r="D20" s="49"/>
      <c r="E20" s="43" t="s">
        <v>205</v>
      </c>
      <c r="F20" s="16"/>
      <c r="G20" s="47" t="s">
        <v>219</v>
      </c>
      <c r="H20" s="49"/>
      <c r="I20" s="6" t="s">
        <v>20</v>
      </c>
      <c r="J20" s="49"/>
      <c r="K20" s="45" t="s">
        <v>221</v>
      </c>
      <c r="O20" s="114" t="s">
        <v>93</v>
      </c>
      <c r="P20" s="114"/>
      <c r="Q20" s="114"/>
      <c r="R20" s="113"/>
      <c r="S20" s="113"/>
      <c r="T20" s="113"/>
    </row>
    <row r="21" spans="1:24" x14ac:dyDescent="0.3">
      <c r="A21" s="41" t="s">
        <v>206</v>
      </c>
      <c r="B21" s="49"/>
      <c r="C21" s="6" t="s">
        <v>20</v>
      </c>
      <c r="D21" s="49"/>
      <c r="E21" s="43" t="s">
        <v>203</v>
      </c>
      <c r="F21" s="16"/>
      <c r="G21" s="47" t="s">
        <v>222</v>
      </c>
      <c r="H21" s="49"/>
      <c r="I21" s="6" t="s">
        <v>20</v>
      </c>
      <c r="J21" s="49"/>
      <c r="K21" s="45" t="s">
        <v>219</v>
      </c>
      <c r="O21" s="114" t="s">
        <v>94</v>
      </c>
      <c r="P21" s="114"/>
      <c r="Q21" s="114"/>
      <c r="R21" s="115"/>
      <c r="S21" s="115"/>
      <c r="T21" s="115"/>
    </row>
    <row r="22" spans="1:24" x14ac:dyDescent="0.3">
      <c r="A22" s="41" t="s">
        <v>204</v>
      </c>
      <c r="B22" s="49"/>
      <c r="C22" s="6" t="s">
        <v>20</v>
      </c>
      <c r="D22" s="49"/>
      <c r="E22" s="43" t="s">
        <v>205</v>
      </c>
      <c r="F22" s="16"/>
      <c r="G22" s="47" t="s">
        <v>220</v>
      </c>
      <c r="H22" s="49"/>
      <c r="I22" s="6" t="s">
        <v>20</v>
      </c>
      <c r="J22" s="49"/>
      <c r="K22" s="45" t="s">
        <v>221</v>
      </c>
    </row>
    <row r="23" spans="1:24" ht="15.6" x14ac:dyDescent="0.3">
      <c r="A23" s="108" t="s">
        <v>3</v>
      </c>
      <c r="B23" s="109"/>
      <c r="C23" s="109"/>
      <c r="D23" s="109"/>
      <c r="E23" s="109"/>
      <c r="F23" s="16"/>
      <c r="G23" s="109" t="s">
        <v>25</v>
      </c>
      <c r="H23" s="109"/>
      <c r="I23" s="109"/>
      <c r="J23" s="109"/>
      <c r="K23" s="116"/>
    </row>
    <row r="24" spans="1:24" x14ac:dyDescent="0.3">
      <c r="A24" s="41" t="s">
        <v>207</v>
      </c>
      <c r="B24" s="49"/>
      <c r="C24" s="6" t="s">
        <v>20</v>
      </c>
      <c r="D24" s="49"/>
      <c r="E24" s="43" t="s">
        <v>208</v>
      </c>
      <c r="F24" s="16"/>
      <c r="G24" s="47" t="s">
        <v>223</v>
      </c>
      <c r="H24" s="49"/>
      <c r="I24" s="6" t="s">
        <v>20</v>
      </c>
      <c r="J24" s="49"/>
      <c r="K24" s="45" t="s">
        <v>224</v>
      </c>
    </row>
    <row r="25" spans="1:24" x14ac:dyDescent="0.3">
      <c r="A25" s="41" t="s">
        <v>209</v>
      </c>
      <c r="B25" s="49"/>
      <c r="C25" s="6" t="s">
        <v>20</v>
      </c>
      <c r="D25" s="49"/>
      <c r="E25" s="43" t="s">
        <v>210</v>
      </c>
      <c r="F25" s="16"/>
      <c r="G25" s="47" t="s">
        <v>225</v>
      </c>
      <c r="H25" s="49"/>
      <c r="I25" s="6" t="s">
        <v>20</v>
      </c>
      <c r="J25" s="49"/>
      <c r="K25" s="45" t="s">
        <v>226</v>
      </c>
    </row>
    <row r="26" spans="1:24" x14ac:dyDescent="0.3">
      <c r="A26" s="41" t="s">
        <v>209</v>
      </c>
      <c r="B26" s="49"/>
      <c r="C26" s="6" t="s">
        <v>20</v>
      </c>
      <c r="D26" s="49"/>
      <c r="E26" s="43" t="s">
        <v>207</v>
      </c>
      <c r="F26" s="16"/>
      <c r="G26" s="47" t="s">
        <v>223</v>
      </c>
      <c r="H26" s="49"/>
      <c r="I26" s="6" t="s">
        <v>20</v>
      </c>
      <c r="J26" s="49"/>
      <c r="K26" s="45" t="s">
        <v>225</v>
      </c>
    </row>
    <row r="27" spans="1:24" x14ac:dyDescent="0.3">
      <c r="A27" s="41" t="s">
        <v>208</v>
      </c>
      <c r="B27" s="49"/>
      <c r="C27" s="6" t="s">
        <v>20</v>
      </c>
      <c r="D27" s="49"/>
      <c r="E27" s="43" t="s">
        <v>210</v>
      </c>
      <c r="F27" s="16"/>
      <c r="G27" s="47" t="s">
        <v>226</v>
      </c>
      <c r="H27" s="49"/>
      <c r="I27" s="6" t="s">
        <v>20</v>
      </c>
      <c r="J27" s="49"/>
      <c r="K27" s="45" t="s">
        <v>224</v>
      </c>
    </row>
    <row r="28" spans="1:24" x14ac:dyDescent="0.3">
      <c r="A28" s="41" t="s">
        <v>210</v>
      </c>
      <c r="B28" s="49"/>
      <c r="C28" s="6" t="s">
        <v>20</v>
      </c>
      <c r="D28" s="49"/>
      <c r="E28" s="43" t="s">
        <v>207</v>
      </c>
      <c r="F28" s="16"/>
      <c r="G28" s="47" t="s">
        <v>226</v>
      </c>
      <c r="H28" s="49"/>
      <c r="I28" s="6" t="s">
        <v>20</v>
      </c>
      <c r="J28" s="49"/>
      <c r="K28" s="45" t="s">
        <v>223</v>
      </c>
    </row>
    <row r="29" spans="1:24" ht="18.600000000000001" thickBot="1" x14ac:dyDescent="0.35">
      <c r="A29" s="42" t="s">
        <v>208</v>
      </c>
      <c r="B29" s="50"/>
      <c r="C29" s="8" t="s">
        <v>20</v>
      </c>
      <c r="D29" s="50"/>
      <c r="E29" s="44" t="s">
        <v>209</v>
      </c>
      <c r="F29" s="17"/>
      <c r="G29" s="48" t="s">
        <v>224</v>
      </c>
      <c r="H29" s="50"/>
      <c r="I29" s="8" t="s">
        <v>20</v>
      </c>
      <c r="J29" s="50"/>
      <c r="K29" s="46" t="s">
        <v>225</v>
      </c>
    </row>
    <row r="30" spans="1:24" ht="19.2" thickTop="1" thickBot="1" x14ac:dyDescent="0.35"/>
    <row r="31" spans="1:24" ht="16.2" thickTop="1" x14ac:dyDescent="0.3">
      <c r="A31" s="105" t="s">
        <v>138</v>
      </c>
      <c r="B31" s="106"/>
      <c r="C31" s="106"/>
      <c r="D31" s="106"/>
      <c r="E31" s="107"/>
      <c r="G31" s="108" t="s">
        <v>141</v>
      </c>
      <c r="H31" s="109"/>
      <c r="I31" s="109"/>
      <c r="J31" s="109"/>
      <c r="K31" s="109"/>
    </row>
    <row r="32" spans="1:24" x14ac:dyDescent="0.3">
      <c r="A32" s="41"/>
      <c r="B32" s="49"/>
      <c r="C32" s="6" t="s">
        <v>34</v>
      </c>
      <c r="D32" s="49"/>
      <c r="E32" s="45"/>
      <c r="G32" s="123"/>
      <c r="H32" s="124"/>
      <c r="I32" s="124"/>
      <c r="J32" s="124"/>
      <c r="K32" s="125"/>
    </row>
    <row r="33" spans="1:11" x14ac:dyDescent="0.3">
      <c r="A33" s="41"/>
      <c r="B33" s="49"/>
      <c r="C33" s="6" t="s">
        <v>34</v>
      </c>
      <c r="D33" s="49"/>
      <c r="E33" s="45"/>
    </row>
    <row r="34" spans="1:11" x14ac:dyDescent="0.3">
      <c r="A34" s="41"/>
      <c r="B34" s="49"/>
      <c r="C34" s="6" t="s">
        <v>34</v>
      </c>
      <c r="D34" s="49"/>
      <c r="E34" s="45"/>
      <c r="G34" s="126" t="s">
        <v>94</v>
      </c>
      <c r="H34" s="127"/>
      <c r="I34" s="127"/>
      <c r="J34" s="127"/>
      <c r="K34" s="127"/>
    </row>
    <row r="35" spans="1:11" x14ac:dyDescent="0.3">
      <c r="A35" s="41"/>
      <c r="B35" s="49"/>
      <c r="C35" s="6" t="s">
        <v>34</v>
      </c>
      <c r="D35" s="49"/>
      <c r="E35" s="45"/>
      <c r="G35" s="161"/>
      <c r="H35" s="161"/>
      <c r="I35" s="161"/>
      <c r="J35" s="161"/>
      <c r="K35" s="161"/>
    </row>
    <row r="36" spans="1:11" x14ac:dyDescent="0.3">
      <c r="A36" s="41"/>
      <c r="B36" s="49"/>
      <c r="C36" s="6" t="s">
        <v>34</v>
      </c>
      <c r="D36" s="49"/>
      <c r="E36" s="45"/>
    </row>
    <row r="37" spans="1:11" x14ac:dyDescent="0.3">
      <c r="A37" s="41"/>
      <c r="B37" s="49"/>
      <c r="C37" s="6" t="s">
        <v>34</v>
      </c>
      <c r="D37" s="49"/>
      <c r="E37" s="45"/>
    </row>
    <row r="38" spans="1:11" x14ac:dyDescent="0.3">
      <c r="A38" s="41"/>
      <c r="B38" s="49"/>
      <c r="C38" s="6" t="s">
        <v>34</v>
      </c>
      <c r="D38" s="49"/>
      <c r="E38" s="45"/>
    </row>
    <row r="39" spans="1:11" ht="18.600000000000001" thickBot="1" x14ac:dyDescent="0.35">
      <c r="A39" s="42"/>
      <c r="B39" s="50"/>
      <c r="C39" s="8" t="s">
        <v>34</v>
      </c>
      <c r="D39" s="50"/>
      <c r="E39" s="46"/>
    </row>
    <row r="40" spans="1:11" ht="19.2" thickTop="1" thickBot="1" x14ac:dyDescent="0.35"/>
    <row r="41" spans="1:11" ht="18.600000000000001" thickTop="1" x14ac:dyDescent="0.3">
      <c r="A41" s="105" t="s">
        <v>107</v>
      </c>
      <c r="B41" s="106"/>
      <c r="C41" s="106"/>
      <c r="D41" s="106"/>
      <c r="E41" s="107"/>
    </row>
    <row r="42" spans="1:11" x14ac:dyDescent="0.3">
      <c r="A42" s="41"/>
      <c r="B42" s="49"/>
      <c r="C42" s="6" t="s">
        <v>34</v>
      </c>
      <c r="D42" s="49"/>
      <c r="E42" s="45"/>
    </row>
    <row r="43" spans="1:11" x14ac:dyDescent="0.3">
      <c r="A43" s="41"/>
      <c r="B43" s="49"/>
      <c r="C43" s="6" t="s">
        <v>34</v>
      </c>
      <c r="D43" s="49"/>
      <c r="E43" s="45"/>
    </row>
    <row r="44" spans="1:11" x14ac:dyDescent="0.3">
      <c r="A44" s="41"/>
      <c r="B44" s="49"/>
      <c r="C44" s="6" t="s">
        <v>34</v>
      </c>
      <c r="D44" s="49"/>
      <c r="E44" s="45"/>
    </row>
    <row r="45" spans="1:11" ht="18.600000000000001" thickBot="1" x14ac:dyDescent="0.35">
      <c r="A45" s="42"/>
      <c r="B45" s="50"/>
      <c r="C45" s="8" t="s">
        <v>34</v>
      </c>
      <c r="D45" s="50"/>
      <c r="E45" s="46"/>
    </row>
    <row r="46" spans="1:11" ht="18.600000000000001" thickTop="1" x14ac:dyDescent="0.3"/>
    <row r="47" spans="1:11" x14ac:dyDescent="0.3">
      <c r="A47" s="108" t="s">
        <v>108</v>
      </c>
      <c r="B47" s="109"/>
      <c r="C47" s="109"/>
      <c r="D47" s="109"/>
      <c r="E47" s="109"/>
    </row>
    <row r="48" spans="1:11" x14ac:dyDescent="0.3">
      <c r="A48" s="41"/>
      <c r="B48" s="49"/>
      <c r="C48" s="6" t="s">
        <v>34</v>
      </c>
      <c r="D48" s="49"/>
      <c r="E48" s="43"/>
    </row>
    <row r="49" spans="1:5" x14ac:dyDescent="0.3">
      <c r="A49" s="41"/>
      <c r="B49" s="49"/>
      <c r="C49" s="6" t="s">
        <v>34</v>
      </c>
      <c r="D49" s="49"/>
      <c r="E49" s="43"/>
    </row>
    <row r="51" spans="1:5" x14ac:dyDescent="0.3">
      <c r="A51" s="108" t="s">
        <v>109</v>
      </c>
      <c r="B51" s="109"/>
      <c r="C51" s="109"/>
      <c r="D51" s="109"/>
      <c r="E51" s="109"/>
    </row>
    <row r="52" spans="1:5" x14ac:dyDescent="0.3">
      <c r="A52" s="41"/>
      <c r="B52" s="49"/>
      <c r="C52" s="6" t="s">
        <v>34</v>
      </c>
      <c r="D52" s="49"/>
      <c r="E52" s="43"/>
    </row>
    <row r="53" spans="1:5" x14ac:dyDescent="0.3">
      <c r="B53" s="52"/>
      <c r="C53" s="3"/>
      <c r="D53" s="52"/>
    </row>
    <row r="54" spans="1:5" x14ac:dyDescent="0.3">
      <c r="A54" s="110" t="s">
        <v>110</v>
      </c>
      <c r="B54" s="111"/>
      <c r="C54" s="111"/>
      <c r="D54" s="111"/>
      <c r="E54" s="111"/>
    </row>
    <row r="55" spans="1:5" x14ac:dyDescent="0.3">
      <c r="A55" s="41"/>
      <c r="B55" s="49"/>
      <c r="C55" s="6" t="s">
        <v>34</v>
      </c>
      <c r="D55" s="49"/>
      <c r="E55" s="43"/>
    </row>
  </sheetData>
  <mergeCells count="39">
    <mergeCell ref="G35:K35"/>
    <mergeCell ref="R3:T5"/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V15:X15"/>
    <mergeCell ref="V8:X9"/>
    <mergeCell ref="V11:X11"/>
    <mergeCell ref="R15:T15"/>
    <mergeCell ref="R11:T11"/>
    <mergeCell ref="R12:T13"/>
    <mergeCell ref="R8:T9"/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231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3" t="s">
        <v>232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83" t="s">
        <v>232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2</v>
      </c>
      <c r="E6" s="13" t="str">
        <f t="shared" si="1"/>
        <v>Palmeiras</v>
      </c>
      <c r="J6" s="83" t="s">
        <v>232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83" t="s">
        <v>232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83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">
        <v>232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3" t="s">
        <v>232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">
        <v>232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">
        <v>232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">
        <v>232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3" t="s">
        <v>232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3" t="s">
        <v>232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3" t="s">
        <v>232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3" t="s">
        <v>232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3" t="s">
        <v>232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199</v>
      </c>
      <c r="T21" s="175"/>
      <c r="U21" s="175" t="s">
        <v>223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0" t="s">
        <v>41</v>
      </c>
      <c r="B22" s="170"/>
      <c r="C22" s="170"/>
      <c r="D22" s="170"/>
      <c r="E22" s="170"/>
      <c r="J22" s="83" t="str">
        <f>IF(Tabela!F23="","",Tabela!F23)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96</v>
      </c>
      <c r="T22" s="176"/>
      <c r="U22" s="176" t="s">
        <v>97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">
        <v>232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">
        <v>232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">
        <v>232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">
        <v>232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">
        <v>232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">
        <v>232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">
        <v>232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">
        <v>232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83" t="s">
        <v>232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83" t="s">
        <v>232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3" t="s">
        <v>232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83" t="s">
        <v>232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83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83" t="s">
        <v>232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">
        <v>232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4</v>
      </c>
      <c r="E39" s="13" t="str">
        <f t="shared" si="11"/>
        <v>Borussisa Dortmund</v>
      </c>
      <c r="J39" s="83" t="s">
        <v>232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3" t="s">
        <v>232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3</v>
      </c>
      <c r="E41" s="13" t="str">
        <f t="shared" si="11"/>
        <v>Fluminense</v>
      </c>
      <c r="J41" s="83" t="s">
        <v>232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34</v>
      </c>
      <c r="D42" s="2">
        <v>0</v>
      </c>
      <c r="E42" s="13" t="str">
        <f t="shared" si="11"/>
        <v>Ulsan HD</v>
      </c>
      <c r="J42" s="83" t="s">
        <v>232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83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">
        <v>232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">
        <v>232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">
        <v>232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83" t="s">
        <v>232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">
        <v>232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2</v>
      </c>
      <c r="E49" s="13" t="str">
        <f t="shared" si="13"/>
        <v>Al-Ain</v>
      </c>
      <c r="J49" s="83" t="s">
        <v>232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83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83" t="s">
        <v>232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3" t="s">
        <v>232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">
        <v>232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">
        <v>232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83" t="s">
        <v>232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">
        <v>232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Ivan Alex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">
        <v>232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">
        <v>232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">
        <v>232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">
        <v>232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">
        <v>232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">
        <v>232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">
        <v>232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">
        <v>232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</row>
    <row r="68" spans="1:15" x14ac:dyDescent="0.3">
      <c r="A68" s="167" t="str">
        <f>_xlfn.CONCAT(W2,A67)</f>
        <v>Ivan Alex - Quartas de Final</v>
      </c>
      <c r="B68" s="167"/>
      <c r="C68" s="167"/>
      <c r="D68" s="167"/>
      <c r="E68" s="167"/>
      <c r="J68" s="83" t="str">
        <f>IF(Tabela!F41="","",Tabela!F41)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">
        <v>232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">
        <v>232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">
        <v>232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">
        <v>232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Ivan Alex - Semi Final</v>
      </c>
      <c r="B74" s="167"/>
      <c r="C74" s="167"/>
      <c r="D74" s="167"/>
      <c r="E74" s="167"/>
      <c r="J74" s="83" t="str">
        <f>IF(Tabela!F47="","",Tabela!F47)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">
        <v>232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">
        <v>232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Ivan Alex - Final</v>
      </c>
      <c r="B78" s="167"/>
      <c r="C78" s="167"/>
      <c r="D78" s="167"/>
      <c r="E78" s="167"/>
      <c r="J78" s="83" t="str">
        <f>IF(Tabela!F54="","",Tabela!F54)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">
        <v>232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IF(Tabela!F56="","",Tabela!F56)</f>
        <v/>
      </c>
    </row>
    <row r="81" spans="5:10" x14ac:dyDescent="0.3">
      <c r="E81" s="13" t="s">
        <v>141</v>
      </c>
      <c r="J81" s="83" t="s">
        <v>232</v>
      </c>
    </row>
    <row r="82" spans="5:10" x14ac:dyDescent="0.3">
      <c r="E82" s="13" t="s">
        <v>94</v>
      </c>
      <c r="J82" s="83" t="s">
        <v>232</v>
      </c>
    </row>
  </sheetData>
  <mergeCells count="76"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4:Y14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234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219</v>
      </c>
      <c r="T21" s="175"/>
      <c r="U21" s="175" t="s">
        <v>223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249</v>
      </c>
      <c r="T22" s="176"/>
      <c r="U22" s="176" t="s">
        <v>250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7" t="s">
        <v>40</v>
      </c>
      <c r="B29" s="177"/>
      <c r="C29" s="177"/>
      <c r="D29" s="177"/>
      <c r="E29" s="177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34</v>
      </c>
      <c r="D40" s="2">
        <v>2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Sérginho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</row>
    <row r="68" spans="1:15" x14ac:dyDescent="0.3">
      <c r="A68" s="167" t="str">
        <f>_xlfn.CONCAT(W2,A67)</f>
        <v>Sérginho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Sérginho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Sérginho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233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197</v>
      </c>
      <c r="T21" s="175"/>
      <c r="U21" s="175" t="s">
        <v>199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0" t="s">
        <v>41</v>
      </c>
      <c r="B22" s="170"/>
      <c r="C22" s="170"/>
      <c r="D22" s="170"/>
      <c r="E22" s="170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251</v>
      </c>
      <c r="T22" s="176"/>
      <c r="U22" s="176" t="s">
        <v>249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Q25"/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Q26"/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95"/>
      <c r="X28" s="95"/>
      <c r="Y28" s="95"/>
      <c r="AC28" s="95"/>
      <c r="AD28" s="95"/>
      <c r="AE28" s="95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Q29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170" t="s">
        <v>39</v>
      </c>
      <c r="B36" s="170"/>
      <c r="C36" s="170"/>
      <c r="D36" s="170"/>
      <c r="E36" s="170"/>
      <c r="J36" s="83" t="str">
        <f>'1.Ivan'!J36</f>
        <v/>
      </c>
      <c r="K36" s="171" t="s">
        <v>39</v>
      </c>
      <c r="L36" s="171"/>
      <c r="M36" s="171"/>
      <c r="N36" s="171"/>
      <c r="O36" s="171"/>
      <c r="V36"/>
    </row>
    <row r="37" spans="1:22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170" t="s">
        <v>38</v>
      </c>
      <c r="B43" s="170"/>
      <c r="C43" s="170"/>
      <c r="D43" s="170"/>
      <c r="E43" s="170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22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Jean Carlos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7" t="str">
        <f>_xlfn.CONCAT(W2,A67)</f>
        <v>Jean Carlos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Jean Carlos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Jean Carlos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2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235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2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2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223</v>
      </c>
      <c r="T21" s="175"/>
      <c r="U21" s="175" t="s">
        <v>199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96</v>
      </c>
      <c r="T22" s="176"/>
      <c r="U22" s="176" t="s">
        <v>97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7" t="s">
        <v>40</v>
      </c>
      <c r="B29" s="177"/>
      <c r="C29" s="177"/>
      <c r="D29" s="177"/>
      <c r="E29" s="177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3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2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4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2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Macélio Henrique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7" t="str">
        <f>_xlfn.CONCAT(W2,A67)</f>
        <v>Macélio Henrique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Macélio Henrique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Macélio Henrique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1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46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2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199</v>
      </c>
      <c r="T21" s="175"/>
      <c r="U21" s="175" t="s">
        <v>223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0" t="s">
        <v>41</v>
      </c>
      <c r="B22" s="170"/>
      <c r="C22" s="170"/>
      <c r="D22" s="170"/>
      <c r="E22" s="170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250</v>
      </c>
      <c r="T22" s="176"/>
      <c r="U22" s="176" t="s">
        <v>96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1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0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Macélio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7" t="str">
        <f>_xlfn.CONCAT(W2,A67)</f>
        <v>Macélio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Macélio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Macélio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244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3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0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207</v>
      </c>
      <c r="T21" s="175"/>
      <c r="U21" s="175" t="s">
        <v>214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96</v>
      </c>
      <c r="T22" s="176"/>
      <c r="U22" s="176" t="s">
        <v>252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7" t="s">
        <v>40</v>
      </c>
      <c r="B29" s="177"/>
      <c r="C29" s="177"/>
      <c r="D29" s="177"/>
      <c r="E29" s="177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1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Mateus Aires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7" t="str">
        <f>_xlfn.CONCAT(W2,A67)</f>
        <v>Mateus Aires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Mateus Aires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Mateus Aires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66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2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223</v>
      </c>
      <c r="T21" s="175"/>
      <c r="U21" s="175" t="s">
        <v>199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0" t="s">
        <v>41</v>
      </c>
      <c r="B22" s="170"/>
      <c r="C22" s="170"/>
      <c r="D22" s="170"/>
      <c r="E22" s="170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96</v>
      </c>
      <c r="T22" s="176"/>
      <c r="U22" s="176" t="s">
        <v>251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2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1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Bruno Flores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24" x14ac:dyDescent="0.3">
      <c r="A68" s="167" t="str">
        <f>_xlfn.CONCAT(W2,A67)</f>
        <v>Bruno Flores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24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167" t="str">
        <f>_xlfn.CONCAT(W$2,A73)</f>
        <v>Bruno Flores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167" t="str">
        <f>_xlfn.CONCAT(W$2,A77)</f>
        <v>Bruno Flores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24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237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2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0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7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1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199</v>
      </c>
      <c r="T21" s="175"/>
      <c r="U21" s="175" t="s">
        <v>216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96</v>
      </c>
      <c r="T22" s="176"/>
      <c r="U22" s="176" t="s">
        <v>253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2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2</v>
      </c>
      <c r="C28" s="2" t="s">
        <v>34</v>
      </c>
      <c r="D28" s="2">
        <v>0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7" t="s">
        <v>40</v>
      </c>
      <c r="B29" s="177"/>
      <c r="C29" s="177"/>
      <c r="D29" s="177"/>
      <c r="E29" s="177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4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4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Naldinho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7" t="str">
        <f>_xlfn.CONCAT(W2,A67)</f>
        <v>Naldinho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Naldinho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Naldinho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2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236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3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3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223</v>
      </c>
      <c r="T21" s="175"/>
      <c r="U21" s="175" t="s">
        <v>199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0" t="s">
        <v>41</v>
      </c>
      <c r="B22" s="170"/>
      <c r="C22" s="170"/>
      <c r="D22" s="170"/>
      <c r="E22" s="170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96</v>
      </c>
      <c r="T22" s="176"/>
      <c r="U22" s="176" t="s">
        <v>250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2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3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Julio Santos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7" t="str">
        <f>_xlfn.CONCAT(W2,A67)</f>
        <v>Julio Santos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Julio Santos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Julio Santos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43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239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1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1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1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0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0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0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199</v>
      </c>
      <c r="T21" s="175"/>
      <c r="U21" s="175" t="s">
        <v>223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96</v>
      </c>
      <c r="T22" s="176"/>
      <c r="U22" s="176" t="s">
        <v>251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1</v>
      </c>
      <c r="C23" s="2" t="s">
        <v>34</v>
      </c>
      <c r="D23" s="2">
        <v>1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0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1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1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7" t="s">
        <v>40</v>
      </c>
      <c r="B29" s="177"/>
      <c r="C29" s="177"/>
      <c r="D29" s="177"/>
      <c r="E29" s="177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0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1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1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34</v>
      </c>
      <c r="D48" s="2">
        <v>1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1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0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1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Joseir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7" t="str">
        <f>_xlfn.CONCAT(W2,A67)</f>
        <v>Joseir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Joseir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Joseir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45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238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3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34</v>
      </c>
      <c r="D17" s="2">
        <v>0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0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2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223</v>
      </c>
      <c r="T21" s="175"/>
      <c r="U21" s="175" t="s">
        <v>199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0" t="s">
        <v>41</v>
      </c>
      <c r="B22" s="170"/>
      <c r="C22" s="170"/>
      <c r="D22" s="170"/>
      <c r="E22" s="170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254</v>
      </c>
      <c r="T22" s="176"/>
      <c r="U22" s="176" t="s">
        <v>249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2</v>
      </c>
      <c r="C37" s="2" t="s">
        <v>34</v>
      </c>
      <c r="D37" s="2">
        <v>0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3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3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2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Juninho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7" t="str">
        <f>_xlfn.CONCAT(W2,A67)</f>
        <v>Juninho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Juninho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Juninho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53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60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4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219</v>
      </c>
      <c r="T21" s="175"/>
      <c r="U21" s="175" t="s">
        <v>223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249</v>
      </c>
      <c r="T22" s="176"/>
      <c r="U22" s="176" t="s">
        <v>96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4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7" t="s">
        <v>40</v>
      </c>
      <c r="B29" s="177"/>
      <c r="C29" s="177"/>
      <c r="D29" s="177"/>
      <c r="E29" s="177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2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1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34</v>
      </c>
      <c r="D46" s="2">
        <v>2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3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4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Ivani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7" t="str">
        <f>_xlfn.CONCAT(W2,A67)</f>
        <v>Ivani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Ivani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Ivani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50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240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3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5</v>
      </c>
      <c r="C18" s="2" t="s">
        <v>34</v>
      </c>
      <c r="D18" s="2">
        <v>2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219</v>
      </c>
      <c r="T21" s="175"/>
      <c r="U21" s="175" t="s">
        <v>223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0" t="s">
        <v>41</v>
      </c>
      <c r="B22" s="170"/>
      <c r="C22" s="170"/>
      <c r="D22" s="170"/>
      <c r="E22" s="170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250</v>
      </c>
      <c r="T22" s="176"/>
      <c r="U22" s="176" t="s">
        <v>96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1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34</v>
      </c>
      <c r="D40" s="2">
        <v>1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Manoel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7" t="str">
        <f>_xlfn.CONCAT(W2,A67)</f>
        <v>Manoel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Manoel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Manoel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49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246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223</v>
      </c>
      <c r="T21" s="175"/>
      <c r="U21" s="175" t="s">
        <v>199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96</v>
      </c>
      <c r="T22" s="176"/>
      <c r="U22" s="176" t="s">
        <v>250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1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7" t="s">
        <v>40</v>
      </c>
      <c r="B29" s="177"/>
      <c r="C29" s="177"/>
      <c r="D29" s="177"/>
      <c r="E29" s="177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1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2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Mateus Henrique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7" t="str">
        <f>_xlfn.CONCAT(W2,A67)</f>
        <v>Mateus Henrique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Mateus Henrique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Mateus Henrique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53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48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3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5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4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5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4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4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223</v>
      </c>
      <c r="T21" s="175"/>
      <c r="U21" s="175" t="s">
        <v>199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0" t="s">
        <v>41</v>
      </c>
      <c r="B22" s="170"/>
      <c r="C22" s="170"/>
      <c r="D22" s="170"/>
      <c r="E22" s="170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96</v>
      </c>
      <c r="T22" s="176"/>
      <c r="U22" s="176" t="s">
        <v>250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4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2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2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6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1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5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2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Gabriel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7" t="str">
        <f>_xlfn.CONCAT(W2,A67)</f>
        <v>Gabriel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Gabriel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Gabriel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53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241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3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3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4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1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219</v>
      </c>
      <c r="T21" s="175"/>
      <c r="U21" s="175" t="s">
        <v>223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250</v>
      </c>
      <c r="T22" s="176"/>
      <c r="U22" s="176" t="s">
        <v>249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7" t="s">
        <v>40</v>
      </c>
      <c r="B29" s="177"/>
      <c r="C29" s="177"/>
      <c r="D29" s="177"/>
      <c r="E29" s="177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2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4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Marcel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7" t="str">
        <f>_xlfn.CONCAT(W2,A67)</f>
        <v>Marcel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Marcel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Marcel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53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51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0</v>
      </c>
      <c r="C3" s="2" t="s">
        <v>34</v>
      </c>
      <c r="D3" s="2">
        <v>2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2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1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0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219</v>
      </c>
      <c r="T21" s="175"/>
      <c r="U21" s="175" t="s">
        <v>203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0" t="s">
        <v>41</v>
      </c>
      <c r="B22" s="170"/>
      <c r="C22" s="170"/>
      <c r="D22" s="170"/>
      <c r="E22" s="170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96</v>
      </c>
      <c r="T22" s="176"/>
      <c r="U22" s="176" t="s">
        <v>255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1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4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2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0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Luana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7" t="str">
        <f>_xlfn.CONCAT(W2,A67)</f>
        <v>Luana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Luana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Luana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46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3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242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0</v>
      </c>
      <c r="C3" s="2" t="s">
        <v>34</v>
      </c>
      <c r="D3" s="2">
        <v>2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199</v>
      </c>
      <c r="T21" s="175"/>
      <c r="U21" s="175" t="s">
        <v>223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256</v>
      </c>
      <c r="T22" s="176"/>
      <c r="U22" s="176" t="s">
        <v>96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2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7" t="s">
        <v>40</v>
      </c>
      <c r="B29" s="177"/>
      <c r="C29" s="177"/>
      <c r="D29" s="177"/>
      <c r="E29" s="177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2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2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2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2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5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4</v>
      </c>
      <c r="E45" s="13" t="str">
        <f t="shared" ref="E45:E48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34</v>
      </c>
      <c r="D48" s="2">
        <v>3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>O49</f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Julio Oliveira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7" t="str">
        <f>_xlfn.CONCAT(W2,A67)</f>
        <v>Julio Oliveira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Julio Oliveira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Julio Oliveira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55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245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1</v>
      </c>
      <c r="C12" s="2" t="s">
        <v>34</v>
      </c>
      <c r="D12" s="2">
        <v>1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1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0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0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197</v>
      </c>
      <c r="T21" s="175"/>
      <c r="U21" s="175" t="s">
        <v>223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0" t="s">
        <v>41</v>
      </c>
      <c r="B22" s="170"/>
      <c r="C22" s="170"/>
      <c r="D22" s="170"/>
      <c r="E22" s="170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257</v>
      </c>
      <c r="T22" s="176"/>
      <c r="U22" s="176" t="s">
        <v>249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1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0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1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1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1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Miguel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7" t="str">
        <f>_xlfn.CONCAT(W2,A67)</f>
        <v>Miguel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Miguel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Miguel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51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1" t="s">
        <v>36</v>
      </c>
      <c r="L1" s="171"/>
      <c r="M1" s="171"/>
      <c r="N1" s="171"/>
      <c r="O1" s="171"/>
    </row>
    <row r="2" spans="1:56" x14ac:dyDescent="0.3">
      <c r="A2" s="84" t="str">
        <f>K2</f>
        <v>Al Ahly</v>
      </c>
      <c r="B2" s="82" t="s">
        <v>260</v>
      </c>
      <c r="C2" s="82" t="s">
        <v>34</v>
      </c>
      <c r="D2" s="82" t="s">
        <v>260</v>
      </c>
      <c r="E2" s="85" t="str">
        <f>O2</f>
        <v>Inter Miami</v>
      </c>
      <c r="J2" s="83" t="s">
        <v>232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258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25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 t="s">
        <v>201</v>
      </c>
      <c r="X10" s="95"/>
      <c r="Y10" s="95"/>
      <c r="Z10" s="2">
        <v>2</v>
      </c>
      <c r="AB10" s="2">
        <v>0</v>
      </c>
      <c r="AC10" s="95" t="s">
        <v>202</v>
      </c>
      <c r="AD10" s="95"/>
      <c r="AE10" s="9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60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/>
      <c r="T19" s="18">
        <v>1</v>
      </c>
      <c r="U19" s="18">
        <v>0</v>
      </c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197</v>
      </c>
      <c r="T21" s="175"/>
      <c r="U21" s="175" t="s">
        <v>223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250</v>
      </c>
      <c r="T22" s="176"/>
      <c r="U22" s="176" t="s">
        <v>249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7" t="s">
        <v>40</v>
      </c>
      <c r="B29" s="177"/>
      <c r="C29" s="177"/>
      <c r="D29" s="177"/>
      <c r="E29" s="177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1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Francesco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7" t="str">
        <f>_xlfn.CONCAT(W2,A67)</f>
        <v>Francesco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Francesco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Francesco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5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84" t="str">
        <f>K2</f>
        <v>Al Ahly</v>
      </c>
      <c r="B2" s="82" t="s">
        <v>260</v>
      </c>
      <c r="C2" s="82" t="s">
        <v>34</v>
      </c>
      <c r="D2" s="82" t="s">
        <v>260</v>
      </c>
      <c r="E2" s="85" t="str">
        <f>O2</f>
        <v>Inter Miami</v>
      </c>
      <c r="J2" s="83" t="s">
        <v>232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259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83" t="str">
        <f>'1.Ivan'!J8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95" t="s">
        <v>92</v>
      </c>
      <c r="X9" s="95"/>
      <c r="Y9" s="95"/>
      <c r="Z9" s="95"/>
      <c r="AA9" s="95"/>
      <c r="AB9" s="95"/>
      <c r="AC9" s="95"/>
      <c r="AD9" s="95"/>
      <c r="AE9" s="95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5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95"/>
      <c r="X10" s="95"/>
      <c r="Y10" s="95"/>
      <c r="AC10" s="95"/>
      <c r="AD10" s="95"/>
      <c r="AE10" s="95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40</v>
      </c>
      <c r="R11" s="172"/>
      <c r="S11" s="172"/>
      <c r="T11" s="172"/>
      <c r="U11" s="172"/>
      <c r="W11" s="95"/>
      <c r="X11" s="95"/>
      <c r="Y11" s="95"/>
      <c r="AC11" s="95"/>
      <c r="AD11" s="95"/>
      <c r="AE11" s="95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95"/>
      <c r="X12" s="95"/>
      <c r="Y12" s="95"/>
      <c r="AC12" s="95"/>
      <c r="AD12" s="95"/>
      <c r="AE12" s="95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95"/>
      <c r="X13" s="95"/>
      <c r="Y13" s="95"/>
      <c r="AC13" s="95"/>
      <c r="AD13" s="95"/>
      <c r="AE13" s="95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95"/>
      <c r="X14" s="95"/>
      <c r="Y14" s="95"/>
      <c r="AC14" s="95"/>
      <c r="AD14" s="95"/>
      <c r="AE14" s="95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95"/>
      <c r="X15" s="95"/>
      <c r="Y15" s="95"/>
      <c r="AC15" s="95"/>
      <c r="AD15" s="95"/>
      <c r="AE15" s="95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95"/>
      <c r="X16" s="95"/>
      <c r="Y16" s="95"/>
      <c r="AC16" s="95"/>
      <c r="AD16" s="95"/>
      <c r="AE16" s="95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95"/>
      <c r="X17" s="95"/>
      <c r="Y17" s="95"/>
      <c r="AC17" s="95"/>
      <c r="AD17" s="95"/>
      <c r="AE17" s="95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95"/>
      <c r="X18" s="95"/>
      <c r="Y18" s="95"/>
      <c r="AC18" s="95"/>
      <c r="AD18" s="95"/>
      <c r="AE18" s="95"/>
    </row>
    <row r="19" spans="1:31" x14ac:dyDescent="0.3">
      <c r="A19" s="12" t="str">
        <f t="shared" si="4"/>
        <v>Bayern de Munique</v>
      </c>
      <c r="B19" s="2">
        <v>1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/>
      <c r="T19" s="18">
        <v>1</v>
      </c>
      <c r="U19" s="18">
        <v>0</v>
      </c>
      <c r="W19" s="95"/>
      <c r="X19" s="95"/>
      <c r="Y19" s="95"/>
      <c r="AC19" s="95"/>
      <c r="AD19" s="95"/>
      <c r="AE19" s="95"/>
    </row>
    <row r="20" spans="1:31" x14ac:dyDescent="0.3">
      <c r="A20" s="12" t="str">
        <f t="shared" si="4"/>
        <v>Benfica</v>
      </c>
      <c r="B20" s="2">
        <v>0</v>
      </c>
      <c r="C20" s="2" t="s">
        <v>34</v>
      </c>
      <c r="D20" s="2">
        <v>1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95"/>
      <c r="X20" s="95"/>
      <c r="Y20" s="95"/>
      <c r="AC20" s="95"/>
      <c r="AD20" s="95"/>
      <c r="AE20" s="95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0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4" t="s">
        <v>27</v>
      </c>
      <c r="R21" s="174"/>
      <c r="S21" s="175" t="s">
        <v>223</v>
      </c>
      <c r="T21" s="175"/>
      <c r="U21" s="175" t="s">
        <v>199</v>
      </c>
      <c r="V21" s="175"/>
      <c r="W21" s="95"/>
      <c r="X21" s="95"/>
      <c r="Y21" s="95"/>
      <c r="AC21" s="95"/>
      <c r="AD21" s="95"/>
      <c r="AE21" s="95"/>
    </row>
    <row r="22" spans="1:31" x14ac:dyDescent="0.3">
      <c r="A22" s="170" t="s">
        <v>41</v>
      </c>
      <c r="B22" s="170"/>
      <c r="C22" s="170"/>
      <c r="D22" s="170"/>
      <c r="E22" s="170"/>
      <c r="J22" s="83" t="str">
        <f>'1.Ivan'!J22</f>
        <v/>
      </c>
      <c r="K22" s="171" t="s">
        <v>41</v>
      </c>
      <c r="L22" s="171"/>
      <c r="M22" s="171"/>
      <c r="N22" s="171"/>
      <c r="O22" s="171"/>
      <c r="Q22" s="174" t="s">
        <v>26</v>
      </c>
      <c r="R22" s="174"/>
      <c r="S22" s="176" t="s">
        <v>250</v>
      </c>
      <c r="T22" s="176"/>
      <c r="U22" s="176" t="s">
        <v>249</v>
      </c>
      <c r="V22" s="176"/>
      <c r="W22" s="95"/>
      <c r="X22" s="95"/>
      <c r="Y22" s="95"/>
      <c r="AC22" s="95"/>
      <c r="AD22" s="95"/>
      <c r="AE22" s="95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95"/>
      <c r="X23" s="95"/>
      <c r="Y23" s="95"/>
      <c r="AC23" s="95"/>
      <c r="AD23" s="95"/>
      <c r="AE23" s="95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95"/>
      <c r="X24" s="95"/>
      <c r="Y24" s="95"/>
      <c r="AC24" s="95"/>
      <c r="AD24" s="95"/>
      <c r="AE24" s="95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95"/>
      <c r="X25" s="95"/>
      <c r="Y25" s="95"/>
      <c r="AC25" s="95"/>
      <c r="AD25" s="95"/>
      <c r="AE25" s="95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95"/>
      <c r="X26" s="95"/>
      <c r="Y26" s="95"/>
      <c r="AC26" s="95"/>
      <c r="AD26" s="95"/>
      <c r="AE26" s="95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95"/>
      <c r="X27" s="95"/>
      <c r="Y27" s="95"/>
      <c r="Z27" s="19"/>
      <c r="AC27" s="95"/>
      <c r="AD27" s="95"/>
      <c r="AE27" s="95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1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95"/>
      <c r="X28" s="95"/>
      <c r="Y28" s="95"/>
      <c r="AC28" s="95"/>
      <c r="AD28" s="95"/>
      <c r="AE28" s="95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95"/>
      <c r="X29" s="95"/>
      <c r="Y29" s="95"/>
      <c r="AC29" s="95"/>
      <c r="AD29" s="95"/>
      <c r="AE29" s="95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95"/>
      <c r="X30" s="95"/>
      <c r="Y30" s="95"/>
      <c r="AC30" s="95"/>
      <c r="AD30" s="95"/>
      <c r="AE30" s="95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1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83" t="str">
        <f>'1.Ivan'!J36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83" t="str">
        <f>'1.Ivan'!J43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1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83" t="str">
        <f>'1.Ivan'!J50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7" t="str">
        <f>_xlfn.CONCAT(W2,A57)</f>
        <v>Chicão - Oitavas de Final</v>
      </c>
      <c r="B58" s="167"/>
      <c r="C58" s="167"/>
      <c r="D58" s="167"/>
      <c r="E58" s="167"/>
      <c r="K58" s="168" t="s">
        <v>138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67" t="str">
        <f>_xlfn.CONCAT(W2,A67)</f>
        <v>Chicão - Quartas de Final</v>
      </c>
      <c r="B68" s="167"/>
      <c r="C68" s="167"/>
      <c r="D68" s="167"/>
      <c r="E68" s="167"/>
      <c r="J68" s="83" t="str">
        <f>'1.Ivan'!J68</f>
        <v/>
      </c>
      <c r="K68" s="168" t="s">
        <v>107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Chicão - Semi Final</v>
      </c>
      <c r="B74" s="167"/>
      <c r="C74" s="167"/>
      <c r="D74" s="167"/>
      <c r="E74" s="167"/>
      <c r="J74" s="83" t="str">
        <f>'1.Ivan'!J74</f>
        <v/>
      </c>
      <c r="K74" s="168" t="s">
        <v>108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Chicão - Final</v>
      </c>
      <c r="B78" s="167"/>
      <c r="C78" s="167"/>
      <c r="D78" s="167"/>
      <c r="E78" s="167"/>
      <c r="J78" s="83" t="str">
        <f>'1.Ivan'!J78</f>
        <v/>
      </c>
      <c r="K78" s="168" t="s">
        <v>110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2025-06-16T03:22:27Z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