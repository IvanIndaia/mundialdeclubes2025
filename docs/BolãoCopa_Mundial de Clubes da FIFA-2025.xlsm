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ivan.alex\Documents\GitHub\mundialdeclubes2025\docs\"/>
    </mc:Choice>
  </mc:AlternateContent>
  <xr:revisionPtr revIDLastSave="0" documentId="13_ncr:1_{27BFBA09-5A53-4F31-9959-E70D1B8F2023}" xr6:coauthVersionLast="47" xr6:coauthVersionMax="47" xr10:uidLastSave="{00000000-0000-0000-0000-000000000000}"/>
  <bookViews>
    <workbookView xWindow="-108" yWindow="-108" windowWidth="23256" windowHeight="12576" tabRatio="891" firstSheet="2" activeTab="2" xr2:uid="{779A00DC-359A-4F42-A9CB-BE9275E20E22}"/>
  </bookViews>
  <sheets>
    <sheet name="Placar Exato" sheetId="41" r:id="rId1"/>
    <sheet name="Campeão" sheetId="43" r:id="rId2"/>
    <sheet name="Classificação" sheetId="31" r:id="rId3"/>
    <sheet name="Oitavas" sheetId="42" state="hidden" r:id="rId4"/>
    <sheet name="Tabela" sheetId="1" r:id="rId5"/>
    <sheet name="1.Ivan" sheetId="3" r:id="rId6"/>
    <sheet name="2.Sérginho" sheetId="45" r:id="rId7"/>
    <sheet name="3.Jean" sheetId="44" r:id="rId8"/>
    <sheet name="4.Macélio Henrique" sheetId="47" r:id="rId9"/>
    <sheet name="5.Macélio" sheetId="48" r:id="rId10"/>
    <sheet name="6.Mateus Aires" sheetId="46" r:id="rId11"/>
    <sheet name="7.Bruno" sheetId="63" r:id="rId12"/>
    <sheet name="8.Naldinho" sheetId="51" r:id="rId13"/>
    <sheet name="9.Julio Santos" sheetId="50" r:id="rId14"/>
    <sheet name="10.Joseir" sheetId="53" r:id="rId15"/>
    <sheet name="11.Juninho" sheetId="52" r:id="rId16"/>
    <sheet name="12.Ivani" sheetId="54" r:id="rId17"/>
    <sheet name="13.Manoel" sheetId="55" r:id="rId18"/>
    <sheet name="14.Mateus Henrique" sheetId="49" r:id="rId19"/>
    <sheet name="15.Gabriel" sheetId="56" r:id="rId20"/>
    <sheet name="16.Marcel" sheetId="60" r:id="rId21"/>
    <sheet name="17.Luana" sheetId="61" r:id="rId22"/>
    <sheet name="18.Julio Oliveira" sheetId="62" r:id="rId23"/>
    <sheet name="19.Miguel" sheetId="64" r:id="rId24"/>
    <sheet name="20.Francesco" sheetId="65" r:id="rId25"/>
    <sheet name="21.Chicão" sheetId="66" r:id="rId26"/>
  </sheets>
  <definedNames>
    <definedName name="_xlnm._FilterDatabase" localSheetId="2" hidden="1">Classificação!$K$2:$M$2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18" i="31" l="1"/>
  <c r="M22" i="31"/>
  <c r="M21" i="31"/>
  <c r="M20" i="31"/>
  <c r="M23" i="31"/>
  <c r="M13" i="31"/>
  <c r="M19" i="31"/>
  <c r="M17" i="31"/>
  <c r="M16" i="31"/>
  <c r="M14" i="31"/>
  <c r="M15" i="31"/>
  <c r="M11" i="31"/>
  <c r="M6" i="31"/>
  <c r="M9" i="31"/>
  <c r="M12" i="31"/>
  <c r="M4" i="31"/>
  <c r="M8" i="31"/>
  <c r="M3" i="31"/>
  <c r="M10" i="31"/>
  <c r="M7" i="31"/>
  <c r="M5" i="31"/>
  <c r="X34" i="31"/>
  <c r="Y29" i="31"/>
  <c r="Y30" i="31" s="1"/>
  <c r="Y31" i="31"/>
  <c r="Y33" i="31"/>
  <c r="J82" i="66"/>
  <c r="J81" i="66"/>
  <c r="J79" i="66"/>
  <c r="J76" i="66"/>
  <c r="J75" i="66"/>
  <c r="J72" i="66"/>
  <c r="J71" i="66"/>
  <c r="J70" i="66"/>
  <c r="J69" i="66"/>
  <c r="J67" i="66"/>
  <c r="J66" i="66"/>
  <c r="J65" i="66"/>
  <c r="J64" i="66"/>
  <c r="J63" i="66"/>
  <c r="J62" i="66"/>
  <c r="J61" i="66"/>
  <c r="J60" i="66"/>
  <c r="J59" i="66"/>
  <c r="J56" i="66"/>
  <c r="J55" i="66"/>
  <c r="J54" i="66"/>
  <c r="J53" i="66"/>
  <c r="J52" i="66"/>
  <c r="J51" i="66"/>
  <c r="J49" i="66"/>
  <c r="J48" i="66"/>
  <c r="J47" i="66"/>
  <c r="J46" i="66"/>
  <c r="J45" i="66"/>
  <c r="J44" i="66"/>
  <c r="J42" i="66"/>
  <c r="J41" i="66"/>
  <c r="J40" i="66"/>
  <c r="J39" i="66"/>
  <c r="J38" i="66"/>
  <c r="J37" i="66"/>
  <c r="J35" i="66"/>
  <c r="J34" i="66"/>
  <c r="J33" i="66"/>
  <c r="J32" i="66"/>
  <c r="J31" i="66"/>
  <c r="J30" i="66"/>
  <c r="J28" i="66"/>
  <c r="J27" i="66"/>
  <c r="J26" i="66"/>
  <c r="J25" i="66"/>
  <c r="J24" i="66"/>
  <c r="J23" i="66"/>
  <c r="J21" i="66"/>
  <c r="J20" i="66"/>
  <c r="J19" i="66"/>
  <c r="J18" i="66"/>
  <c r="J17" i="66"/>
  <c r="J16" i="66"/>
  <c r="J14" i="66"/>
  <c r="J13" i="66"/>
  <c r="J12" i="66"/>
  <c r="J11" i="66"/>
  <c r="J10" i="66"/>
  <c r="J9" i="66"/>
  <c r="J7" i="66"/>
  <c r="J6" i="66"/>
  <c r="J5" i="66"/>
  <c r="J4" i="66"/>
  <c r="J3" i="66"/>
  <c r="J82" i="65"/>
  <c r="J81" i="65"/>
  <c r="J79" i="65"/>
  <c r="J76" i="65"/>
  <c r="J75" i="65"/>
  <c r="J72" i="65"/>
  <c r="J71" i="65"/>
  <c r="J70" i="65"/>
  <c r="J69" i="65"/>
  <c r="J67" i="65"/>
  <c r="J66" i="65"/>
  <c r="J65" i="65"/>
  <c r="J64" i="65"/>
  <c r="J63" i="65"/>
  <c r="J62" i="65"/>
  <c r="J61" i="65"/>
  <c r="J60" i="65"/>
  <c r="J59" i="65"/>
  <c r="J56" i="65"/>
  <c r="J55" i="65"/>
  <c r="J54" i="65"/>
  <c r="J53" i="65"/>
  <c r="J52" i="65"/>
  <c r="J51" i="65"/>
  <c r="J49" i="65"/>
  <c r="J48" i="65"/>
  <c r="J47" i="65"/>
  <c r="J46" i="65"/>
  <c r="J45" i="65"/>
  <c r="J44" i="65"/>
  <c r="J42" i="65"/>
  <c r="J41" i="65"/>
  <c r="J40" i="65"/>
  <c r="J39" i="65"/>
  <c r="J38" i="65"/>
  <c r="J37" i="65"/>
  <c r="J35" i="65"/>
  <c r="J34" i="65"/>
  <c r="J33" i="65"/>
  <c r="J32" i="65"/>
  <c r="J31" i="65"/>
  <c r="J30" i="65"/>
  <c r="J28" i="65"/>
  <c r="J27" i="65"/>
  <c r="J26" i="65"/>
  <c r="J25" i="65"/>
  <c r="J24" i="65"/>
  <c r="J23" i="65"/>
  <c r="J21" i="65"/>
  <c r="J20" i="65"/>
  <c r="J19" i="65"/>
  <c r="J18" i="65"/>
  <c r="J17" i="65"/>
  <c r="J16" i="65"/>
  <c r="J14" i="65"/>
  <c r="J13" i="65"/>
  <c r="J12" i="65"/>
  <c r="J11" i="65"/>
  <c r="J10" i="65"/>
  <c r="J9" i="65"/>
  <c r="J7" i="65"/>
  <c r="J6" i="65"/>
  <c r="J5" i="65"/>
  <c r="J4" i="65"/>
  <c r="J3" i="65"/>
  <c r="J82" i="64"/>
  <c r="J81" i="64"/>
  <c r="J79" i="64"/>
  <c r="J76" i="64"/>
  <c r="J75" i="64"/>
  <c r="J72" i="64"/>
  <c r="J71" i="64"/>
  <c r="J70" i="64"/>
  <c r="J69" i="64"/>
  <c r="J67" i="64"/>
  <c r="J66" i="64"/>
  <c r="J65" i="64"/>
  <c r="J64" i="64"/>
  <c r="J63" i="64"/>
  <c r="J62" i="64"/>
  <c r="J61" i="64"/>
  <c r="J60" i="64"/>
  <c r="J59" i="64"/>
  <c r="J56" i="64"/>
  <c r="J55" i="64"/>
  <c r="J54" i="64"/>
  <c r="J53" i="64"/>
  <c r="J52" i="64"/>
  <c r="J51" i="64"/>
  <c r="J49" i="64"/>
  <c r="J48" i="64"/>
  <c r="J47" i="64"/>
  <c r="J46" i="64"/>
  <c r="J45" i="64"/>
  <c r="J44" i="64"/>
  <c r="J42" i="64"/>
  <c r="J41" i="64"/>
  <c r="J40" i="64"/>
  <c r="J39" i="64"/>
  <c r="J38" i="64"/>
  <c r="J37" i="64"/>
  <c r="J35" i="64"/>
  <c r="J34" i="64"/>
  <c r="J33" i="64"/>
  <c r="J32" i="64"/>
  <c r="J31" i="64"/>
  <c r="J30" i="64"/>
  <c r="J28" i="64"/>
  <c r="J27" i="64"/>
  <c r="J26" i="64"/>
  <c r="J25" i="64"/>
  <c r="J24" i="64"/>
  <c r="J23" i="64"/>
  <c r="J21" i="64"/>
  <c r="J20" i="64"/>
  <c r="J19" i="64"/>
  <c r="J18" i="64"/>
  <c r="J17" i="64"/>
  <c r="J16" i="64"/>
  <c r="J14" i="64"/>
  <c r="J13" i="64"/>
  <c r="J12" i="64"/>
  <c r="J11" i="64"/>
  <c r="J10" i="64"/>
  <c r="J9" i="64"/>
  <c r="J7" i="64"/>
  <c r="J6" i="64"/>
  <c r="J5" i="64"/>
  <c r="J4" i="64"/>
  <c r="J3" i="64"/>
  <c r="J2" i="64"/>
  <c r="J82" i="62"/>
  <c r="J81" i="62"/>
  <c r="J79" i="62"/>
  <c r="J76" i="62"/>
  <c r="J75" i="62"/>
  <c r="J72" i="62"/>
  <c r="J71" i="62"/>
  <c r="J70" i="62"/>
  <c r="J69" i="62"/>
  <c r="J67" i="62"/>
  <c r="J66" i="62"/>
  <c r="J65" i="62"/>
  <c r="J64" i="62"/>
  <c r="J63" i="62"/>
  <c r="J62" i="62"/>
  <c r="J61" i="62"/>
  <c r="J60" i="62"/>
  <c r="J59" i="62"/>
  <c r="J56" i="62"/>
  <c r="J55" i="62"/>
  <c r="J54" i="62"/>
  <c r="J53" i="62"/>
  <c r="J52" i="62"/>
  <c r="J51" i="62"/>
  <c r="J49" i="62"/>
  <c r="J48" i="62"/>
  <c r="J47" i="62"/>
  <c r="J46" i="62"/>
  <c r="J45" i="62"/>
  <c r="J44" i="62"/>
  <c r="J42" i="62"/>
  <c r="J41" i="62"/>
  <c r="J40" i="62"/>
  <c r="J39" i="62"/>
  <c r="J38" i="62"/>
  <c r="J37" i="62"/>
  <c r="J35" i="62"/>
  <c r="J34" i="62"/>
  <c r="J33" i="62"/>
  <c r="J32" i="62"/>
  <c r="J31" i="62"/>
  <c r="J30" i="62"/>
  <c r="J28" i="62"/>
  <c r="J27" i="62"/>
  <c r="J26" i="62"/>
  <c r="J25" i="62"/>
  <c r="J24" i="62"/>
  <c r="J23" i="62"/>
  <c r="J21" i="62"/>
  <c r="J20" i="62"/>
  <c r="J19" i="62"/>
  <c r="J18" i="62"/>
  <c r="J17" i="62"/>
  <c r="J16" i="62"/>
  <c r="J14" i="62"/>
  <c r="J13" i="62"/>
  <c r="J12" i="62"/>
  <c r="J11" i="62"/>
  <c r="J10" i="62"/>
  <c r="J9" i="62"/>
  <c r="J7" i="62"/>
  <c r="J6" i="62"/>
  <c r="J5" i="62"/>
  <c r="J4" i="62"/>
  <c r="J3" i="62"/>
  <c r="J2" i="62"/>
  <c r="J82" i="61"/>
  <c r="J81" i="61"/>
  <c r="J79" i="61"/>
  <c r="J76" i="61"/>
  <c r="J75" i="61"/>
  <c r="J72" i="61"/>
  <c r="J71" i="61"/>
  <c r="J70" i="61"/>
  <c r="J69" i="61"/>
  <c r="J67" i="61"/>
  <c r="J66" i="61"/>
  <c r="J65" i="61"/>
  <c r="J64" i="61"/>
  <c r="J63" i="61"/>
  <c r="J62" i="61"/>
  <c r="J61" i="61"/>
  <c r="J60" i="61"/>
  <c r="J59" i="61"/>
  <c r="J56" i="61"/>
  <c r="J55" i="61"/>
  <c r="J54" i="61"/>
  <c r="J53" i="61"/>
  <c r="J52" i="61"/>
  <c r="J51" i="61"/>
  <c r="J49" i="61"/>
  <c r="J48" i="61"/>
  <c r="J47" i="61"/>
  <c r="J46" i="61"/>
  <c r="J45" i="61"/>
  <c r="J44" i="61"/>
  <c r="J42" i="61"/>
  <c r="J41" i="61"/>
  <c r="J40" i="61"/>
  <c r="J39" i="61"/>
  <c r="J38" i="61"/>
  <c r="J37" i="61"/>
  <c r="J35" i="61"/>
  <c r="J34" i="61"/>
  <c r="J33" i="61"/>
  <c r="J32" i="61"/>
  <c r="J31" i="61"/>
  <c r="J30" i="61"/>
  <c r="J28" i="61"/>
  <c r="J27" i="61"/>
  <c r="J26" i="61"/>
  <c r="J25" i="61"/>
  <c r="J24" i="61"/>
  <c r="J23" i="61"/>
  <c r="J21" i="61"/>
  <c r="J20" i="61"/>
  <c r="J19" i="61"/>
  <c r="J18" i="61"/>
  <c r="J17" i="61"/>
  <c r="J16" i="61"/>
  <c r="J14" i="61"/>
  <c r="J13" i="61"/>
  <c r="J12" i="61"/>
  <c r="J11" i="61"/>
  <c r="J10" i="61"/>
  <c r="J9" i="61"/>
  <c r="J7" i="61"/>
  <c r="J6" i="61"/>
  <c r="J5" i="61"/>
  <c r="J4" i="61"/>
  <c r="J3" i="61"/>
  <c r="J2" i="61"/>
  <c r="J82" i="60"/>
  <c r="J81" i="60"/>
  <c r="J79" i="60"/>
  <c r="J76" i="60"/>
  <c r="J75" i="60"/>
  <c r="J72" i="60"/>
  <c r="J71" i="60"/>
  <c r="J70" i="60"/>
  <c r="J69" i="60"/>
  <c r="J67" i="60"/>
  <c r="J66" i="60"/>
  <c r="J65" i="60"/>
  <c r="J64" i="60"/>
  <c r="J63" i="60"/>
  <c r="J62" i="60"/>
  <c r="J61" i="60"/>
  <c r="J60" i="60"/>
  <c r="J59" i="60"/>
  <c r="J56" i="60"/>
  <c r="J55" i="60"/>
  <c r="J54" i="60"/>
  <c r="J53" i="60"/>
  <c r="J52" i="60"/>
  <c r="J51" i="60"/>
  <c r="J49" i="60"/>
  <c r="J48" i="60"/>
  <c r="J47" i="60"/>
  <c r="J46" i="60"/>
  <c r="J45" i="60"/>
  <c r="J44" i="60"/>
  <c r="J42" i="60"/>
  <c r="J41" i="60"/>
  <c r="J40" i="60"/>
  <c r="J39" i="60"/>
  <c r="J38" i="60"/>
  <c r="J37" i="60"/>
  <c r="J35" i="60"/>
  <c r="J34" i="60"/>
  <c r="J33" i="60"/>
  <c r="J32" i="60"/>
  <c r="J31" i="60"/>
  <c r="J30" i="60"/>
  <c r="J28" i="60"/>
  <c r="J27" i="60"/>
  <c r="J26" i="60"/>
  <c r="J25" i="60"/>
  <c r="J24" i="60"/>
  <c r="J23" i="60"/>
  <c r="J21" i="60"/>
  <c r="J20" i="60"/>
  <c r="J19" i="60"/>
  <c r="J18" i="60"/>
  <c r="J17" i="60"/>
  <c r="J16" i="60"/>
  <c r="J14" i="60"/>
  <c r="J13" i="60"/>
  <c r="J12" i="60"/>
  <c r="J11" i="60"/>
  <c r="J10" i="60"/>
  <c r="J9" i="60"/>
  <c r="J7" i="60"/>
  <c r="J6" i="60"/>
  <c r="J5" i="60"/>
  <c r="J4" i="60"/>
  <c r="J3" i="60"/>
  <c r="J2" i="60"/>
  <c r="J82" i="56"/>
  <c r="J81" i="56"/>
  <c r="J79" i="56"/>
  <c r="J76" i="56"/>
  <c r="J75" i="56"/>
  <c r="J72" i="56"/>
  <c r="J71" i="56"/>
  <c r="J70" i="56"/>
  <c r="J69" i="56"/>
  <c r="J67" i="56"/>
  <c r="J66" i="56"/>
  <c r="J65" i="56"/>
  <c r="J64" i="56"/>
  <c r="J63" i="56"/>
  <c r="J62" i="56"/>
  <c r="J61" i="56"/>
  <c r="J60" i="56"/>
  <c r="J59" i="56"/>
  <c r="J56" i="56"/>
  <c r="J55" i="56"/>
  <c r="J54" i="56"/>
  <c r="J53" i="56"/>
  <c r="J52" i="56"/>
  <c r="J51" i="56"/>
  <c r="J49" i="56"/>
  <c r="J48" i="56"/>
  <c r="J47" i="56"/>
  <c r="J46" i="56"/>
  <c r="J45" i="56"/>
  <c r="J44" i="56"/>
  <c r="J42" i="56"/>
  <c r="J41" i="56"/>
  <c r="J40" i="56"/>
  <c r="J39" i="56"/>
  <c r="J38" i="56"/>
  <c r="J37" i="56"/>
  <c r="J35" i="56"/>
  <c r="J34" i="56"/>
  <c r="J33" i="56"/>
  <c r="J32" i="56"/>
  <c r="J31" i="56"/>
  <c r="J30" i="56"/>
  <c r="J28" i="56"/>
  <c r="J27" i="56"/>
  <c r="J26" i="56"/>
  <c r="J25" i="56"/>
  <c r="J24" i="56"/>
  <c r="J23" i="56"/>
  <c r="J21" i="56"/>
  <c r="J20" i="56"/>
  <c r="J19" i="56"/>
  <c r="J18" i="56"/>
  <c r="J17" i="56"/>
  <c r="J16" i="56"/>
  <c r="J14" i="56"/>
  <c r="J13" i="56"/>
  <c r="J12" i="56"/>
  <c r="J11" i="56"/>
  <c r="J10" i="56"/>
  <c r="J9" i="56"/>
  <c r="J7" i="56"/>
  <c r="J6" i="56"/>
  <c r="J5" i="56"/>
  <c r="J4" i="56"/>
  <c r="J3" i="56"/>
  <c r="J2" i="56"/>
  <c r="J82" i="49"/>
  <c r="J81" i="49"/>
  <c r="J79" i="49"/>
  <c r="J76" i="49"/>
  <c r="J75" i="49"/>
  <c r="J72" i="49"/>
  <c r="J71" i="49"/>
  <c r="J70" i="49"/>
  <c r="J69" i="49"/>
  <c r="J67" i="49"/>
  <c r="J66" i="49"/>
  <c r="J65" i="49"/>
  <c r="J64" i="49"/>
  <c r="J63" i="49"/>
  <c r="J62" i="49"/>
  <c r="J61" i="49"/>
  <c r="J60" i="49"/>
  <c r="J59" i="49"/>
  <c r="J56" i="49"/>
  <c r="J55" i="49"/>
  <c r="J54" i="49"/>
  <c r="J53" i="49"/>
  <c r="J52" i="49"/>
  <c r="J51" i="49"/>
  <c r="J49" i="49"/>
  <c r="J48" i="49"/>
  <c r="J47" i="49"/>
  <c r="J46" i="49"/>
  <c r="J45" i="49"/>
  <c r="J44" i="49"/>
  <c r="J42" i="49"/>
  <c r="J41" i="49"/>
  <c r="J40" i="49"/>
  <c r="J39" i="49"/>
  <c r="J38" i="49"/>
  <c r="J37" i="49"/>
  <c r="J35" i="49"/>
  <c r="J34" i="49"/>
  <c r="J33" i="49"/>
  <c r="J32" i="49"/>
  <c r="J31" i="49"/>
  <c r="J30" i="49"/>
  <c r="J28" i="49"/>
  <c r="J27" i="49"/>
  <c r="J26" i="49"/>
  <c r="J25" i="49"/>
  <c r="J24" i="49"/>
  <c r="J23" i="49"/>
  <c r="J21" i="49"/>
  <c r="J20" i="49"/>
  <c r="J19" i="49"/>
  <c r="J18" i="49"/>
  <c r="J17" i="49"/>
  <c r="J16" i="49"/>
  <c r="J14" i="49"/>
  <c r="J13" i="49"/>
  <c r="J12" i="49"/>
  <c r="J11" i="49"/>
  <c r="J10" i="49"/>
  <c r="J9" i="49"/>
  <c r="J7" i="49"/>
  <c r="J6" i="49"/>
  <c r="J5" i="49"/>
  <c r="J4" i="49"/>
  <c r="J3" i="49"/>
  <c r="J2" i="49"/>
  <c r="J82" i="55"/>
  <c r="J81" i="55"/>
  <c r="J79" i="55"/>
  <c r="J76" i="55"/>
  <c r="J75" i="55"/>
  <c r="J72" i="55"/>
  <c r="J71" i="55"/>
  <c r="J70" i="55"/>
  <c r="J69" i="55"/>
  <c r="J67" i="55"/>
  <c r="J66" i="55"/>
  <c r="J65" i="55"/>
  <c r="J64" i="55"/>
  <c r="J63" i="55"/>
  <c r="J62" i="55"/>
  <c r="J61" i="55"/>
  <c r="J60" i="55"/>
  <c r="J59" i="55"/>
  <c r="J56" i="55"/>
  <c r="J55" i="55"/>
  <c r="J54" i="55"/>
  <c r="J53" i="55"/>
  <c r="J52" i="55"/>
  <c r="J51" i="55"/>
  <c r="J49" i="55"/>
  <c r="J48" i="55"/>
  <c r="J47" i="55"/>
  <c r="J46" i="55"/>
  <c r="J45" i="55"/>
  <c r="J44" i="55"/>
  <c r="J42" i="55"/>
  <c r="J41" i="55"/>
  <c r="J40" i="55"/>
  <c r="J39" i="55"/>
  <c r="J38" i="55"/>
  <c r="J37" i="55"/>
  <c r="J35" i="55"/>
  <c r="J34" i="55"/>
  <c r="J33" i="55"/>
  <c r="J32" i="55"/>
  <c r="J31" i="55"/>
  <c r="J30" i="55"/>
  <c r="J28" i="55"/>
  <c r="J27" i="55"/>
  <c r="J26" i="55"/>
  <c r="J25" i="55"/>
  <c r="J24" i="55"/>
  <c r="J23" i="55"/>
  <c r="J21" i="55"/>
  <c r="J20" i="55"/>
  <c r="J19" i="55"/>
  <c r="J18" i="55"/>
  <c r="J17" i="55"/>
  <c r="J16" i="55"/>
  <c r="J14" i="55"/>
  <c r="J13" i="55"/>
  <c r="J12" i="55"/>
  <c r="J11" i="55"/>
  <c r="J10" i="55"/>
  <c r="J9" i="55"/>
  <c r="J7" i="55"/>
  <c r="J6" i="55"/>
  <c r="J5" i="55"/>
  <c r="J4" i="55"/>
  <c r="J3" i="55"/>
  <c r="J2" i="55"/>
  <c r="J82" i="54"/>
  <c r="J81" i="54"/>
  <c r="J79" i="54"/>
  <c r="J76" i="54"/>
  <c r="J75" i="54"/>
  <c r="J72" i="54"/>
  <c r="J71" i="54"/>
  <c r="J70" i="54"/>
  <c r="J69" i="54"/>
  <c r="J67" i="54"/>
  <c r="J66" i="54"/>
  <c r="J65" i="54"/>
  <c r="J64" i="54"/>
  <c r="J63" i="54"/>
  <c r="J62" i="54"/>
  <c r="J61" i="54"/>
  <c r="J60" i="54"/>
  <c r="J59" i="54"/>
  <c r="J56" i="54"/>
  <c r="J55" i="54"/>
  <c r="J54" i="54"/>
  <c r="J53" i="54"/>
  <c r="J52" i="54"/>
  <c r="J51" i="54"/>
  <c r="J49" i="54"/>
  <c r="J48" i="54"/>
  <c r="J47" i="54"/>
  <c r="J46" i="54"/>
  <c r="J45" i="54"/>
  <c r="J44" i="54"/>
  <c r="J42" i="54"/>
  <c r="J41" i="54"/>
  <c r="J40" i="54"/>
  <c r="J39" i="54"/>
  <c r="J38" i="54"/>
  <c r="J37" i="54"/>
  <c r="J35" i="54"/>
  <c r="J34" i="54"/>
  <c r="J33" i="54"/>
  <c r="J32" i="54"/>
  <c r="J31" i="54"/>
  <c r="J30" i="54"/>
  <c r="J28" i="54"/>
  <c r="J27" i="54"/>
  <c r="J26" i="54"/>
  <c r="J25" i="54"/>
  <c r="J24" i="54"/>
  <c r="J23" i="54"/>
  <c r="J21" i="54"/>
  <c r="J20" i="54"/>
  <c r="J19" i="54"/>
  <c r="J18" i="54"/>
  <c r="J17" i="54"/>
  <c r="J16" i="54"/>
  <c r="J14" i="54"/>
  <c r="J13" i="54"/>
  <c r="J12" i="54"/>
  <c r="J11" i="54"/>
  <c r="J10" i="54"/>
  <c r="J9" i="54"/>
  <c r="J7" i="54"/>
  <c r="J6" i="54"/>
  <c r="J5" i="54"/>
  <c r="J4" i="54"/>
  <c r="J3" i="54"/>
  <c r="J2" i="54"/>
  <c r="J82" i="52"/>
  <c r="J81" i="52"/>
  <c r="J79" i="52"/>
  <c r="J76" i="52"/>
  <c r="J75" i="52"/>
  <c r="J72" i="52"/>
  <c r="J71" i="52"/>
  <c r="J70" i="52"/>
  <c r="J69" i="52"/>
  <c r="J67" i="52"/>
  <c r="J66" i="52"/>
  <c r="J65" i="52"/>
  <c r="J64" i="52"/>
  <c r="J63" i="52"/>
  <c r="J62" i="52"/>
  <c r="J61" i="52"/>
  <c r="J60" i="52"/>
  <c r="J59" i="52"/>
  <c r="J56" i="52"/>
  <c r="J55" i="52"/>
  <c r="J54" i="52"/>
  <c r="J53" i="52"/>
  <c r="J52" i="52"/>
  <c r="J51" i="52"/>
  <c r="J49" i="52"/>
  <c r="J48" i="52"/>
  <c r="J47" i="52"/>
  <c r="J46" i="52"/>
  <c r="J45" i="52"/>
  <c r="J44" i="52"/>
  <c r="J42" i="52"/>
  <c r="J41" i="52"/>
  <c r="J40" i="52"/>
  <c r="J39" i="52"/>
  <c r="J38" i="52"/>
  <c r="J37" i="52"/>
  <c r="J35" i="52"/>
  <c r="J34" i="52"/>
  <c r="J33" i="52"/>
  <c r="J32" i="52"/>
  <c r="J31" i="52"/>
  <c r="J30" i="52"/>
  <c r="J28" i="52"/>
  <c r="J27" i="52"/>
  <c r="J26" i="52"/>
  <c r="J25" i="52"/>
  <c r="J24" i="52"/>
  <c r="J23" i="52"/>
  <c r="J21" i="52"/>
  <c r="J20" i="52"/>
  <c r="J19" i="52"/>
  <c r="J18" i="52"/>
  <c r="J17" i="52"/>
  <c r="J16" i="52"/>
  <c r="J14" i="52"/>
  <c r="J13" i="52"/>
  <c r="J12" i="52"/>
  <c r="J11" i="52"/>
  <c r="J10" i="52"/>
  <c r="J9" i="52"/>
  <c r="J7" i="52"/>
  <c r="J6" i="52"/>
  <c r="J5" i="52"/>
  <c r="J4" i="52"/>
  <c r="J3" i="52"/>
  <c r="J2" i="52"/>
  <c r="J82" i="53"/>
  <c r="J81" i="53"/>
  <c r="J79" i="53"/>
  <c r="J76" i="53"/>
  <c r="J75" i="53"/>
  <c r="J72" i="53"/>
  <c r="J71" i="53"/>
  <c r="J70" i="53"/>
  <c r="J69" i="53"/>
  <c r="J67" i="53"/>
  <c r="J66" i="53"/>
  <c r="J65" i="53"/>
  <c r="J64" i="53"/>
  <c r="J63" i="53"/>
  <c r="J62" i="53"/>
  <c r="J61" i="53"/>
  <c r="J60" i="53"/>
  <c r="J59" i="53"/>
  <c r="J56" i="53"/>
  <c r="J55" i="53"/>
  <c r="J54" i="53"/>
  <c r="J53" i="53"/>
  <c r="J52" i="53"/>
  <c r="J51" i="53"/>
  <c r="J49" i="53"/>
  <c r="J48" i="53"/>
  <c r="J47" i="53"/>
  <c r="J46" i="53"/>
  <c r="J45" i="53"/>
  <c r="J44" i="53"/>
  <c r="J42" i="53"/>
  <c r="J41" i="53"/>
  <c r="J40" i="53"/>
  <c r="J39" i="53"/>
  <c r="J38" i="53"/>
  <c r="J37" i="53"/>
  <c r="J35" i="53"/>
  <c r="J34" i="53"/>
  <c r="J33" i="53"/>
  <c r="J32" i="53"/>
  <c r="J31" i="53"/>
  <c r="J30" i="53"/>
  <c r="J28" i="53"/>
  <c r="J27" i="53"/>
  <c r="J26" i="53"/>
  <c r="J25" i="53"/>
  <c r="J24" i="53"/>
  <c r="J23" i="53"/>
  <c r="J21" i="53"/>
  <c r="J20" i="53"/>
  <c r="J19" i="53"/>
  <c r="J18" i="53"/>
  <c r="J17" i="53"/>
  <c r="J16" i="53"/>
  <c r="J14" i="53"/>
  <c r="J13" i="53"/>
  <c r="J12" i="53"/>
  <c r="J11" i="53"/>
  <c r="J10" i="53"/>
  <c r="J9" i="53"/>
  <c r="J7" i="53"/>
  <c r="J6" i="53"/>
  <c r="J5" i="53"/>
  <c r="J4" i="53"/>
  <c r="J3" i="53"/>
  <c r="J2" i="53"/>
  <c r="J82" i="50"/>
  <c r="J81" i="50"/>
  <c r="J79" i="50"/>
  <c r="J76" i="50"/>
  <c r="J75" i="50"/>
  <c r="J72" i="50"/>
  <c r="J71" i="50"/>
  <c r="J70" i="50"/>
  <c r="J69" i="50"/>
  <c r="J67" i="50"/>
  <c r="J66" i="50"/>
  <c r="J65" i="50"/>
  <c r="J64" i="50"/>
  <c r="J63" i="50"/>
  <c r="J62" i="50"/>
  <c r="J61" i="50"/>
  <c r="J60" i="50"/>
  <c r="J59" i="50"/>
  <c r="J56" i="50"/>
  <c r="J55" i="50"/>
  <c r="J54" i="50"/>
  <c r="J53" i="50"/>
  <c r="J52" i="50"/>
  <c r="J51" i="50"/>
  <c r="J49" i="50"/>
  <c r="J48" i="50"/>
  <c r="J47" i="50"/>
  <c r="J46" i="50"/>
  <c r="J45" i="50"/>
  <c r="J44" i="50"/>
  <c r="J42" i="50"/>
  <c r="J41" i="50"/>
  <c r="J40" i="50"/>
  <c r="J39" i="50"/>
  <c r="J38" i="50"/>
  <c r="J37" i="50"/>
  <c r="J35" i="50"/>
  <c r="J34" i="50"/>
  <c r="J33" i="50"/>
  <c r="J32" i="50"/>
  <c r="J31" i="50"/>
  <c r="J30" i="50"/>
  <c r="J28" i="50"/>
  <c r="J27" i="50"/>
  <c r="J26" i="50"/>
  <c r="J25" i="50"/>
  <c r="J24" i="50"/>
  <c r="J23" i="50"/>
  <c r="J21" i="50"/>
  <c r="J20" i="50"/>
  <c r="J19" i="50"/>
  <c r="J18" i="50"/>
  <c r="J17" i="50"/>
  <c r="J16" i="50"/>
  <c r="J14" i="50"/>
  <c r="J13" i="50"/>
  <c r="J12" i="50"/>
  <c r="J11" i="50"/>
  <c r="J10" i="50"/>
  <c r="J9" i="50"/>
  <c r="J7" i="50"/>
  <c r="J6" i="50"/>
  <c r="J5" i="50"/>
  <c r="J4" i="50"/>
  <c r="J3" i="50"/>
  <c r="J2" i="50"/>
  <c r="J82" i="51"/>
  <c r="J81" i="51"/>
  <c r="J79" i="51"/>
  <c r="J76" i="51"/>
  <c r="J75" i="51"/>
  <c r="J72" i="51"/>
  <c r="J71" i="51"/>
  <c r="J70" i="51"/>
  <c r="J69" i="51"/>
  <c r="J67" i="51"/>
  <c r="J66" i="51"/>
  <c r="J65" i="51"/>
  <c r="J64" i="51"/>
  <c r="J63" i="51"/>
  <c r="J62" i="51"/>
  <c r="J61" i="51"/>
  <c r="J60" i="51"/>
  <c r="J59" i="51"/>
  <c r="J56" i="51"/>
  <c r="J55" i="51"/>
  <c r="J54" i="51"/>
  <c r="J53" i="51"/>
  <c r="J52" i="51"/>
  <c r="J51" i="51"/>
  <c r="J49" i="51"/>
  <c r="J48" i="51"/>
  <c r="J47" i="51"/>
  <c r="J46" i="51"/>
  <c r="J45" i="51"/>
  <c r="J44" i="51"/>
  <c r="J42" i="51"/>
  <c r="J41" i="51"/>
  <c r="J40" i="51"/>
  <c r="J39" i="51"/>
  <c r="J38" i="51"/>
  <c r="J37" i="51"/>
  <c r="J35" i="51"/>
  <c r="J34" i="51"/>
  <c r="J33" i="51"/>
  <c r="J32" i="51"/>
  <c r="J31" i="51"/>
  <c r="J30" i="51"/>
  <c r="J28" i="51"/>
  <c r="J27" i="51"/>
  <c r="J26" i="51"/>
  <c r="J25" i="51"/>
  <c r="J24" i="51"/>
  <c r="J23" i="51"/>
  <c r="J21" i="51"/>
  <c r="J20" i="51"/>
  <c r="J19" i="51"/>
  <c r="J18" i="51"/>
  <c r="J17" i="51"/>
  <c r="J16" i="51"/>
  <c r="J14" i="51"/>
  <c r="J13" i="51"/>
  <c r="J12" i="51"/>
  <c r="J11" i="51"/>
  <c r="J10" i="51"/>
  <c r="J9" i="51"/>
  <c r="J7" i="51"/>
  <c r="J6" i="51"/>
  <c r="J5" i="51"/>
  <c r="J4" i="51"/>
  <c r="J3" i="51"/>
  <c r="J2" i="51"/>
  <c r="J82" i="63"/>
  <c r="J81" i="63"/>
  <c r="J79" i="63"/>
  <c r="J76" i="63"/>
  <c r="J75" i="63"/>
  <c r="J72" i="63"/>
  <c r="J71" i="63"/>
  <c r="J70" i="63"/>
  <c r="J69" i="63"/>
  <c r="J67" i="63"/>
  <c r="J66" i="63"/>
  <c r="J65" i="63"/>
  <c r="J64" i="63"/>
  <c r="J63" i="63"/>
  <c r="J62" i="63"/>
  <c r="J61" i="63"/>
  <c r="J60" i="63"/>
  <c r="J59" i="63"/>
  <c r="J56" i="63"/>
  <c r="J55" i="63"/>
  <c r="J54" i="63"/>
  <c r="J53" i="63"/>
  <c r="J52" i="63"/>
  <c r="J51" i="63"/>
  <c r="J49" i="63"/>
  <c r="J48" i="63"/>
  <c r="J47" i="63"/>
  <c r="J46" i="63"/>
  <c r="J45" i="63"/>
  <c r="J44" i="63"/>
  <c r="J42" i="63"/>
  <c r="J41" i="63"/>
  <c r="J40" i="63"/>
  <c r="J39" i="63"/>
  <c r="J38" i="63"/>
  <c r="J37" i="63"/>
  <c r="J35" i="63"/>
  <c r="J34" i="63"/>
  <c r="J33" i="63"/>
  <c r="J32" i="63"/>
  <c r="J31" i="63"/>
  <c r="J30" i="63"/>
  <c r="J28" i="63"/>
  <c r="J27" i="63"/>
  <c r="J26" i="63"/>
  <c r="J25" i="63"/>
  <c r="J24" i="63"/>
  <c r="J23" i="63"/>
  <c r="J21" i="63"/>
  <c r="J20" i="63"/>
  <c r="J19" i="63"/>
  <c r="J18" i="63"/>
  <c r="J17" i="63"/>
  <c r="J16" i="63"/>
  <c r="J14" i="63"/>
  <c r="J13" i="63"/>
  <c r="J12" i="63"/>
  <c r="J11" i="63"/>
  <c r="J10" i="63"/>
  <c r="J9" i="63"/>
  <c r="J7" i="63"/>
  <c r="J6" i="63"/>
  <c r="J5" i="63"/>
  <c r="J4" i="63"/>
  <c r="J3" i="63"/>
  <c r="J2" i="63"/>
  <c r="J82" i="46"/>
  <c r="J81" i="46"/>
  <c r="J79" i="46"/>
  <c r="J76" i="46"/>
  <c r="J75" i="46"/>
  <c r="J72" i="46"/>
  <c r="J71" i="46"/>
  <c r="J70" i="46"/>
  <c r="J69" i="46"/>
  <c r="J67" i="46"/>
  <c r="J66" i="46"/>
  <c r="J65" i="46"/>
  <c r="J64" i="46"/>
  <c r="J63" i="46"/>
  <c r="J62" i="46"/>
  <c r="J61" i="46"/>
  <c r="J60" i="46"/>
  <c r="J59" i="46"/>
  <c r="J56" i="46"/>
  <c r="J55" i="46"/>
  <c r="J54" i="46"/>
  <c r="J53" i="46"/>
  <c r="J52" i="46"/>
  <c r="J51" i="46"/>
  <c r="J49" i="46"/>
  <c r="J48" i="46"/>
  <c r="J47" i="46"/>
  <c r="J46" i="46"/>
  <c r="J45" i="46"/>
  <c r="J44" i="46"/>
  <c r="J42" i="46"/>
  <c r="J41" i="46"/>
  <c r="J40" i="46"/>
  <c r="J39" i="46"/>
  <c r="J38" i="46"/>
  <c r="J37" i="46"/>
  <c r="J35" i="46"/>
  <c r="J34" i="46"/>
  <c r="J33" i="46"/>
  <c r="J32" i="46"/>
  <c r="J31" i="46"/>
  <c r="J30" i="46"/>
  <c r="J28" i="46"/>
  <c r="J27" i="46"/>
  <c r="J26" i="46"/>
  <c r="J25" i="46"/>
  <c r="J24" i="46"/>
  <c r="J23" i="46"/>
  <c r="J21" i="46"/>
  <c r="J20" i="46"/>
  <c r="J19" i="46"/>
  <c r="J18" i="46"/>
  <c r="J17" i="46"/>
  <c r="J16" i="46"/>
  <c r="J14" i="46"/>
  <c r="J13" i="46"/>
  <c r="J12" i="46"/>
  <c r="J11" i="46"/>
  <c r="J10" i="46"/>
  <c r="J9" i="46"/>
  <c r="J7" i="46"/>
  <c r="J6" i="46"/>
  <c r="J5" i="46"/>
  <c r="J4" i="46"/>
  <c r="J3" i="46"/>
  <c r="J2" i="46"/>
  <c r="J82" i="48"/>
  <c r="J81" i="48"/>
  <c r="J79" i="48"/>
  <c r="J76" i="48"/>
  <c r="J75" i="48"/>
  <c r="J72" i="48"/>
  <c r="J71" i="48"/>
  <c r="J70" i="48"/>
  <c r="J69" i="48"/>
  <c r="J67" i="48"/>
  <c r="J66" i="48"/>
  <c r="J65" i="48"/>
  <c r="J64" i="48"/>
  <c r="J63" i="48"/>
  <c r="J62" i="48"/>
  <c r="J61" i="48"/>
  <c r="J60" i="48"/>
  <c r="J59" i="48"/>
  <c r="J56" i="48"/>
  <c r="J55" i="48"/>
  <c r="J54" i="48"/>
  <c r="J53" i="48"/>
  <c r="J52" i="48"/>
  <c r="J51" i="48"/>
  <c r="J49" i="48"/>
  <c r="J48" i="48"/>
  <c r="J47" i="48"/>
  <c r="J46" i="48"/>
  <c r="J45" i="48"/>
  <c r="J44" i="48"/>
  <c r="J42" i="48"/>
  <c r="J41" i="48"/>
  <c r="J40" i="48"/>
  <c r="J39" i="48"/>
  <c r="J38" i="48"/>
  <c r="J37" i="48"/>
  <c r="J35" i="48"/>
  <c r="J34" i="48"/>
  <c r="J33" i="48"/>
  <c r="J32" i="48"/>
  <c r="J31" i="48"/>
  <c r="J30" i="48"/>
  <c r="J28" i="48"/>
  <c r="J27" i="48"/>
  <c r="J26" i="48"/>
  <c r="J25" i="48"/>
  <c r="J24" i="48"/>
  <c r="J23" i="48"/>
  <c r="J21" i="48"/>
  <c r="J20" i="48"/>
  <c r="J19" i="48"/>
  <c r="J18" i="48"/>
  <c r="J17" i="48"/>
  <c r="J16" i="48"/>
  <c r="J14" i="48"/>
  <c r="J13" i="48"/>
  <c r="J12" i="48"/>
  <c r="J11" i="48"/>
  <c r="J10" i="48"/>
  <c r="J9" i="48"/>
  <c r="J7" i="48"/>
  <c r="J6" i="48"/>
  <c r="J5" i="48"/>
  <c r="J4" i="48"/>
  <c r="J3" i="48"/>
  <c r="J2" i="48"/>
  <c r="J82" i="47"/>
  <c r="J81" i="47"/>
  <c r="J79" i="47"/>
  <c r="J76" i="47"/>
  <c r="J75" i="47"/>
  <c r="J72" i="47"/>
  <c r="J71" i="47"/>
  <c r="J70" i="47"/>
  <c r="J69" i="47"/>
  <c r="J67" i="47"/>
  <c r="J66" i="47"/>
  <c r="J65" i="47"/>
  <c r="J64" i="47"/>
  <c r="J63" i="47"/>
  <c r="J62" i="47"/>
  <c r="J61" i="47"/>
  <c r="J60" i="47"/>
  <c r="J59" i="47"/>
  <c r="J56" i="47"/>
  <c r="J55" i="47"/>
  <c r="J54" i="47"/>
  <c r="J53" i="47"/>
  <c r="J52" i="47"/>
  <c r="J51" i="47"/>
  <c r="J49" i="47"/>
  <c r="J48" i="47"/>
  <c r="J47" i="47"/>
  <c r="J46" i="47"/>
  <c r="J45" i="47"/>
  <c r="J44" i="47"/>
  <c r="J42" i="47"/>
  <c r="J41" i="47"/>
  <c r="J40" i="47"/>
  <c r="J39" i="47"/>
  <c r="J38" i="47"/>
  <c r="J37" i="47"/>
  <c r="J35" i="47"/>
  <c r="J34" i="47"/>
  <c r="J33" i="47"/>
  <c r="J32" i="47"/>
  <c r="J31" i="47"/>
  <c r="J30" i="47"/>
  <c r="J28" i="47"/>
  <c r="J27" i="47"/>
  <c r="J26" i="47"/>
  <c r="J25" i="47"/>
  <c r="J24" i="47"/>
  <c r="J23" i="47"/>
  <c r="J21" i="47"/>
  <c r="J20" i="47"/>
  <c r="J19" i="47"/>
  <c r="J18" i="47"/>
  <c r="J17" i="47"/>
  <c r="J16" i="47"/>
  <c r="J14" i="47"/>
  <c r="J13" i="47"/>
  <c r="J12" i="47"/>
  <c r="J11" i="47"/>
  <c r="J10" i="47"/>
  <c r="J9" i="47"/>
  <c r="J7" i="47"/>
  <c r="J6" i="47"/>
  <c r="J5" i="47"/>
  <c r="J4" i="47"/>
  <c r="J3" i="47"/>
  <c r="J2" i="47"/>
  <c r="J82" i="44"/>
  <c r="J81" i="44"/>
  <c r="J79" i="44"/>
  <c r="J76" i="44"/>
  <c r="J75" i="44"/>
  <c r="J72" i="44"/>
  <c r="J71" i="44"/>
  <c r="J70" i="44"/>
  <c r="J69" i="44"/>
  <c r="J67" i="44"/>
  <c r="J66" i="44"/>
  <c r="J65" i="44"/>
  <c r="J64" i="44"/>
  <c r="J63" i="44"/>
  <c r="J62" i="44"/>
  <c r="J61" i="44"/>
  <c r="J60" i="44"/>
  <c r="J59" i="44"/>
  <c r="J56" i="44"/>
  <c r="J55" i="44"/>
  <c r="J54" i="44"/>
  <c r="J53" i="44"/>
  <c r="J52" i="44"/>
  <c r="J51" i="44"/>
  <c r="J49" i="44"/>
  <c r="J48" i="44"/>
  <c r="J47" i="44"/>
  <c r="J46" i="44"/>
  <c r="J45" i="44"/>
  <c r="J44" i="44"/>
  <c r="J42" i="44"/>
  <c r="J41" i="44"/>
  <c r="J40" i="44"/>
  <c r="J39" i="44"/>
  <c r="J38" i="44"/>
  <c r="J37" i="44"/>
  <c r="J35" i="44"/>
  <c r="J34" i="44"/>
  <c r="J33" i="44"/>
  <c r="J32" i="44"/>
  <c r="J31" i="44"/>
  <c r="J30" i="44"/>
  <c r="J28" i="44"/>
  <c r="J27" i="44"/>
  <c r="J26" i="44"/>
  <c r="J25" i="44"/>
  <c r="J24" i="44"/>
  <c r="J23" i="44"/>
  <c r="J21" i="44"/>
  <c r="J20" i="44"/>
  <c r="J19" i="44"/>
  <c r="J18" i="44"/>
  <c r="J17" i="44"/>
  <c r="J16" i="44"/>
  <c r="J14" i="44"/>
  <c r="J13" i="44"/>
  <c r="J12" i="44"/>
  <c r="J11" i="44"/>
  <c r="J10" i="44"/>
  <c r="J9" i="44"/>
  <c r="J7" i="44"/>
  <c r="J6" i="44"/>
  <c r="J5" i="44"/>
  <c r="J4" i="44"/>
  <c r="J3" i="44"/>
  <c r="J2" i="44"/>
  <c r="J16" i="45"/>
  <c r="J17" i="45"/>
  <c r="J18" i="45"/>
  <c r="J19" i="45"/>
  <c r="J20" i="45"/>
  <c r="J21" i="45"/>
  <c r="J23" i="45"/>
  <c r="J24" i="45"/>
  <c r="J25" i="45"/>
  <c r="J26" i="45"/>
  <c r="J27" i="45"/>
  <c r="J28" i="45"/>
  <c r="J30" i="45"/>
  <c r="J31" i="45"/>
  <c r="J32" i="45"/>
  <c r="J33" i="45"/>
  <c r="J34" i="45"/>
  <c r="J35" i="45"/>
  <c r="J37" i="45"/>
  <c r="J38" i="45"/>
  <c r="J39" i="45"/>
  <c r="J40" i="45"/>
  <c r="J41" i="45"/>
  <c r="J42" i="45"/>
  <c r="J44" i="45"/>
  <c r="J45" i="45"/>
  <c r="J46" i="45"/>
  <c r="J47" i="45"/>
  <c r="J48" i="45"/>
  <c r="J49" i="45"/>
  <c r="J51" i="45"/>
  <c r="J52" i="45"/>
  <c r="J53" i="45"/>
  <c r="J54" i="45"/>
  <c r="J55" i="45"/>
  <c r="J56" i="45"/>
  <c r="J59" i="45"/>
  <c r="J60" i="45"/>
  <c r="J61" i="45"/>
  <c r="J62" i="45"/>
  <c r="J63" i="45"/>
  <c r="J64" i="45"/>
  <c r="J65" i="45"/>
  <c r="J66" i="45"/>
  <c r="J69" i="45"/>
  <c r="J70" i="45"/>
  <c r="J71" i="45"/>
  <c r="J72" i="45"/>
  <c r="J75" i="45"/>
  <c r="J76" i="45"/>
  <c r="J79" i="45"/>
  <c r="J81" i="45"/>
  <c r="J82" i="45"/>
  <c r="J3" i="45"/>
  <c r="J4" i="45"/>
  <c r="J5" i="45"/>
  <c r="J6" i="45"/>
  <c r="J7" i="45"/>
  <c r="J9" i="45"/>
  <c r="J10" i="45"/>
  <c r="J11" i="45"/>
  <c r="J12" i="45"/>
  <c r="J13" i="45"/>
  <c r="J14" i="45"/>
  <c r="J2" i="45"/>
  <c r="O79" i="66"/>
  <c r="E79" i="66" s="1"/>
  <c r="N79" i="66"/>
  <c r="M79" i="66"/>
  <c r="L79" i="66"/>
  <c r="K79" i="66"/>
  <c r="A79" i="66" s="1"/>
  <c r="A78" i="66"/>
  <c r="O77" i="66"/>
  <c r="N77" i="66"/>
  <c r="M77" i="66"/>
  <c r="L77" i="66"/>
  <c r="K77" i="66"/>
  <c r="O76" i="66"/>
  <c r="E76" i="66" s="1"/>
  <c r="N76" i="66"/>
  <c r="M76" i="66"/>
  <c r="L76" i="66"/>
  <c r="K76" i="66"/>
  <c r="A76" i="66" s="1"/>
  <c r="O75" i="66"/>
  <c r="E75" i="66" s="1"/>
  <c r="N75" i="66"/>
  <c r="M75" i="66"/>
  <c r="L75" i="66"/>
  <c r="K75" i="66"/>
  <c r="A75" i="66" s="1"/>
  <c r="A74" i="66"/>
  <c r="O73" i="66"/>
  <c r="N73" i="66"/>
  <c r="M73" i="66"/>
  <c r="L73" i="66"/>
  <c r="K73" i="66"/>
  <c r="O72" i="66"/>
  <c r="E72" i="66" s="1"/>
  <c r="N72" i="66"/>
  <c r="M72" i="66"/>
  <c r="L72" i="66"/>
  <c r="K72" i="66"/>
  <c r="A72" i="66" s="1"/>
  <c r="O71" i="66"/>
  <c r="E71" i="66" s="1"/>
  <c r="N71" i="66"/>
  <c r="M71" i="66"/>
  <c r="L71" i="66"/>
  <c r="K71" i="66"/>
  <c r="A71" i="66" s="1"/>
  <c r="O70" i="66"/>
  <c r="E70" i="66" s="1"/>
  <c r="N70" i="66"/>
  <c r="M70" i="66"/>
  <c r="L70" i="66"/>
  <c r="K70" i="66"/>
  <c r="A70" i="66" s="1"/>
  <c r="O69" i="66"/>
  <c r="E69" i="66" s="1"/>
  <c r="N69" i="66"/>
  <c r="M69" i="66"/>
  <c r="L69" i="66"/>
  <c r="K69" i="66"/>
  <c r="A69" i="66" s="1"/>
  <c r="A68" i="66"/>
  <c r="O66" i="66"/>
  <c r="E66" i="66" s="1"/>
  <c r="N66" i="66"/>
  <c r="M66" i="66"/>
  <c r="L66" i="66"/>
  <c r="K66" i="66"/>
  <c r="A66" i="66" s="1"/>
  <c r="O65" i="66"/>
  <c r="E65" i="66" s="1"/>
  <c r="N65" i="66"/>
  <c r="M65" i="66"/>
  <c r="L65" i="66"/>
  <c r="K65" i="66"/>
  <c r="A65" i="66" s="1"/>
  <c r="O64" i="66"/>
  <c r="E64" i="66" s="1"/>
  <c r="N64" i="66"/>
  <c r="M64" i="66"/>
  <c r="L64" i="66"/>
  <c r="K64" i="66"/>
  <c r="A64" i="66" s="1"/>
  <c r="O63" i="66"/>
  <c r="E63" i="66" s="1"/>
  <c r="N63" i="66"/>
  <c r="M63" i="66"/>
  <c r="L63" i="66"/>
  <c r="K63" i="66"/>
  <c r="A63" i="66" s="1"/>
  <c r="O62" i="66"/>
  <c r="E62" i="66" s="1"/>
  <c r="N62" i="66"/>
  <c r="M62" i="66"/>
  <c r="L62" i="66"/>
  <c r="K62" i="66"/>
  <c r="A62" i="66" s="1"/>
  <c r="O61" i="66"/>
  <c r="E61" i="66" s="1"/>
  <c r="N61" i="66"/>
  <c r="M61" i="66"/>
  <c r="L61" i="66"/>
  <c r="K61" i="66"/>
  <c r="A61" i="66" s="1"/>
  <c r="O60" i="66"/>
  <c r="E60" i="66" s="1"/>
  <c r="N60" i="66"/>
  <c r="M60" i="66"/>
  <c r="L60" i="66"/>
  <c r="K60" i="66"/>
  <c r="A60" i="66" s="1"/>
  <c r="O59" i="66"/>
  <c r="E59" i="66" s="1"/>
  <c r="N59" i="66"/>
  <c r="M59" i="66"/>
  <c r="L59" i="66"/>
  <c r="K59" i="66"/>
  <c r="A59" i="66" s="1"/>
  <c r="A58" i="66"/>
  <c r="O56" i="66"/>
  <c r="E56" i="66" s="1"/>
  <c r="N56" i="66"/>
  <c r="M56" i="66"/>
  <c r="L56" i="66"/>
  <c r="K56" i="66"/>
  <c r="A56" i="66" s="1"/>
  <c r="O55" i="66"/>
  <c r="E55" i="66" s="1"/>
  <c r="N55" i="66"/>
  <c r="M55" i="66"/>
  <c r="L55" i="66"/>
  <c r="K55" i="66"/>
  <c r="A55" i="66" s="1"/>
  <c r="O54" i="66"/>
  <c r="E54" i="66" s="1"/>
  <c r="N54" i="66"/>
  <c r="M54" i="66"/>
  <c r="L54" i="66"/>
  <c r="K54" i="66"/>
  <c r="A54" i="66" s="1"/>
  <c r="O53" i="66"/>
  <c r="E53" i="66" s="1"/>
  <c r="N53" i="66"/>
  <c r="M53" i="66"/>
  <c r="L53" i="66"/>
  <c r="K53" i="66"/>
  <c r="A53" i="66" s="1"/>
  <c r="O52" i="66"/>
  <c r="E52" i="66" s="1"/>
  <c r="N52" i="66"/>
  <c r="M52" i="66"/>
  <c r="L52" i="66"/>
  <c r="K52" i="66"/>
  <c r="A52" i="66" s="1"/>
  <c r="O51" i="66"/>
  <c r="E51" i="66" s="1"/>
  <c r="N51" i="66"/>
  <c r="M51" i="66"/>
  <c r="L51" i="66"/>
  <c r="K51" i="66"/>
  <c r="A51" i="66" s="1"/>
  <c r="O49" i="66"/>
  <c r="E49" i="66" s="1"/>
  <c r="N49" i="66"/>
  <c r="M49" i="66"/>
  <c r="L49" i="66"/>
  <c r="K49" i="66"/>
  <c r="A49" i="66" s="1"/>
  <c r="O48" i="66"/>
  <c r="E48" i="66" s="1"/>
  <c r="N48" i="66"/>
  <c r="M48" i="66"/>
  <c r="L48" i="66"/>
  <c r="K48" i="66"/>
  <c r="A48" i="66" s="1"/>
  <c r="O47" i="66"/>
  <c r="E47" i="66" s="1"/>
  <c r="N47" i="66"/>
  <c r="M47" i="66"/>
  <c r="L47" i="66"/>
  <c r="K47" i="66"/>
  <c r="A47" i="66" s="1"/>
  <c r="O46" i="66"/>
  <c r="E46" i="66" s="1"/>
  <c r="N46" i="66"/>
  <c r="M46" i="66"/>
  <c r="L46" i="66"/>
  <c r="K46" i="66"/>
  <c r="A46" i="66" s="1"/>
  <c r="O45" i="66"/>
  <c r="E45" i="66" s="1"/>
  <c r="N45" i="66"/>
  <c r="M45" i="66"/>
  <c r="L45" i="66"/>
  <c r="K45" i="66"/>
  <c r="A45" i="66" s="1"/>
  <c r="O44" i="66"/>
  <c r="E44" i="66" s="1"/>
  <c r="N44" i="66"/>
  <c r="M44" i="66"/>
  <c r="L44" i="66"/>
  <c r="K44" i="66"/>
  <c r="A44" i="66" s="1"/>
  <c r="O42" i="66"/>
  <c r="E42" i="66" s="1"/>
  <c r="N42" i="66"/>
  <c r="M42" i="66"/>
  <c r="L42" i="66"/>
  <c r="K42" i="66"/>
  <c r="A42" i="66" s="1"/>
  <c r="O41" i="66"/>
  <c r="E41" i="66" s="1"/>
  <c r="N41" i="66"/>
  <c r="M41" i="66"/>
  <c r="L41" i="66"/>
  <c r="K41" i="66"/>
  <c r="A41" i="66" s="1"/>
  <c r="O40" i="66"/>
  <c r="E40" i="66" s="1"/>
  <c r="N40" i="66"/>
  <c r="M40" i="66"/>
  <c r="L40" i="66"/>
  <c r="K40" i="66"/>
  <c r="A40" i="66" s="1"/>
  <c r="O39" i="66"/>
  <c r="E39" i="66" s="1"/>
  <c r="N39" i="66"/>
  <c r="M39" i="66"/>
  <c r="L39" i="66"/>
  <c r="K39" i="66"/>
  <c r="A39" i="66" s="1"/>
  <c r="O38" i="66"/>
  <c r="E38" i="66" s="1"/>
  <c r="N38" i="66"/>
  <c r="M38" i="66"/>
  <c r="L38" i="66"/>
  <c r="K38" i="66"/>
  <c r="A38" i="66" s="1"/>
  <c r="O37" i="66"/>
  <c r="E37" i="66" s="1"/>
  <c r="N37" i="66"/>
  <c r="M37" i="66"/>
  <c r="L37" i="66"/>
  <c r="K37" i="66"/>
  <c r="A37" i="66" s="1"/>
  <c r="O35" i="66"/>
  <c r="E35" i="66" s="1"/>
  <c r="N35" i="66"/>
  <c r="M35" i="66"/>
  <c r="L35" i="66"/>
  <c r="K35" i="66"/>
  <c r="A35" i="66" s="1"/>
  <c r="O34" i="66"/>
  <c r="E34" i="66" s="1"/>
  <c r="N34" i="66"/>
  <c r="M34" i="66"/>
  <c r="L34" i="66"/>
  <c r="K34" i="66"/>
  <c r="A34" i="66" s="1"/>
  <c r="O33" i="66"/>
  <c r="E33" i="66" s="1"/>
  <c r="N33" i="66"/>
  <c r="M33" i="66"/>
  <c r="L33" i="66"/>
  <c r="K33" i="66"/>
  <c r="A33" i="66" s="1"/>
  <c r="O32" i="66"/>
  <c r="E32" i="66" s="1"/>
  <c r="N32" i="66"/>
  <c r="M32" i="66"/>
  <c r="L32" i="66"/>
  <c r="K32" i="66"/>
  <c r="A32" i="66" s="1"/>
  <c r="O31" i="66"/>
  <c r="E31" i="66" s="1"/>
  <c r="N31" i="66"/>
  <c r="M31" i="66"/>
  <c r="L31" i="66"/>
  <c r="K31" i="66"/>
  <c r="A31" i="66" s="1"/>
  <c r="O30" i="66"/>
  <c r="E30" i="66" s="1"/>
  <c r="N30" i="66"/>
  <c r="M30" i="66"/>
  <c r="L30" i="66"/>
  <c r="K30" i="66"/>
  <c r="A30" i="66" s="1"/>
  <c r="O28" i="66"/>
  <c r="E28" i="66" s="1"/>
  <c r="N28" i="66"/>
  <c r="M28" i="66"/>
  <c r="L28" i="66"/>
  <c r="K28" i="66"/>
  <c r="A28" i="66" s="1"/>
  <c r="O27" i="66"/>
  <c r="E27" i="66" s="1"/>
  <c r="N27" i="66"/>
  <c r="M27" i="66"/>
  <c r="L27" i="66"/>
  <c r="K27" i="66"/>
  <c r="A27" i="66" s="1"/>
  <c r="O26" i="66"/>
  <c r="E26" i="66" s="1"/>
  <c r="N26" i="66"/>
  <c r="M26" i="66"/>
  <c r="L26" i="66"/>
  <c r="K26" i="66"/>
  <c r="A26" i="66" s="1"/>
  <c r="O25" i="66"/>
  <c r="E25" i="66" s="1"/>
  <c r="N25" i="66"/>
  <c r="M25" i="66"/>
  <c r="L25" i="66"/>
  <c r="K25" i="66"/>
  <c r="A25" i="66" s="1"/>
  <c r="O24" i="66"/>
  <c r="E24" i="66" s="1"/>
  <c r="N24" i="66"/>
  <c r="M24" i="66"/>
  <c r="L24" i="66"/>
  <c r="K24" i="66"/>
  <c r="A24" i="66" s="1"/>
  <c r="O23" i="66"/>
  <c r="E23" i="66" s="1"/>
  <c r="N23" i="66"/>
  <c r="M23" i="66"/>
  <c r="L23" i="66"/>
  <c r="K23" i="66"/>
  <c r="A23" i="66" s="1"/>
  <c r="O21" i="66"/>
  <c r="E21" i="66" s="1"/>
  <c r="N21" i="66"/>
  <c r="M21" i="66"/>
  <c r="L21" i="66"/>
  <c r="K21" i="66"/>
  <c r="A21" i="66" s="1"/>
  <c r="O20" i="66"/>
  <c r="E20" i="66" s="1"/>
  <c r="N20" i="66"/>
  <c r="M20" i="66"/>
  <c r="L20" i="66"/>
  <c r="K20" i="66"/>
  <c r="A20" i="66" s="1"/>
  <c r="O19" i="66"/>
  <c r="E19" i="66" s="1"/>
  <c r="N19" i="66"/>
  <c r="M19" i="66"/>
  <c r="L19" i="66"/>
  <c r="K19" i="66"/>
  <c r="A19" i="66" s="1"/>
  <c r="O18" i="66"/>
  <c r="E18" i="66" s="1"/>
  <c r="N18" i="66"/>
  <c r="M18" i="66"/>
  <c r="L18" i="66"/>
  <c r="K18" i="66"/>
  <c r="A18" i="66" s="1"/>
  <c r="O17" i="66"/>
  <c r="E17" i="66" s="1"/>
  <c r="N17" i="66"/>
  <c r="M17" i="66"/>
  <c r="L17" i="66"/>
  <c r="K17" i="66"/>
  <c r="A17" i="66" s="1"/>
  <c r="O16" i="66"/>
  <c r="E16" i="66" s="1"/>
  <c r="N16" i="66"/>
  <c r="M16" i="66"/>
  <c r="L16" i="66"/>
  <c r="K16" i="66"/>
  <c r="A16" i="66" s="1"/>
  <c r="O14" i="66"/>
  <c r="E14" i="66" s="1"/>
  <c r="N14" i="66"/>
  <c r="M14" i="66"/>
  <c r="L14" i="66"/>
  <c r="K14" i="66"/>
  <c r="A14" i="66" s="1"/>
  <c r="O13" i="66"/>
  <c r="E13" i="66" s="1"/>
  <c r="N13" i="66"/>
  <c r="M13" i="66"/>
  <c r="L13" i="66"/>
  <c r="K13" i="66"/>
  <c r="A13" i="66" s="1"/>
  <c r="O12" i="66"/>
  <c r="E12" i="66" s="1"/>
  <c r="N12" i="66"/>
  <c r="M12" i="66"/>
  <c r="L12" i="66"/>
  <c r="K12" i="66"/>
  <c r="A12" i="66" s="1"/>
  <c r="Q11" i="66"/>
  <c r="P23" i="31" s="1"/>
  <c r="O11" i="66"/>
  <c r="E11" i="66" s="1"/>
  <c r="N11" i="66"/>
  <c r="M11" i="66"/>
  <c r="L11" i="66"/>
  <c r="K11" i="66"/>
  <c r="A11" i="66" s="1"/>
  <c r="O10" i="66"/>
  <c r="E10" i="66" s="1"/>
  <c r="N10" i="66"/>
  <c r="M10" i="66"/>
  <c r="L10" i="66"/>
  <c r="K10" i="66"/>
  <c r="A10" i="66" s="1"/>
  <c r="O9" i="66"/>
  <c r="E9" i="66" s="1"/>
  <c r="N9" i="66"/>
  <c r="M9" i="66"/>
  <c r="L9" i="66"/>
  <c r="K9" i="66"/>
  <c r="A9" i="66" s="1"/>
  <c r="O7" i="66"/>
  <c r="E7" i="66" s="1"/>
  <c r="N7" i="66"/>
  <c r="M7" i="66"/>
  <c r="L7" i="66"/>
  <c r="K7" i="66"/>
  <c r="A7" i="66" s="1"/>
  <c r="O6" i="66"/>
  <c r="E6" i="66" s="1"/>
  <c r="N6" i="66"/>
  <c r="M6" i="66"/>
  <c r="L6" i="66"/>
  <c r="K6" i="66"/>
  <c r="A6" i="66" s="1"/>
  <c r="O5" i="66"/>
  <c r="E5" i="66" s="1"/>
  <c r="N5" i="66"/>
  <c r="M5" i="66"/>
  <c r="L5" i="66"/>
  <c r="K5" i="66"/>
  <c r="A5" i="66" s="1"/>
  <c r="O4" i="66"/>
  <c r="E4" i="66" s="1"/>
  <c r="N4" i="66"/>
  <c r="M4" i="66"/>
  <c r="L4" i="66"/>
  <c r="K4" i="66"/>
  <c r="A4" i="66" s="1"/>
  <c r="O3" i="66"/>
  <c r="E3" i="66" s="1"/>
  <c r="N3" i="66"/>
  <c r="M3" i="66"/>
  <c r="L3" i="66"/>
  <c r="K3" i="66"/>
  <c r="A3" i="66" s="1"/>
  <c r="O2" i="66"/>
  <c r="E2" i="66" s="1"/>
  <c r="N2" i="66"/>
  <c r="M2" i="66"/>
  <c r="L2" i="66"/>
  <c r="K2" i="66"/>
  <c r="A2" i="66" s="1"/>
  <c r="O79" i="65"/>
  <c r="E79" i="65" s="1"/>
  <c r="N79" i="65"/>
  <c r="M79" i="65"/>
  <c r="L79" i="65"/>
  <c r="K79" i="65"/>
  <c r="A79" i="65" s="1"/>
  <c r="A78" i="65"/>
  <c r="O77" i="65"/>
  <c r="N77" i="65"/>
  <c r="M77" i="65"/>
  <c r="L77" i="65"/>
  <c r="K77" i="65"/>
  <c r="O76" i="65"/>
  <c r="E76" i="65" s="1"/>
  <c r="N76" i="65"/>
  <c r="M76" i="65"/>
  <c r="L76" i="65"/>
  <c r="K76" i="65"/>
  <c r="A76" i="65" s="1"/>
  <c r="O75" i="65"/>
  <c r="E75" i="65" s="1"/>
  <c r="N75" i="65"/>
  <c r="M75" i="65"/>
  <c r="L75" i="65"/>
  <c r="K75" i="65"/>
  <c r="A75" i="65" s="1"/>
  <c r="A74" i="65"/>
  <c r="O73" i="65"/>
  <c r="N73" i="65"/>
  <c r="M73" i="65"/>
  <c r="L73" i="65"/>
  <c r="K73" i="65"/>
  <c r="O72" i="65"/>
  <c r="E72" i="65" s="1"/>
  <c r="N72" i="65"/>
  <c r="M72" i="65"/>
  <c r="L72" i="65"/>
  <c r="K72" i="65"/>
  <c r="A72" i="65" s="1"/>
  <c r="O71" i="65"/>
  <c r="E71" i="65" s="1"/>
  <c r="N71" i="65"/>
  <c r="M71" i="65"/>
  <c r="L71" i="65"/>
  <c r="K71" i="65"/>
  <c r="A71" i="65" s="1"/>
  <c r="O70" i="65"/>
  <c r="E70" i="65" s="1"/>
  <c r="N70" i="65"/>
  <c r="M70" i="65"/>
  <c r="L70" i="65"/>
  <c r="K70" i="65"/>
  <c r="A70" i="65" s="1"/>
  <c r="O69" i="65"/>
  <c r="E69" i="65" s="1"/>
  <c r="N69" i="65"/>
  <c r="M69" i="65"/>
  <c r="L69" i="65"/>
  <c r="K69" i="65"/>
  <c r="A69" i="65" s="1"/>
  <c r="A68" i="65"/>
  <c r="O66" i="65"/>
  <c r="E66" i="65" s="1"/>
  <c r="N66" i="65"/>
  <c r="M66" i="65"/>
  <c r="L66" i="65"/>
  <c r="K66" i="65"/>
  <c r="A66" i="65" s="1"/>
  <c r="O65" i="65"/>
  <c r="E65" i="65" s="1"/>
  <c r="N65" i="65"/>
  <c r="M65" i="65"/>
  <c r="L65" i="65"/>
  <c r="K65" i="65"/>
  <c r="A65" i="65" s="1"/>
  <c r="O64" i="65"/>
  <c r="E64" i="65" s="1"/>
  <c r="N64" i="65"/>
  <c r="M64" i="65"/>
  <c r="L64" i="65"/>
  <c r="K64" i="65"/>
  <c r="A64" i="65" s="1"/>
  <c r="O63" i="65"/>
  <c r="E63" i="65" s="1"/>
  <c r="N63" i="65"/>
  <c r="M63" i="65"/>
  <c r="L63" i="65"/>
  <c r="K63" i="65"/>
  <c r="A63" i="65" s="1"/>
  <c r="O62" i="65"/>
  <c r="E62" i="65" s="1"/>
  <c r="N62" i="65"/>
  <c r="M62" i="65"/>
  <c r="L62" i="65"/>
  <c r="K62" i="65"/>
  <c r="A62" i="65" s="1"/>
  <c r="O61" i="65"/>
  <c r="E61" i="65" s="1"/>
  <c r="N61" i="65"/>
  <c r="M61" i="65"/>
  <c r="L61" i="65"/>
  <c r="K61" i="65"/>
  <c r="A61" i="65" s="1"/>
  <c r="O60" i="65"/>
  <c r="E60" i="65" s="1"/>
  <c r="N60" i="65"/>
  <c r="M60" i="65"/>
  <c r="L60" i="65"/>
  <c r="K60" i="65"/>
  <c r="A60" i="65" s="1"/>
  <c r="O59" i="65"/>
  <c r="E59" i="65" s="1"/>
  <c r="N59" i="65"/>
  <c r="M59" i="65"/>
  <c r="L59" i="65"/>
  <c r="K59" i="65"/>
  <c r="A59" i="65" s="1"/>
  <c r="A58" i="65"/>
  <c r="O56" i="65"/>
  <c r="E56" i="65" s="1"/>
  <c r="N56" i="65"/>
  <c r="M56" i="65"/>
  <c r="L56" i="65"/>
  <c r="K56" i="65"/>
  <c r="A56" i="65" s="1"/>
  <c r="O55" i="65"/>
  <c r="E55" i="65" s="1"/>
  <c r="N55" i="65"/>
  <c r="M55" i="65"/>
  <c r="L55" i="65"/>
  <c r="K55" i="65"/>
  <c r="A55" i="65" s="1"/>
  <c r="O54" i="65"/>
  <c r="E54" i="65" s="1"/>
  <c r="N54" i="65"/>
  <c r="M54" i="65"/>
  <c r="L54" i="65"/>
  <c r="K54" i="65"/>
  <c r="A54" i="65" s="1"/>
  <c r="O53" i="65"/>
  <c r="E53" i="65" s="1"/>
  <c r="N53" i="65"/>
  <c r="M53" i="65"/>
  <c r="L53" i="65"/>
  <c r="K53" i="65"/>
  <c r="A53" i="65" s="1"/>
  <c r="O52" i="65"/>
  <c r="E52" i="65" s="1"/>
  <c r="N52" i="65"/>
  <c r="M52" i="65"/>
  <c r="L52" i="65"/>
  <c r="K52" i="65"/>
  <c r="A52" i="65" s="1"/>
  <c r="O51" i="65"/>
  <c r="E51" i="65" s="1"/>
  <c r="N51" i="65"/>
  <c r="M51" i="65"/>
  <c r="L51" i="65"/>
  <c r="K51" i="65"/>
  <c r="A51" i="65" s="1"/>
  <c r="O49" i="65"/>
  <c r="E49" i="65" s="1"/>
  <c r="N49" i="65"/>
  <c r="M49" i="65"/>
  <c r="L49" i="65"/>
  <c r="K49" i="65"/>
  <c r="A49" i="65" s="1"/>
  <c r="O48" i="65"/>
  <c r="E48" i="65" s="1"/>
  <c r="N48" i="65"/>
  <c r="M48" i="65"/>
  <c r="L48" i="65"/>
  <c r="K48" i="65"/>
  <c r="A48" i="65" s="1"/>
  <c r="O47" i="65"/>
  <c r="E47" i="65" s="1"/>
  <c r="N47" i="65"/>
  <c r="M47" i="65"/>
  <c r="L47" i="65"/>
  <c r="K47" i="65"/>
  <c r="A47" i="65" s="1"/>
  <c r="O46" i="65"/>
  <c r="E46" i="65" s="1"/>
  <c r="N46" i="65"/>
  <c r="M46" i="65"/>
  <c r="L46" i="65"/>
  <c r="K46" i="65"/>
  <c r="A46" i="65" s="1"/>
  <c r="O45" i="65"/>
  <c r="E45" i="65" s="1"/>
  <c r="N45" i="65"/>
  <c r="M45" i="65"/>
  <c r="L45" i="65"/>
  <c r="K45" i="65"/>
  <c r="A45" i="65" s="1"/>
  <c r="O44" i="65"/>
  <c r="E44" i="65" s="1"/>
  <c r="N44" i="65"/>
  <c r="M44" i="65"/>
  <c r="L44" i="65"/>
  <c r="K44" i="65"/>
  <c r="A44" i="65" s="1"/>
  <c r="O42" i="65"/>
  <c r="E42" i="65" s="1"/>
  <c r="N42" i="65"/>
  <c r="M42" i="65"/>
  <c r="L42" i="65"/>
  <c r="K42" i="65"/>
  <c r="A42" i="65" s="1"/>
  <c r="O41" i="65"/>
  <c r="E41" i="65" s="1"/>
  <c r="N41" i="65"/>
  <c r="M41" i="65"/>
  <c r="L41" i="65"/>
  <c r="K41" i="65"/>
  <c r="A41" i="65" s="1"/>
  <c r="O40" i="65"/>
  <c r="E40" i="65" s="1"/>
  <c r="N40" i="65"/>
  <c r="M40" i="65"/>
  <c r="L40" i="65"/>
  <c r="K40" i="65"/>
  <c r="A40" i="65" s="1"/>
  <c r="O39" i="65"/>
  <c r="E39" i="65" s="1"/>
  <c r="N39" i="65"/>
  <c r="M39" i="65"/>
  <c r="L39" i="65"/>
  <c r="K39" i="65"/>
  <c r="A39" i="65" s="1"/>
  <c r="O38" i="65"/>
  <c r="E38" i="65" s="1"/>
  <c r="N38" i="65"/>
  <c r="M38" i="65"/>
  <c r="L38" i="65"/>
  <c r="K38" i="65"/>
  <c r="A38" i="65" s="1"/>
  <c r="O37" i="65"/>
  <c r="E37" i="65" s="1"/>
  <c r="N37" i="65"/>
  <c r="M37" i="65"/>
  <c r="L37" i="65"/>
  <c r="K37" i="65"/>
  <c r="A37" i="65" s="1"/>
  <c r="O35" i="65"/>
  <c r="E35" i="65" s="1"/>
  <c r="N35" i="65"/>
  <c r="M35" i="65"/>
  <c r="L35" i="65"/>
  <c r="K35" i="65"/>
  <c r="A35" i="65" s="1"/>
  <c r="O34" i="65"/>
  <c r="E34" i="65" s="1"/>
  <c r="N34" i="65"/>
  <c r="M34" i="65"/>
  <c r="L34" i="65"/>
  <c r="K34" i="65"/>
  <c r="A34" i="65" s="1"/>
  <c r="O33" i="65"/>
  <c r="E33" i="65" s="1"/>
  <c r="N33" i="65"/>
  <c r="M33" i="65"/>
  <c r="L33" i="65"/>
  <c r="K33" i="65"/>
  <c r="A33" i="65" s="1"/>
  <c r="O32" i="65"/>
  <c r="E32" i="65" s="1"/>
  <c r="N32" i="65"/>
  <c r="M32" i="65"/>
  <c r="L32" i="65"/>
  <c r="K32" i="65"/>
  <c r="A32" i="65" s="1"/>
  <c r="O31" i="65"/>
  <c r="E31" i="65" s="1"/>
  <c r="N31" i="65"/>
  <c r="M31" i="65"/>
  <c r="L31" i="65"/>
  <c r="K31" i="65"/>
  <c r="A31" i="65" s="1"/>
  <c r="O30" i="65"/>
  <c r="E30" i="65" s="1"/>
  <c r="N30" i="65"/>
  <c r="M30" i="65"/>
  <c r="L30" i="65"/>
  <c r="K30" i="65"/>
  <c r="A30" i="65" s="1"/>
  <c r="O28" i="65"/>
  <c r="E28" i="65" s="1"/>
  <c r="N28" i="65"/>
  <c r="M28" i="65"/>
  <c r="L28" i="65"/>
  <c r="K28" i="65"/>
  <c r="A28" i="65" s="1"/>
  <c r="O27" i="65"/>
  <c r="E27" i="65" s="1"/>
  <c r="N27" i="65"/>
  <c r="M27" i="65"/>
  <c r="L27" i="65"/>
  <c r="K27" i="65"/>
  <c r="A27" i="65" s="1"/>
  <c r="O26" i="65"/>
  <c r="E26" i="65" s="1"/>
  <c r="N26" i="65"/>
  <c r="M26" i="65"/>
  <c r="L26" i="65"/>
  <c r="K26" i="65"/>
  <c r="A26" i="65" s="1"/>
  <c r="O25" i="65"/>
  <c r="E25" i="65" s="1"/>
  <c r="N25" i="65"/>
  <c r="M25" i="65"/>
  <c r="L25" i="65"/>
  <c r="K25" i="65"/>
  <c r="A25" i="65" s="1"/>
  <c r="O24" i="65"/>
  <c r="E24" i="65" s="1"/>
  <c r="N24" i="65"/>
  <c r="M24" i="65"/>
  <c r="L24" i="65"/>
  <c r="K24" i="65"/>
  <c r="A24" i="65" s="1"/>
  <c r="O23" i="65"/>
  <c r="E23" i="65" s="1"/>
  <c r="N23" i="65"/>
  <c r="M23" i="65"/>
  <c r="L23" i="65"/>
  <c r="K23" i="65"/>
  <c r="A23" i="65" s="1"/>
  <c r="O21" i="65"/>
  <c r="E21" i="65" s="1"/>
  <c r="N21" i="65"/>
  <c r="M21" i="65"/>
  <c r="L21" i="65"/>
  <c r="K21" i="65"/>
  <c r="A21" i="65" s="1"/>
  <c r="O20" i="65"/>
  <c r="E20" i="65" s="1"/>
  <c r="N20" i="65"/>
  <c r="M20" i="65"/>
  <c r="L20" i="65"/>
  <c r="K20" i="65"/>
  <c r="A20" i="65" s="1"/>
  <c r="O19" i="65"/>
  <c r="E19" i="65" s="1"/>
  <c r="N19" i="65"/>
  <c r="M19" i="65"/>
  <c r="L19" i="65"/>
  <c r="K19" i="65"/>
  <c r="A19" i="65" s="1"/>
  <c r="O18" i="65"/>
  <c r="E18" i="65" s="1"/>
  <c r="N18" i="65"/>
  <c r="M18" i="65"/>
  <c r="L18" i="65"/>
  <c r="K18" i="65"/>
  <c r="A18" i="65" s="1"/>
  <c r="O17" i="65"/>
  <c r="E17" i="65" s="1"/>
  <c r="N17" i="65"/>
  <c r="M17" i="65"/>
  <c r="L17" i="65"/>
  <c r="K17" i="65"/>
  <c r="A17" i="65" s="1"/>
  <c r="O16" i="65"/>
  <c r="E16" i="65" s="1"/>
  <c r="N16" i="65"/>
  <c r="M16" i="65"/>
  <c r="L16" i="65"/>
  <c r="K16" i="65"/>
  <c r="A16" i="65" s="1"/>
  <c r="O14" i="65"/>
  <c r="E14" i="65" s="1"/>
  <c r="N14" i="65"/>
  <c r="M14" i="65"/>
  <c r="L14" i="65"/>
  <c r="K14" i="65"/>
  <c r="A14" i="65" s="1"/>
  <c r="O13" i="65"/>
  <c r="E13" i="65" s="1"/>
  <c r="N13" i="65"/>
  <c r="M13" i="65"/>
  <c r="L13" i="65"/>
  <c r="K13" i="65"/>
  <c r="A13" i="65" s="1"/>
  <c r="O12" i="65"/>
  <c r="E12" i="65" s="1"/>
  <c r="N12" i="65"/>
  <c r="M12" i="65"/>
  <c r="L12" i="65"/>
  <c r="K12" i="65"/>
  <c r="A12" i="65" s="1"/>
  <c r="Q11" i="65"/>
  <c r="P22" i="31" s="1"/>
  <c r="O11" i="65"/>
  <c r="E11" i="65" s="1"/>
  <c r="N11" i="65"/>
  <c r="M11" i="65"/>
  <c r="L11" i="65"/>
  <c r="K11" i="65"/>
  <c r="A11" i="65" s="1"/>
  <c r="O10" i="65"/>
  <c r="E10" i="65" s="1"/>
  <c r="N10" i="65"/>
  <c r="M10" i="65"/>
  <c r="L10" i="65"/>
  <c r="K10" i="65"/>
  <c r="A10" i="65" s="1"/>
  <c r="O9" i="65"/>
  <c r="E9" i="65" s="1"/>
  <c r="N9" i="65"/>
  <c r="M9" i="65"/>
  <c r="L9" i="65"/>
  <c r="K9" i="65"/>
  <c r="A9" i="65" s="1"/>
  <c r="O7" i="65"/>
  <c r="E7" i="65" s="1"/>
  <c r="N7" i="65"/>
  <c r="M7" i="65"/>
  <c r="L7" i="65"/>
  <c r="K7" i="65"/>
  <c r="A7" i="65" s="1"/>
  <c r="O6" i="65"/>
  <c r="E6" i="65" s="1"/>
  <c r="N6" i="65"/>
  <c r="M6" i="65"/>
  <c r="L6" i="65"/>
  <c r="K6" i="65"/>
  <c r="A6" i="65" s="1"/>
  <c r="O5" i="65"/>
  <c r="E5" i="65" s="1"/>
  <c r="N5" i="65"/>
  <c r="M5" i="65"/>
  <c r="L5" i="65"/>
  <c r="K5" i="65"/>
  <c r="A5" i="65" s="1"/>
  <c r="O4" i="65"/>
  <c r="E4" i="65" s="1"/>
  <c r="N4" i="65"/>
  <c r="M4" i="65"/>
  <c r="L4" i="65"/>
  <c r="K4" i="65"/>
  <c r="A4" i="65" s="1"/>
  <c r="O3" i="65"/>
  <c r="E3" i="65" s="1"/>
  <c r="N3" i="65"/>
  <c r="M3" i="65"/>
  <c r="L3" i="65"/>
  <c r="K3" i="65"/>
  <c r="A3" i="65" s="1"/>
  <c r="O2" i="65"/>
  <c r="E2" i="65" s="1"/>
  <c r="N2" i="65"/>
  <c r="M2" i="65"/>
  <c r="L2" i="65"/>
  <c r="K2" i="65"/>
  <c r="A2" i="65" s="1"/>
  <c r="C8" i="31"/>
  <c r="O79" i="64"/>
  <c r="E79" i="64" s="1"/>
  <c r="N79" i="64"/>
  <c r="M79" i="64"/>
  <c r="L79" i="64"/>
  <c r="K79" i="64"/>
  <c r="A79" i="64" s="1"/>
  <c r="A78" i="64"/>
  <c r="O77" i="64"/>
  <c r="N77" i="64"/>
  <c r="M77" i="64"/>
  <c r="L77" i="64"/>
  <c r="K77" i="64"/>
  <c r="O76" i="64"/>
  <c r="E76" i="64" s="1"/>
  <c r="N76" i="64"/>
  <c r="M76" i="64"/>
  <c r="L76" i="64"/>
  <c r="K76" i="64"/>
  <c r="A76" i="64" s="1"/>
  <c r="O75" i="64"/>
  <c r="E75" i="64" s="1"/>
  <c r="N75" i="64"/>
  <c r="M75" i="64"/>
  <c r="L75" i="64"/>
  <c r="K75" i="64"/>
  <c r="A75" i="64" s="1"/>
  <c r="A74" i="64"/>
  <c r="O73" i="64"/>
  <c r="N73" i="64"/>
  <c r="M73" i="64"/>
  <c r="L73" i="64"/>
  <c r="K73" i="64"/>
  <c r="O72" i="64"/>
  <c r="E72" i="64" s="1"/>
  <c r="N72" i="64"/>
  <c r="M72" i="64"/>
  <c r="L72" i="64"/>
  <c r="K72" i="64"/>
  <c r="A72" i="64" s="1"/>
  <c r="O71" i="64"/>
  <c r="E71" i="64" s="1"/>
  <c r="N71" i="64"/>
  <c r="M71" i="64"/>
  <c r="L71" i="64"/>
  <c r="K71" i="64"/>
  <c r="A71" i="64" s="1"/>
  <c r="O70" i="64"/>
  <c r="E70" i="64" s="1"/>
  <c r="N70" i="64"/>
  <c r="M70" i="64"/>
  <c r="L70" i="64"/>
  <c r="K70" i="64"/>
  <c r="A70" i="64" s="1"/>
  <c r="O69" i="64"/>
  <c r="E69" i="64" s="1"/>
  <c r="N69" i="64"/>
  <c r="M69" i="64"/>
  <c r="L69" i="64"/>
  <c r="K69" i="64"/>
  <c r="A69" i="64" s="1"/>
  <c r="A68" i="64"/>
  <c r="O66" i="64"/>
  <c r="E66" i="64" s="1"/>
  <c r="N66" i="64"/>
  <c r="M66" i="64"/>
  <c r="L66" i="64"/>
  <c r="K66" i="64"/>
  <c r="A66" i="64" s="1"/>
  <c r="O65" i="64"/>
  <c r="E65" i="64" s="1"/>
  <c r="N65" i="64"/>
  <c r="M65" i="64"/>
  <c r="L65" i="64"/>
  <c r="K65" i="64"/>
  <c r="A65" i="64" s="1"/>
  <c r="O64" i="64"/>
  <c r="E64" i="64" s="1"/>
  <c r="N64" i="64"/>
  <c r="M64" i="64"/>
  <c r="L64" i="64"/>
  <c r="K64" i="64"/>
  <c r="A64" i="64" s="1"/>
  <c r="O63" i="64"/>
  <c r="E63" i="64" s="1"/>
  <c r="N63" i="64"/>
  <c r="M63" i="64"/>
  <c r="L63" i="64"/>
  <c r="K63" i="64"/>
  <c r="A63" i="64" s="1"/>
  <c r="O62" i="64"/>
  <c r="E62" i="64" s="1"/>
  <c r="N62" i="64"/>
  <c r="M62" i="64"/>
  <c r="L62" i="64"/>
  <c r="K62" i="64"/>
  <c r="A62" i="64" s="1"/>
  <c r="O61" i="64"/>
  <c r="E61" i="64" s="1"/>
  <c r="N61" i="64"/>
  <c r="M61" i="64"/>
  <c r="L61" i="64"/>
  <c r="K61" i="64"/>
  <c r="A61" i="64" s="1"/>
  <c r="O60" i="64"/>
  <c r="E60" i="64" s="1"/>
  <c r="N60" i="64"/>
  <c r="M60" i="64"/>
  <c r="L60" i="64"/>
  <c r="K60" i="64"/>
  <c r="A60" i="64" s="1"/>
  <c r="O59" i="64"/>
  <c r="E59" i="64" s="1"/>
  <c r="N59" i="64"/>
  <c r="M59" i="64"/>
  <c r="L59" i="64"/>
  <c r="K59" i="64"/>
  <c r="A59" i="64" s="1"/>
  <c r="A58" i="64"/>
  <c r="O56" i="64"/>
  <c r="E56" i="64" s="1"/>
  <c r="N56" i="64"/>
  <c r="M56" i="64"/>
  <c r="L56" i="64"/>
  <c r="K56" i="64"/>
  <c r="A56" i="64" s="1"/>
  <c r="O55" i="64"/>
  <c r="E55" i="64" s="1"/>
  <c r="N55" i="64"/>
  <c r="M55" i="64"/>
  <c r="L55" i="64"/>
  <c r="K55" i="64"/>
  <c r="A55" i="64" s="1"/>
  <c r="O54" i="64"/>
  <c r="E54" i="64" s="1"/>
  <c r="N54" i="64"/>
  <c r="M54" i="64"/>
  <c r="L54" i="64"/>
  <c r="K54" i="64"/>
  <c r="A54" i="64" s="1"/>
  <c r="O53" i="64"/>
  <c r="E53" i="64" s="1"/>
  <c r="N53" i="64"/>
  <c r="M53" i="64"/>
  <c r="L53" i="64"/>
  <c r="K53" i="64"/>
  <c r="A53" i="64" s="1"/>
  <c r="O52" i="64"/>
  <c r="E52" i="64" s="1"/>
  <c r="N52" i="64"/>
  <c r="M52" i="64"/>
  <c r="L52" i="64"/>
  <c r="K52" i="64"/>
  <c r="A52" i="64" s="1"/>
  <c r="O51" i="64"/>
  <c r="E51" i="64" s="1"/>
  <c r="N51" i="64"/>
  <c r="M51" i="64"/>
  <c r="L51" i="64"/>
  <c r="K51" i="64"/>
  <c r="A51" i="64" s="1"/>
  <c r="O49" i="64"/>
  <c r="E49" i="64" s="1"/>
  <c r="N49" i="64"/>
  <c r="M49" i="64"/>
  <c r="L49" i="64"/>
  <c r="K49" i="64"/>
  <c r="A49" i="64" s="1"/>
  <c r="O48" i="64"/>
  <c r="E48" i="64" s="1"/>
  <c r="N48" i="64"/>
  <c r="M48" i="64"/>
  <c r="L48" i="64"/>
  <c r="K48" i="64"/>
  <c r="A48" i="64" s="1"/>
  <c r="O47" i="64"/>
  <c r="E47" i="64" s="1"/>
  <c r="N47" i="64"/>
  <c r="M47" i="64"/>
  <c r="L47" i="64"/>
  <c r="K47" i="64"/>
  <c r="A47" i="64" s="1"/>
  <c r="O46" i="64"/>
  <c r="E46" i="64" s="1"/>
  <c r="N46" i="64"/>
  <c r="M46" i="64"/>
  <c r="L46" i="64"/>
  <c r="K46" i="64"/>
  <c r="A46" i="64" s="1"/>
  <c r="O45" i="64"/>
  <c r="E45" i="64" s="1"/>
  <c r="N45" i="64"/>
  <c r="M45" i="64"/>
  <c r="L45" i="64"/>
  <c r="K45" i="64"/>
  <c r="A45" i="64" s="1"/>
  <c r="O44" i="64"/>
  <c r="E44" i="64" s="1"/>
  <c r="N44" i="64"/>
  <c r="M44" i="64"/>
  <c r="L44" i="64"/>
  <c r="K44" i="64"/>
  <c r="A44" i="64" s="1"/>
  <c r="O42" i="64"/>
  <c r="E42" i="64" s="1"/>
  <c r="N42" i="64"/>
  <c r="M42" i="64"/>
  <c r="L42" i="64"/>
  <c r="K42" i="64"/>
  <c r="A42" i="64" s="1"/>
  <c r="O41" i="64"/>
  <c r="E41" i="64" s="1"/>
  <c r="N41" i="64"/>
  <c r="M41" i="64"/>
  <c r="L41" i="64"/>
  <c r="K41" i="64"/>
  <c r="A41" i="64" s="1"/>
  <c r="O40" i="64"/>
  <c r="E40" i="64" s="1"/>
  <c r="N40" i="64"/>
  <c r="M40" i="64"/>
  <c r="L40" i="64"/>
  <c r="K40" i="64"/>
  <c r="A40" i="64" s="1"/>
  <c r="O39" i="64"/>
  <c r="E39" i="64" s="1"/>
  <c r="N39" i="64"/>
  <c r="M39" i="64"/>
  <c r="L39" i="64"/>
  <c r="K39" i="64"/>
  <c r="A39" i="64" s="1"/>
  <c r="O38" i="64"/>
  <c r="E38" i="64" s="1"/>
  <c r="N38" i="64"/>
  <c r="M38" i="64"/>
  <c r="L38" i="64"/>
  <c r="K38" i="64"/>
  <c r="A38" i="64" s="1"/>
  <c r="O37" i="64"/>
  <c r="E37" i="64" s="1"/>
  <c r="N37" i="64"/>
  <c r="M37" i="64"/>
  <c r="L37" i="64"/>
  <c r="K37" i="64"/>
  <c r="A37" i="64" s="1"/>
  <c r="O35" i="64"/>
  <c r="E35" i="64" s="1"/>
  <c r="N35" i="64"/>
  <c r="M35" i="64"/>
  <c r="L35" i="64"/>
  <c r="K35" i="64"/>
  <c r="A35" i="64" s="1"/>
  <c r="O34" i="64"/>
  <c r="E34" i="64" s="1"/>
  <c r="N34" i="64"/>
  <c r="M34" i="64"/>
  <c r="L34" i="64"/>
  <c r="K34" i="64"/>
  <c r="A34" i="64" s="1"/>
  <c r="O33" i="64"/>
  <c r="E33" i="64" s="1"/>
  <c r="N33" i="64"/>
  <c r="M33" i="64"/>
  <c r="L33" i="64"/>
  <c r="K33" i="64"/>
  <c r="A33" i="64" s="1"/>
  <c r="O32" i="64"/>
  <c r="E32" i="64" s="1"/>
  <c r="N32" i="64"/>
  <c r="M32" i="64"/>
  <c r="L32" i="64"/>
  <c r="K32" i="64"/>
  <c r="A32" i="64" s="1"/>
  <c r="O31" i="64"/>
  <c r="E31" i="64" s="1"/>
  <c r="N31" i="64"/>
  <c r="M31" i="64"/>
  <c r="L31" i="64"/>
  <c r="K31" i="64"/>
  <c r="A31" i="64" s="1"/>
  <c r="O30" i="64"/>
  <c r="E30" i="64" s="1"/>
  <c r="N30" i="64"/>
  <c r="M30" i="64"/>
  <c r="L30" i="64"/>
  <c r="K30" i="64"/>
  <c r="A30" i="64" s="1"/>
  <c r="O28" i="64"/>
  <c r="E28" i="64" s="1"/>
  <c r="N28" i="64"/>
  <c r="M28" i="64"/>
  <c r="L28" i="64"/>
  <c r="K28" i="64"/>
  <c r="A28" i="64" s="1"/>
  <c r="O27" i="64"/>
  <c r="E27" i="64" s="1"/>
  <c r="N27" i="64"/>
  <c r="M27" i="64"/>
  <c r="L27" i="64"/>
  <c r="K27" i="64"/>
  <c r="A27" i="64" s="1"/>
  <c r="O26" i="64"/>
  <c r="E26" i="64" s="1"/>
  <c r="N26" i="64"/>
  <c r="M26" i="64"/>
  <c r="L26" i="64"/>
  <c r="K26" i="64"/>
  <c r="A26" i="64" s="1"/>
  <c r="O25" i="64"/>
  <c r="E25" i="64" s="1"/>
  <c r="N25" i="64"/>
  <c r="M25" i="64"/>
  <c r="L25" i="64"/>
  <c r="K25" i="64"/>
  <c r="A25" i="64" s="1"/>
  <c r="O24" i="64"/>
  <c r="E24" i="64" s="1"/>
  <c r="N24" i="64"/>
  <c r="M24" i="64"/>
  <c r="L24" i="64"/>
  <c r="K24" i="64"/>
  <c r="A24" i="64" s="1"/>
  <c r="O23" i="64"/>
  <c r="E23" i="64" s="1"/>
  <c r="N23" i="64"/>
  <c r="M23" i="64"/>
  <c r="L23" i="64"/>
  <c r="K23" i="64"/>
  <c r="A23" i="64" s="1"/>
  <c r="O21" i="64"/>
  <c r="E21" i="64" s="1"/>
  <c r="N21" i="64"/>
  <c r="M21" i="64"/>
  <c r="L21" i="64"/>
  <c r="K21" i="64"/>
  <c r="A21" i="64" s="1"/>
  <c r="O20" i="64"/>
  <c r="E20" i="64" s="1"/>
  <c r="N20" i="64"/>
  <c r="M20" i="64"/>
  <c r="L20" i="64"/>
  <c r="K20" i="64"/>
  <c r="A20" i="64" s="1"/>
  <c r="O19" i="64"/>
  <c r="E19" i="64" s="1"/>
  <c r="N19" i="64"/>
  <c r="M19" i="64"/>
  <c r="L19" i="64"/>
  <c r="K19" i="64"/>
  <c r="A19" i="64" s="1"/>
  <c r="O18" i="64"/>
  <c r="E18" i="64" s="1"/>
  <c r="N18" i="64"/>
  <c r="M18" i="64"/>
  <c r="L18" i="64"/>
  <c r="K18" i="64"/>
  <c r="A18" i="64" s="1"/>
  <c r="O17" i="64"/>
  <c r="E17" i="64" s="1"/>
  <c r="N17" i="64"/>
  <c r="M17" i="64"/>
  <c r="L17" i="64"/>
  <c r="K17" i="64"/>
  <c r="A17" i="64" s="1"/>
  <c r="O16" i="64"/>
  <c r="E16" i="64" s="1"/>
  <c r="N16" i="64"/>
  <c r="M16" i="64"/>
  <c r="L16" i="64"/>
  <c r="K16" i="64"/>
  <c r="A16" i="64" s="1"/>
  <c r="O14" i="64"/>
  <c r="E14" i="64" s="1"/>
  <c r="N14" i="64"/>
  <c r="M14" i="64"/>
  <c r="L14" i="64"/>
  <c r="K14" i="64"/>
  <c r="A14" i="64" s="1"/>
  <c r="O13" i="64"/>
  <c r="E13" i="64" s="1"/>
  <c r="N13" i="64"/>
  <c r="M13" i="64"/>
  <c r="L13" i="64"/>
  <c r="K13" i="64"/>
  <c r="A13" i="64" s="1"/>
  <c r="O12" i="64"/>
  <c r="E12" i="64" s="1"/>
  <c r="N12" i="64"/>
  <c r="M12" i="64"/>
  <c r="L12" i="64"/>
  <c r="K12" i="64"/>
  <c r="A12" i="64" s="1"/>
  <c r="Q11" i="64"/>
  <c r="P21" i="31" s="1"/>
  <c r="O11" i="64"/>
  <c r="E11" i="64" s="1"/>
  <c r="N11" i="64"/>
  <c r="M11" i="64"/>
  <c r="L11" i="64"/>
  <c r="K11" i="64"/>
  <c r="A11" i="64" s="1"/>
  <c r="O10" i="64"/>
  <c r="E10" i="64" s="1"/>
  <c r="N10" i="64"/>
  <c r="M10" i="64"/>
  <c r="L10" i="64"/>
  <c r="K10" i="64"/>
  <c r="A10" i="64" s="1"/>
  <c r="O9" i="64"/>
  <c r="E9" i="64" s="1"/>
  <c r="N9" i="64"/>
  <c r="M9" i="64"/>
  <c r="L9" i="64"/>
  <c r="K9" i="64"/>
  <c r="A9" i="64" s="1"/>
  <c r="O7" i="64"/>
  <c r="E7" i="64" s="1"/>
  <c r="N7" i="64"/>
  <c r="M7" i="64"/>
  <c r="L7" i="64"/>
  <c r="K7" i="64"/>
  <c r="A7" i="64" s="1"/>
  <c r="O6" i="64"/>
  <c r="E6" i="64" s="1"/>
  <c r="N6" i="64"/>
  <c r="M6" i="64"/>
  <c r="L6" i="64"/>
  <c r="K6" i="64"/>
  <c r="A6" i="64" s="1"/>
  <c r="O5" i="64"/>
  <c r="E5" i="64" s="1"/>
  <c r="N5" i="64"/>
  <c r="M5" i="64"/>
  <c r="L5" i="64"/>
  <c r="K5" i="64"/>
  <c r="A5" i="64" s="1"/>
  <c r="O4" i="64"/>
  <c r="E4" i="64" s="1"/>
  <c r="N4" i="64"/>
  <c r="M4" i="64"/>
  <c r="L4" i="64"/>
  <c r="K4" i="64"/>
  <c r="A4" i="64" s="1"/>
  <c r="O3" i="64"/>
  <c r="E3" i="64" s="1"/>
  <c r="N3" i="64"/>
  <c r="M3" i="64"/>
  <c r="L3" i="64"/>
  <c r="K3" i="64"/>
  <c r="A3" i="64" s="1"/>
  <c r="O2" i="64"/>
  <c r="E2" i="64" s="1"/>
  <c r="N2" i="64"/>
  <c r="M2" i="64"/>
  <c r="L2" i="64"/>
  <c r="K2" i="64"/>
  <c r="A2" i="64" s="1"/>
  <c r="O79" i="63"/>
  <c r="E79" i="63" s="1"/>
  <c r="N79" i="63"/>
  <c r="M79" i="63"/>
  <c r="L79" i="63"/>
  <c r="K79" i="63"/>
  <c r="A79" i="63" s="1"/>
  <c r="A78" i="63"/>
  <c r="O77" i="63"/>
  <c r="N77" i="63"/>
  <c r="M77" i="63"/>
  <c r="L77" i="63"/>
  <c r="K77" i="63"/>
  <c r="O76" i="63"/>
  <c r="E76" i="63" s="1"/>
  <c r="N76" i="63"/>
  <c r="M76" i="63"/>
  <c r="L76" i="63"/>
  <c r="K76" i="63"/>
  <c r="A76" i="63" s="1"/>
  <c r="O75" i="63"/>
  <c r="E75" i="63" s="1"/>
  <c r="N75" i="63"/>
  <c r="M75" i="63"/>
  <c r="L75" i="63"/>
  <c r="K75" i="63"/>
  <c r="A75" i="63" s="1"/>
  <c r="A74" i="63"/>
  <c r="O73" i="63"/>
  <c r="N73" i="63"/>
  <c r="M73" i="63"/>
  <c r="L73" i="63"/>
  <c r="K73" i="63"/>
  <c r="O72" i="63"/>
  <c r="E72" i="63" s="1"/>
  <c r="N72" i="63"/>
  <c r="M72" i="63"/>
  <c r="L72" i="63"/>
  <c r="K72" i="63"/>
  <c r="A72" i="63" s="1"/>
  <c r="O71" i="63"/>
  <c r="E71" i="63" s="1"/>
  <c r="N71" i="63"/>
  <c r="M71" i="63"/>
  <c r="L71" i="63"/>
  <c r="K71" i="63"/>
  <c r="A71" i="63" s="1"/>
  <c r="O70" i="63"/>
  <c r="E70" i="63" s="1"/>
  <c r="N70" i="63"/>
  <c r="M70" i="63"/>
  <c r="L70" i="63"/>
  <c r="K70" i="63"/>
  <c r="A70" i="63" s="1"/>
  <c r="O69" i="63"/>
  <c r="E69" i="63" s="1"/>
  <c r="N69" i="63"/>
  <c r="M69" i="63"/>
  <c r="L69" i="63"/>
  <c r="K69" i="63"/>
  <c r="A69" i="63" s="1"/>
  <c r="A68" i="63"/>
  <c r="O66" i="63"/>
  <c r="E66" i="63" s="1"/>
  <c r="N66" i="63"/>
  <c r="M66" i="63"/>
  <c r="L66" i="63"/>
  <c r="K66" i="63"/>
  <c r="A66" i="63" s="1"/>
  <c r="O65" i="63"/>
  <c r="E65" i="63" s="1"/>
  <c r="N65" i="63"/>
  <c r="M65" i="63"/>
  <c r="L65" i="63"/>
  <c r="K65" i="63"/>
  <c r="A65" i="63" s="1"/>
  <c r="O64" i="63"/>
  <c r="E64" i="63" s="1"/>
  <c r="N64" i="63"/>
  <c r="M64" i="63"/>
  <c r="L64" i="63"/>
  <c r="K64" i="63"/>
  <c r="A64" i="63" s="1"/>
  <c r="O63" i="63"/>
  <c r="E63" i="63" s="1"/>
  <c r="N63" i="63"/>
  <c r="M63" i="63"/>
  <c r="L63" i="63"/>
  <c r="K63" i="63"/>
  <c r="A63" i="63" s="1"/>
  <c r="O62" i="63"/>
  <c r="E62" i="63" s="1"/>
  <c r="N62" i="63"/>
  <c r="M62" i="63"/>
  <c r="L62" i="63"/>
  <c r="K62" i="63"/>
  <c r="A62" i="63" s="1"/>
  <c r="O61" i="63"/>
  <c r="E61" i="63" s="1"/>
  <c r="N61" i="63"/>
  <c r="M61" i="63"/>
  <c r="L61" i="63"/>
  <c r="K61" i="63"/>
  <c r="A61" i="63" s="1"/>
  <c r="O60" i="63"/>
  <c r="E60" i="63" s="1"/>
  <c r="N60" i="63"/>
  <c r="M60" i="63"/>
  <c r="L60" i="63"/>
  <c r="K60" i="63"/>
  <c r="A60" i="63" s="1"/>
  <c r="O59" i="63"/>
  <c r="E59" i="63" s="1"/>
  <c r="N59" i="63"/>
  <c r="M59" i="63"/>
  <c r="L59" i="63"/>
  <c r="K59" i="63"/>
  <c r="A59" i="63" s="1"/>
  <c r="A58" i="63"/>
  <c r="O56" i="63"/>
  <c r="E56" i="63" s="1"/>
  <c r="N56" i="63"/>
  <c r="M56" i="63"/>
  <c r="L56" i="63"/>
  <c r="K56" i="63"/>
  <c r="A56" i="63" s="1"/>
  <c r="O55" i="63"/>
  <c r="E55" i="63" s="1"/>
  <c r="N55" i="63"/>
  <c r="M55" i="63"/>
  <c r="L55" i="63"/>
  <c r="K55" i="63"/>
  <c r="A55" i="63" s="1"/>
  <c r="O54" i="63"/>
  <c r="E54" i="63" s="1"/>
  <c r="N54" i="63"/>
  <c r="M54" i="63"/>
  <c r="L54" i="63"/>
  <c r="K54" i="63"/>
  <c r="A54" i="63" s="1"/>
  <c r="O53" i="63"/>
  <c r="E53" i="63" s="1"/>
  <c r="N53" i="63"/>
  <c r="M53" i="63"/>
  <c r="L53" i="63"/>
  <c r="K53" i="63"/>
  <c r="A53" i="63" s="1"/>
  <c r="O52" i="63"/>
  <c r="E52" i="63" s="1"/>
  <c r="N52" i="63"/>
  <c r="M52" i="63"/>
  <c r="L52" i="63"/>
  <c r="K52" i="63"/>
  <c r="A52" i="63" s="1"/>
  <c r="O51" i="63"/>
  <c r="E51" i="63" s="1"/>
  <c r="N51" i="63"/>
  <c r="M51" i="63"/>
  <c r="L51" i="63"/>
  <c r="K51" i="63"/>
  <c r="A51" i="63" s="1"/>
  <c r="O49" i="63"/>
  <c r="E49" i="63" s="1"/>
  <c r="N49" i="63"/>
  <c r="M49" i="63"/>
  <c r="L49" i="63"/>
  <c r="K49" i="63"/>
  <c r="A49" i="63" s="1"/>
  <c r="O48" i="63"/>
  <c r="E48" i="63" s="1"/>
  <c r="N48" i="63"/>
  <c r="M48" i="63"/>
  <c r="L48" i="63"/>
  <c r="K48" i="63"/>
  <c r="A48" i="63" s="1"/>
  <c r="O47" i="63"/>
  <c r="E47" i="63" s="1"/>
  <c r="N47" i="63"/>
  <c r="M47" i="63"/>
  <c r="L47" i="63"/>
  <c r="K47" i="63"/>
  <c r="A47" i="63" s="1"/>
  <c r="O46" i="63"/>
  <c r="E46" i="63" s="1"/>
  <c r="N46" i="63"/>
  <c r="M46" i="63"/>
  <c r="L46" i="63"/>
  <c r="K46" i="63"/>
  <c r="A46" i="63" s="1"/>
  <c r="O45" i="63"/>
  <c r="E45" i="63" s="1"/>
  <c r="N45" i="63"/>
  <c r="M45" i="63"/>
  <c r="L45" i="63"/>
  <c r="K45" i="63"/>
  <c r="A45" i="63" s="1"/>
  <c r="O44" i="63"/>
  <c r="E44" i="63" s="1"/>
  <c r="N44" i="63"/>
  <c r="M44" i="63"/>
  <c r="L44" i="63"/>
  <c r="K44" i="63"/>
  <c r="A44" i="63" s="1"/>
  <c r="O42" i="63"/>
  <c r="E42" i="63" s="1"/>
  <c r="N42" i="63"/>
  <c r="M42" i="63"/>
  <c r="L42" i="63"/>
  <c r="K42" i="63"/>
  <c r="A42" i="63" s="1"/>
  <c r="O41" i="63"/>
  <c r="E41" i="63" s="1"/>
  <c r="N41" i="63"/>
  <c r="M41" i="63"/>
  <c r="L41" i="63"/>
  <c r="K41" i="63"/>
  <c r="A41" i="63" s="1"/>
  <c r="O40" i="63"/>
  <c r="E40" i="63" s="1"/>
  <c r="N40" i="63"/>
  <c r="M40" i="63"/>
  <c r="L40" i="63"/>
  <c r="K40" i="63"/>
  <c r="A40" i="63" s="1"/>
  <c r="O39" i="63"/>
  <c r="E39" i="63" s="1"/>
  <c r="N39" i="63"/>
  <c r="M39" i="63"/>
  <c r="L39" i="63"/>
  <c r="K39" i="63"/>
  <c r="A39" i="63" s="1"/>
  <c r="O38" i="63"/>
  <c r="E38" i="63" s="1"/>
  <c r="N38" i="63"/>
  <c r="M38" i="63"/>
  <c r="L38" i="63"/>
  <c r="K38" i="63"/>
  <c r="A38" i="63" s="1"/>
  <c r="O37" i="63"/>
  <c r="E37" i="63" s="1"/>
  <c r="N37" i="63"/>
  <c r="M37" i="63"/>
  <c r="L37" i="63"/>
  <c r="K37" i="63"/>
  <c r="A37" i="63" s="1"/>
  <c r="O35" i="63"/>
  <c r="E35" i="63" s="1"/>
  <c r="N35" i="63"/>
  <c r="M35" i="63"/>
  <c r="L35" i="63"/>
  <c r="K35" i="63"/>
  <c r="A35" i="63" s="1"/>
  <c r="O34" i="63"/>
  <c r="E34" i="63" s="1"/>
  <c r="N34" i="63"/>
  <c r="M34" i="63"/>
  <c r="L34" i="63"/>
  <c r="K34" i="63"/>
  <c r="A34" i="63" s="1"/>
  <c r="O33" i="63"/>
  <c r="E33" i="63" s="1"/>
  <c r="N33" i="63"/>
  <c r="M33" i="63"/>
  <c r="L33" i="63"/>
  <c r="K33" i="63"/>
  <c r="A33" i="63" s="1"/>
  <c r="O32" i="63"/>
  <c r="E32" i="63" s="1"/>
  <c r="N32" i="63"/>
  <c r="M32" i="63"/>
  <c r="L32" i="63"/>
  <c r="K32" i="63"/>
  <c r="A32" i="63" s="1"/>
  <c r="O31" i="63"/>
  <c r="E31" i="63" s="1"/>
  <c r="N31" i="63"/>
  <c r="M31" i="63"/>
  <c r="L31" i="63"/>
  <c r="K31" i="63"/>
  <c r="A31" i="63" s="1"/>
  <c r="O30" i="63"/>
  <c r="E30" i="63" s="1"/>
  <c r="N30" i="63"/>
  <c r="M30" i="63"/>
  <c r="L30" i="63"/>
  <c r="K30" i="63"/>
  <c r="A30" i="63" s="1"/>
  <c r="O28" i="63"/>
  <c r="E28" i="63" s="1"/>
  <c r="N28" i="63"/>
  <c r="M28" i="63"/>
  <c r="L28" i="63"/>
  <c r="K28" i="63"/>
  <c r="A28" i="63" s="1"/>
  <c r="O27" i="63"/>
  <c r="E27" i="63" s="1"/>
  <c r="N27" i="63"/>
  <c r="M27" i="63"/>
  <c r="L27" i="63"/>
  <c r="K27" i="63"/>
  <c r="A27" i="63" s="1"/>
  <c r="O26" i="63"/>
  <c r="E26" i="63" s="1"/>
  <c r="N26" i="63"/>
  <c r="M26" i="63"/>
  <c r="L26" i="63"/>
  <c r="K26" i="63"/>
  <c r="A26" i="63" s="1"/>
  <c r="O25" i="63"/>
  <c r="E25" i="63" s="1"/>
  <c r="N25" i="63"/>
  <c r="M25" i="63"/>
  <c r="L25" i="63"/>
  <c r="K25" i="63"/>
  <c r="A25" i="63" s="1"/>
  <c r="O24" i="63"/>
  <c r="E24" i="63" s="1"/>
  <c r="N24" i="63"/>
  <c r="M24" i="63"/>
  <c r="L24" i="63"/>
  <c r="K24" i="63"/>
  <c r="A24" i="63" s="1"/>
  <c r="O23" i="63"/>
  <c r="E23" i="63" s="1"/>
  <c r="N23" i="63"/>
  <c r="M23" i="63"/>
  <c r="L23" i="63"/>
  <c r="K23" i="63"/>
  <c r="A23" i="63" s="1"/>
  <c r="O21" i="63"/>
  <c r="E21" i="63" s="1"/>
  <c r="N21" i="63"/>
  <c r="M21" i="63"/>
  <c r="L21" i="63"/>
  <c r="K21" i="63"/>
  <c r="A21" i="63" s="1"/>
  <c r="O20" i="63"/>
  <c r="E20" i="63" s="1"/>
  <c r="N20" i="63"/>
  <c r="M20" i="63"/>
  <c r="L20" i="63"/>
  <c r="K20" i="63"/>
  <c r="A20" i="63" s="1"/>
  <c r="O19" i="63"/>
  <c r="E19" i="63" s="1"/>
  <c r="N19" i="63"/>
  <c r="M19" i="63"/>
  <c r="L19" i="63"/>
  <c r="K19" i="63"/>
  <c r="A19" i="63" s="1"/>
  <c r="O18" i="63"/>
  <c r="E18" i="63" s="1"/>
  <c r="N18" i="63"/>
  <c r="M18" i="63"/>
  <c r="L18" i="63"/>
  <c r="K18" i="63"/>
  <c r="A18" i="63" s="1"/>
  <c r="O17" i="63"/>
  <c r="E17" i="63" s="1"/>
  <c r="N17" i="63"/>
  <c r="M17" i="63"/>
  <c r="L17" i="63"/>
  <c r="K17" i="63"/>
  <c r="A17" i="63" s="1"/>
  <c r="O16" i="63"/>
  <c r="E16" i="63" s="1"/>
  <c r="N16" i="63"/>
  <c r="M16" i="63"/>
  <c r="L16" i="63"/>
  <c r="K16" i="63"/>
  <c r="A16" i="63" s="1"/>
  <c r="O14" i="63"/>
  <c r="E14" i="63" s="1"/>
  <c r="N14" i="63"/>
  <c r="M14" i="63"/>
  <c r="L14" i="63"/>
  <c r="K14" i="63"/>
  <c r="A14" i="63" s="1"/>
  <c r="O13" i="63"/>
  <c r="E13" i="63" s="1"/>
  <c r="N13" i="63"/>
  <c r="M13" i="63"/>
  <c r="L13" i="63"/>
  <c r="K13" i="63"/>
  <c r="A13" i="63" s="1"/>
  <c r="O12" i="63"/>
  <c r="E12" i="63" s="1"/>
  <c r="N12" i="63"/>
  <c r="M12" i="63"/>
  <c r="L12" i="63"/>
  <c r="K12" i="63"/>
  <c r="A12" i="63" s="1"/>
  <c r="Q11" i="63"/>
  <c r="P9" i="31" s="1"/>
  <c r="O11" i="63"/>
  <c r="E11" i="63" s="1"/>
  <c r="N11" i="63"/>
  <c r="M11" i="63"/>
  <c r="L11" i="63"/>
  <c r="K11" i="63"/>
  <c r="A11" i="63" s="1"/>
  <c r="O10" i="63"/>
  <c r="E10" i="63" s="1"/>
  <c r="N10" i="63"/>
  <c r="M10" i="63"/>
  <c r="L10" i="63"/>
  <c r="K10" i="63"/>
  <c r="A10" i="63" s="1"/>
  <c r="O9" i="63"/>
  <c r="E9" i="63" s="1"/>
  <c r="N9" i="63"/>
  <c r="M9" i="63"/>
  <c r="L9" i="63"/>
  <c r="K9" i="63"/>
  <c r="A9" i="63" s="1"/>
  <c r="O7" i="63"/>
  <c r="E7" i="63" s="1"/>
  <c r="N7" i="63"/>
  <c r="M7" i="63"/>
  <c r="L7" i="63"/>
  <c r="K7" i="63"/>
  <c r="A7" i="63" s="1"/>
  <c r="O6" i="63"/>
  <c r="E6" i="63" s="1"/>
  <c r="N6" i="63"/>
  <c r="M6" i="63"/>
  <c r="L6" i="63"/>
  <c r="K6" i="63"/>
  <c r="A6" i="63" s="1"/>
  <c r="O5" i="63"/>
  <c r="E5" i="63" s="1"/>
  <c r="N5" i="63"/>
  <c r="M5" i="63"/>
  <c r="L5" i="63"/>
  <c r="K5" i="63"/>
  <c r="A5" i="63" s="1"/>
  <c r="O4" i="63"/>
  <c r="E4" i="63" s="1"/>
  <c r="N4" i="63"/>
  <c r="M4" i="63"/>
  <c r="L4" i="63"/>
  <c r="K4" i="63"/>
  <c r="A4" i="63" s="1"/>
  <c r="O3" i="63"/>
  <c r="E3" i="63" s="1"/>
  <c r="N3" i="63"/>
  <c r="M3" i="63"/>
  <c r="L3" i="63"/>
  <c r="K3" i="63"/>
  <c r="A3" i="63" s="1"/>
  <c r="O2" i="63"/>
  <c r="E2" i="63" s="1"/>
  <c r="N2" i="63"/>
  <c r="M2" i="63"/>
  <c r="L2" i="63"/>
  <c r="K2" i="63"/>
  <c r="A2" i="63" s="1"/>
  <c r="O79" i="62"/>
  <c r="E79" i="62" s="1"/>
  <c r="N79" i="62"/>
  <c r="M79" i="62"/>
  <c r="L79" i="62"/>
  <c r="K79" i="62"/>
  <c r="A79" i="62" s="1"/>
  <c r="A78" i="62"/>
  <c r="O77" i="62"/>
  <c r="N77" i="62"/>
  <c r="M77" i="62"/>
  <c r="L77" i="62"/>
  <c r="K77" i="62"/>
  <c r="O76" i="62"/>
  <c r="E76" i="62" s="1"/>
  <c r="N76" i="62"/>
  <c r="M76" i="62"/>
  <c r="L76" i="62"/>
  <c r="K76" i="62"/>
  <c r="A76" i="62" s="1"/>
  <c r="O75" i="62"/>
  <c r="E75" i="62" s="1"/>
  <c r="N75" i="62"/>
  <c r="M75" i="62"/>
  <c r="L75" i="62"/>
  <c r="K75" i="62"/>
  <c r="A75" i="62" s="1"/>
  <c r="A74" i="62"/>
  <c r="O73" i="62"/>
  <c r="N73" i="62"/>
  <c r="M73" i="62"/>
  <c r="L73" i="62"/>
  <c r="K73" i="62"/>
  <c r="O72" i="62"/>
  <c r="E72" i="62" s="1"/>
  <c r="N72" i="62"/>
  <c r="M72" i="62"/>
  <c r="L72" i="62"/>
  <c r="K72" i="62"/>
  <c r="A72" i="62" s="1"/>
  <c r="O71" i="62"/>
  <c r="E71" i="62" s="1"/>
  <c r="N71" i="62"/>
  <c r="M71" i="62"/>
  <c r="L71" i="62"/>
  <c r="K71" i="62"/>
  <c r="A71" i="62" s="1"/>
  <c r="O70" i="62"/>
  <c r="E70" i="62" s="1"/>
  <c r="N70" i="62"/>
  <c r="M70" i="62"/>
  <c r="L70" i="62"/>
  <c r="K70" i="62"/>
  <c r="A70" i="62" s="1"/>
  <c r="O69" i="62"/>
  <c r="E69" i="62" s="1"/>
  <c r="N69" i="62"/>
  <c r="M69" i="62"/>
  <c r="L69" i="62"/>
  <c r="K69" i="62"/>
  <c r="A69" i="62" s="1"/>
  <c r="A68" i="62"/>
  <c r="O66" i="62"/>
  <c r="E66" i="62" s="1"/>
  <c r="N66" i="62"/>
  <c r="M66" i="62"/>
  <c r="L66" i="62"/>
  <c r="K66" i="62"/>
  <c r="A66" i="62" s="1"/>
  <c r="O65" i="62"/>
  <c r="E65" i="62" s="1"/>
  <c r="N65" i="62"/>
  <c r="M65" i="62"/>
  <c r="L65" i="62"/>
  <c r="K65" i="62"/>
  <c r="A65" i="62" s="1"/>
  <c r="O64" i="62"/>
  <c r="E64" i="62" s="1"/>
  <c r="N64" i="62"/>
  <c r="M64" i="62"/>
  <c r="L64" i="62"/>
  <c r="K64" i="62"/>
  <c r="A64" i="62" s="1"/>
  <c r="O63" i="62"/>
  <c r="E63" i="62" s="1"/>
  <c r="N63" i="62"/>
  <c r="M63" i="62"/>
  <c r="L63" i="62"/>
  <c r="K63" i="62"/>
  <c r="A63" i="62" s="1"/>
  <c r="O62" i="62"/>
  <c r="E62" i="62" s="1"/>
  <c r="N62" i="62"/>
  <c r="M62" i="62"/>
  <c r="L62" i="62"/>
  <c r="K62" i="62"/>
  <c r="A62" i="62" s="1"/>
  <c r="O61" i="62"/>
  <c r="E61" i="62" s="1"/>
  <c r="N61" i="62"/>
  <c r="M61" i="62"/>
  <c r="L61" i="62"/>
  <c r="K61" i="62"/>
  <c r="A61" i="62" s="1"/>
  <c r="O60" i="62"/>
  <c r="E60" i="62" s="1"/>
  <c r="N60" i="62"/>
  <c r="M60" i="62"/>
  <c r="L60" i="62"/>
  <c r="K60" i="62"/>
  <c r="A60" i="62" s="1"/>
  <c r="O59" i="62"/>
  <c r="E59" i="62" s="1"/>
  <c r="N59" i="62"/>
  <c r="M59" i="62"/>
  <c r="L59" i="62"/>
  <c r="K59" i="62"/>
  <c r="A59" i="62" s="1"/>
  <c r="A58" i="62"/>
  <c r="O56" i="62"/>
  <c r="E56" i="62" s="1"/>
  <c r="N56" i="62"/>
  <c r="M56" i="62"/>
  <c r="L56" i="62"/>
  <c r="K56" i="62"/>
  <c r="A56" i="62" s="1"/>
  <c r="O55" i="62"/>
  <c r="E55" i="62" s="1"/>
  <c r="N55" i="62"/>
  <c r="M55" i="62"/>
  <c r="L55" i="62"/>
  <c r="K55" i="62"/>
  <c r="A55" i="62" s="1"/>
  <c r="O54" i="62"/>
  <c r="E54" i="62" s="1"/>
  <c r="N54" i="62"/>
  <c r="M54" i="62"/>
  <c r="L54" i="62"/>
  <c r="K54" i="62"/>
  <c r="A54" i="62" s="1"/>
  <c r="O53" i="62"/>
  <c r="E53" i="62" s="1"/>
  <c r="N53" i="62"/>
  <c r="M53" i="62"/>
  <c r="L53" i="62"/>
  <c r="K53" i="62"/>
  <c r="A53" i="62" s="1"/>
  <c r="O52" i="62"/>
  <c r="E52" i="62" s="1"/>
  <c r="N52" i="62"/>
  <c r="M52" i="62"/>
  <c r="L52" i="62"/>
  <c r="K52" i="62"/>
  <c r="A52" i="62" s="1"/>
  <c r="O51" i="62"/>
  <c r="E51" i="62" s="1"/>
  <c r="N51" i="62"/>
  <c r="M51" i="62"/>
  <c r="L51" i="62"/>
  <c r="K51" i="62"/>
  <c r="A51" i="62" s="1"/>
  <c r="O49" i="62"/>
  <c r="E49" i="62" s="1"/>
  <c r="N49" i="62"/>
  <c r="M49" i="62"/>
  <c r="L49" i="62"/>
  <c r="K49" i="62"/>
  <c r="A49" i="62" s="1"/>
  <c r="O48" i="62"/>
  <c r="E48" i="62" s="1"/>
  <c r="N48" i="62"/>
  <c r="M48" i="62"/>
  <c r="L48" i="62"/>
  <c r="K48" i="62"/>
  <c r="A48" i="62" s="1"/>
  <c r="O47" i="62"/>
  <c r="E47" i="62" s="1"/>
  <c r="N47" i="62"/>
  <c r="M47" i="62"/>
  <c r="L47" i="62"/>
  <c r="K47" i="62"/>
  <c r="A47" i="62" s="1"/>
  <c r="O46" i="62"/>
  <c r="E46" i="62" s="1"/>
  <c r="N46" i="62"/>
  <c r="M46" i="62"/>
  <c r="L46" i="62"/>
  <c r="K46" i="62"/>
  <c r="A46" i="62" s="1"/>
  <c r="O45" i="62"/>
  <c r="E45" i="62" s="1"/>
  <c r="N45" i="62"/>
  <c r="M45" i="62"/>
  <c r="L45" i="62"/>
  <c r="K45" i="62"/>
  <c r="A45" i="62" s="1"/>
  <c r="O44" i="62"/>
  <c r="E44" i="62" s="1"/>
  <c r="N44" i="62"/>
  <c r="M44" i="62"/>
  <c r="L44" i="62"/>
  <c r="K44" i="62"/>
  <c r="A44" i="62" s="1"/>
  <c r="O42" i="62"/>
  <c r="E42" i="62" s="1"/>
  <c r="N42" i="62"/>
  <c r="M42" i="62"/>
  <c r="L42" i="62"/>
  <c r="K42" i="62"/>
  <c r="A42" i="62" s="1"/>
  <c r="O41" i="62"/>
  <c r="E41" i="62" s="1"/>
  <c r="N41" i="62"/>
  <c r="M41" i="62"/>
  <c r="L41" i="62"/>
  <c r="K41" i="62"/>
  <c r="A41" i="62" s="1"/>
  <c r="O40" i="62"/>
  <c r="E40" i="62" s="1"/>
  <c r="N40" i="62"/>
  <c r="M40" i="62"/>
  <c r="L40" i="62"/>
  <c r="K40" i="62"/>
  <c r="A40" i="62" s="1"/>
  <c r="O39" i="62"/>
  <c r="E39" i="62" s="1"/>
  <c r="N39" i="62"/>
  <c r="M39" i="62"/>
  <c r="L39" i="62"/>
  <c r="K39" i="62"/>
  <c r="A39" i="62" s="1"/>
  <c r="O38" i="62"/>
  <c r="E38" i="62" s="1"/>
  <c r="N38" i="62"/>
  <c r="M38" i="62"/>
  <c r="L38" i="62"/>
  <c r="K38" i="62"/>
  <c r="A38" i="62" s="1"/>
  <c r="O37" i="62"/>
  <c r="E37" i="62" s="1"/>
  <c r="N37" i="62"/>
  <c r="M37" i="62"/>
  <c r="L37" i="62"/>
  <c r="K37" i="62"/>
  <c r="A37" i="62" s="1"/>
  <c r="O35" i="62"/>
  <c r="E35" i="62" s="1"/>
  <c r="N35" i="62"/>
  <c r="M35" i="62"/>
  <c r="L35" i="62"/>
  <c r="K35" i="62"/>
  <c r="A35" i="62" s="1"/>
  <c r="O34" i="62"/>
  <c r="E34" i="62" s="1"/>
  <c r="N34" i="62"/>
  <c r="M34" i="62"/>
  <c r="L34" i="62"/>
  <c r="K34" i="62"/>
  <c r="A34" i="62" s="1"/>
  <c r="O33" i="62"/>
  <c r="E33" i="62" s="1"/>
  <c r="N33" i="62"/>
  <c r="M33" i="62"/>
  <c r="L33" i="62"/>
  <c r="K33" i="62"/>
  <c r="A33" i="62" s="1"/>
  <c r="O32" i="62"/>
  <c r="E32" i="62" s="1"/>
  <c r="N32" i="62"/>
  <c r="M32" i="62"/>
  <c r="L32" i="62"/>
  <c r="K32" i="62"/>
  <c r="A32" i="62" s="1"/>
  <c r="O31" i="62"/>
  <c r="E31" i="62" s="1"/>
  <c r="N31" i="62"/>
  <c r="M31" i="62"/>
  <c r="L31" i="62"/>
  <c r="K31" i="62"/>
  <c r="A31" i="62" s="1"/>
  <c r="O30" i="62"/>
  <c r="E30" i="62" s="1"/>
  <c r="N30" i="62"/>
  <c r="M30" i="62"/>
  <c r="L30" i="62"/>
  <c r="K30" i="62"/>
  <c r="A30" i="62" s="1"/>
  <c r="O28" i="62"/>
  <c r="E28" i="62" s="1"/>
  <c r="N28" i="62"/>
  <c r="M28" i="62"/>
  <c r="L28" i="62"/>
  <c r="K28" i="62"/>
  <c r="A28" i="62" s="1"/>
  <c r="O27" i="62"/>
  <c r="E27" i="62" s="1"/>
  <c r="N27" i="62"/>
  <c r="M27" i="62"/>
  <c r="L27" i="62"/>
  <c r="K27" i="62"/>
  <c r="A27" i="62" s="1"/>
  <c r="O26" i="62"/>
  <c r="E26" i="62" s="1"/>
  <c r="N26" i="62"/>
  <c r="M26" i="62"/>
  <c r="L26" i="62"/>
  <c r="K26" i="62"/>
  <c r="A26" i="62" s="1"/>
  <c r="O25" i="62"/>
  <c r="E25" i="62" s="1"/>
  <c r="N25" i="62"/>
  <c r="M25" i="62"/>
  <c r="L25" i="62"/>
  <c r="K25" i="62"/>
  <c r="A25" i="62" s="1"/>
  <c r="O24" i="62"/>
  <c r="E24" i="62" s="1"/>
  <c r="N24" i="62"/>
  <c r="M24" i="62"/>
  <c r="L24" i="62"/>
  <c r="K24" i="62"/>
  <c r="A24" i="62" s="1"/>
  <c r="O23" i="62"/>
  <c r="E23" i="62" s="1"/>
  <c r="N23" i="62"/>
  <c r="M23" i="62"/>
  <c r="L23" i="62"/>
  <c r="K23" i="62"/>
  <c r="A23" i="62" s="1"/>
  <c r="O21" i="62"/>
  <c r="E21" i="62" s="1"/>
  <c r="N21" i="62"/>
  <c r="M21" i="62"/>
  <c r="L21" i="62"/>
  <c r="K21" i="62"/>
  <c r="A21" i="62" s="1"/>
  <c r="O20" i="62"/>
  <c r="E20" i="62" s="1"/>
  <c r="N20" i="62"/>
  <c r="M20" i="62"/>
  <c r="L20" i="62"/>
  <c r="K20" i="62"/>
  <c r="A20" i="62" s="1"/>
  <c r="O19" i="62"/>
  <c r="E19" i="62" s="1"/>
  <c r="N19" i="62"/>
  <c r="M19" i="62"/>
  <c r="L19" i="62"/>
  <c r="K19" i="62"/>
  <c r="A19" i="62" s="1"/>
  <c r="O18" i="62"/>
  <c r="E18" i="62" s="1"/>
  <c r="N18" i="62"/>
  <c r="M18" i="62"/>
  <c r="L18" i="62"/>
  <c r="K18" i="62"/>
  <c r="A18" i="62" s="1"/>
  <c r="O17" i="62"/>
  <c r="E17" i="62" s="1"/>
  <c r="N17" i="62"/>
  <c r="M17" i="62"/>
  <c r="L17" i="62"/>
  <c r="K17" i="62"/>
  <c r="A17" i="62" s="1"/>
  <c r="O16" i="62"/>
  <c r="E16" i="62" s="1"/>
  <c r="N16" i="62"/>
  <c r="M16" i="62"/>
  <c r="L16" i="62"/>
  <c r="K16" i="62"/>
  <c r="A16" i="62" s="1"/>
  <c r="O14" i="62"/>
  <c r="E14" i="62" s="1"/>
  <c r="N14" i="62"/>
  <c r="M14" i="62"/>
  <c r="L14" i="62"/>
  <c r="K14" i="62"/>
  <c r="A14" i="62" s="1"/>
  <c r="O13" i="62"/>
  <c r="E13" i="62" s="1"/>
  <c r="N13" i="62"/>
  <c r="M13" i="62"/>
  <c r="L13" i="62"/>
  <c r="K13" i="62"/>
  <c r="A13" i="62" s="1"/>
  <c r="O12" i="62"/>
  <c r="E12" i="62" s="1"/>
  <c r="N12" i="62"/>
  <c r="M12" i="62"/>
  <c r="L12" i="62"/>
  <c r="K12" i="62"/>
  <c r="A12" i="62" s="1"/>
  <c r="Q11" i="62"/>
  <c r="P20" i="31" s="1"/>
  <c r="O11" i="62"/>
  <c r="E11" i="62" s="1"/>
  <c r="N11" i="62"/>
  <c r="M11" i="62"/>
  <c r="L11" i="62"/>
  <c r="K11" i="62"/>
  <c r="A11" i="62" s="1"/>
  <c r="O10" i="62"/>
  <c r="E10" i="62" s="1"/>
  <c r="N10" i="62"/>
  <c r="M10" i="62"/>
  <c r="L10" i="62"/>
  <c r="K10" i="62"/>
  <c r="A10" i="62" s="1"/>
  <c r="O9" i="62"/>
  <c r="E9" i="62" s="1"/>
  <c r="N9" i="62"/>
  <c r="M9" i="62"/>
  <c r="L9" i="62"/>
  <c r="K9" i="62"/>
  <c r="A9" i="62" s="1"/>
  <c r="O7" i="62"/>
  <c r="E7" i="62" s="1"/>
  <c r="N7" i="62"/>
  <c r="M7" i="62"/>
  <c r="L7" i="62"/>
  <c r="K7" i="62"/>
  <c r="A7" i="62" s="1"/>
  <c r="O6" i="62"/>
  <c r="E6" i="62" s="1"/>
  <c r="N6" i="62"/>
  <c r="M6" i="62"/>
  <c r="L6" i="62"/>
  <c r="K6" i="62"/>
  <c r="A6" i="62" s="1"/>
  <c r="O5" i="62"/>
  <c r="E5" i="62" s="1"/>
  <c r="N5" i="62"/>
  <c r="M5" i="62"/>
  <c r="L5" i="62"/>
  <c r="K5" i="62"/>
  <c r="A5" i="62" s="1"/>
  <c r="O4" i="62"/>
  <c r="E4" i="62" s="1"/>
  <c r="N4" i="62"/>
  <c r="M4" i="62"/>
  <c r="L4" i="62"/>
  <c r="K4" i="62"/>
  <c r="A4" i="62" s="1"/>
  <c r="O3" i="62"/>
  <c r="E3" i="62" s="1"/>
  <c r="N3" i="62"/>
  <c r="M3" i="62"/>
  <c r="L3" i="62"/>
  <c r="K3" i="62"/>
  <c r="A3" i="62" s="1"/>
  <c r="O2" i="62"/>
  <c r="E2" i="62" s="1"/>
  <c r="N2" i="62"/>
  <c r="M2" i="62"/>
  <c r="L2" i="62"/>
  <c r="K2" i="62"/>
  <c r="A2" i="62" s="1"/>
  <c r="O79" i="61"/>
  <c r="E79" i="61" s="1"/>
  <c r="N79" i="61"/>
  <c r="M79" i="61"/>
  <c r="L79" i="61"/>
  <c r="K79" i="61"/>
  <c r="A79" i="61" s="1"/>
  <c r="A78" i="61"/>
  <c r="O77" i="61"/>
  <c r="N77" i="61"/>
  <c r="M77" i="61"/>
  <c r="L77" i="61"/>
  <c r="K77" i="61"/>
  <c r="O76" i="61"/>
  <c r="E76" i="61" s="1"/>
  <c r="N76" i="61"/>
  <c r="M76" i="61"/>
  <c r="L76" i="61"/>
  <c r="K76" i="61"/>
  <c r="A76" i="61" s="1"/>
  <c r="O75" i="61"/>
  <c r="E75" i="61" s="1"/>
  <c r="N75" i="61"/>
  <c r="M75" i="61"/>
  <c r="L75" i="61"/>
  <c r="K75" i="61"/>
  <c r="A75" i="61" s="1"/>
  <c r="A74" i="61"/>
  <c r="O73" i="61"/>
  <c r="N73" i="61"/>
  <c r="M73" i="61"/>
  <c r="L73" i="61"/>
  <c r="K73" i="61"/>
  <c r="O72" i="61"/>
  <c r="E72" i="61" s="1"/>
  <c r="N72" i="61"/>
  <c r="M72" i="61"/>
  <c r="L72" i="61"/>
  <c r="K72" i="61"/>
  <c r="A72" i="61" s="1"/>
  <c r="O71" i="61"/>
  <c r="E71" i="61" s="1"/>
  <c r="N71" i="61"/>
  <c r="M71" i="61"/>
  <c r="L71" i="61"/>
  <c r="K71" i="61"/>
  <c r="A71" i="61" s="1"/>
  <c r="O70" i="61"/>
  <c r="E70" i="61" s="1"/>
  <c r="N70" i="61"/>
  <c r="M70" i="61"/>
  <c r="L70" i="61"/>
  <c r="K70" i="61"/>
  <c r="A70" i="61" s="1"/>
  <c r="O69" i="61"/>
  <c r="E69" i="61" s="1"/>
  <c r="N69" i="61"/>
  <c r="M69" i="61"/>
  <c r="L69" i="61"/>
  <c r="K69" i="61"/>
  <c r="A69" i="61" s="1"/>
  <c r="A68" i="61"/>
  <c r="O66" i="61"/>
  <c r="E66" i="61" s="1"/>
  <c r="N66" i="61"/>
  <c r="M66" i="61"/>
  <c r="L66" i="61"/>
  <c r="K66" i="61"/>
  <c r="A66" i="61" s="1"/>
  <c r="O65" i="61"/>
  <c r="E65" i="61" s="1"/>
  <c r="N65" i="61"/>
  <c r="M65" i="61"/>
  <c r="L65" i="61"/>
  <c r="K65" i="61"/>
  <c r="A65" i="61" s="1"/>
  <c r="O64" i="61"/>
  <c r="E64" i="61" s="1"/>
  <c r="N64" i="61"/>
  <c r="M64" i="61"/>
  <c r="L64" i="61"/>
  <c r="K64" i="61"/>
  <c r="A64" i="61" s="1"/>
  <c r="O63" i="61"/>
  <c r="E63" i="61" s="1"/>
  <c r="N63" i="61"/>
  <c r="M63" i="61"/>
  <c r="L63" i="61"/>
  <c r="K63" i="61"/>
  <c r="A63" i="61" s="1"/>
  <c r="O62" i="61"/>
  <c r="E62" i="61" s="1"/>
  <c r="N62" i="61"/>
  <c r="M62" i="61"/>
  <c r="L62" i="61"/>
  <c r="K62" i="61"/>
  <c r="A62" i="61" s="1"/>
  <c r="O61" i="61"/>
  <c r="E61" i="61" s="1"/>
  <c r="N61" i="61"/>
  <c r="M61" i="61"/>
  <c r="L61" i="61"/>
  <c r="K61" i="61"/>
  <c r="A61" i="61" s="1"/>
  <c r="O60" i="61"/>
  <c r="E60" i="61" s="1"/>
  <c r="N60" i="61"/>
  <c r="M60" i="61"/>
  <c r="L60" i="61"/>
  <c r="K60" i="61"/>
  <c r="A60" i="61" s="1"/>
  <c r="O59" i="61"/>
  <c r="E59" i="61" s="1"/>
  <c r="N59" i="61"/>
  <c r="M59" i="61"/>
  <c r="L59" i="61"/>
  <c r="K59" i="61"/>
  <c r="A59" i="61" s="1"/>
  <c r="A58" i="61"/>
  <c r="O56" i="61"/>
  <c r="E56" i="61" s="1"/>
  <c r="N56" i="61"/>
  <c r="M56" i="61"/>
  <c r="L56" i="61"/>
  <c r="K56" i="61"/>
  <c r="A56" i="61" s="1"/>
  <c r="O55" i="61"/>
  <c r="E55" i="61" s="1"/>
  <c r="N55" i="61"/>
  <c r="M55" i="61"/>
  <c r="L55" i="61"/>
  <c r="K55" i="61"/>
  <c r="A55" i="61" s="1"/>
  <c r="O54" i="61"/>
  <c r="E54" i="61" s="1"/>
  <c r="N54" i="61"/>
  <c r="M54" i="61"/>
  <c r="L54" i="61"/>
  <c r="K54" i="61"/>
  <c r="A54" i="61" s="1"/>
  <c r="O53" i="61"/>
  <c r="E53" i="61" s="1"/>
  <c r="N53" i="61"/>
  <c r="M53" i="61"/>
  <c r="L53" i="61"/>
  <c r="K53" i="61"/>
  <c r="A53" i="61" s="1"/>
  <c r="O52" i="61"/>
  <c r="E52" i="61" s="1"/>
  <c r="N52" i="61"/>
  <c r="M52" i="61"/>
  <c r="L52" i="61"/>
  <c r="K52" i="61"/>
  <c r="A52" i="61" s="1"/>
  <c r="O51" i="61"/>
  <c r="E51" i="61" s="1"/>
  <c r="N51" i="61"/>
  <c r="M51" i="61"/>
  <c r="L51" i="61"/>
  <c r="K51" i="61"/>
  <c r="A51" i="61" s="1"/>
  <c r="O49" i="61"/>
  <c r="E49" i="61" s="1"/>
  <c r="N49" i="61"/>
  <c r="M49" i="61"/>
  <c r="L49" i="61"/>
  <c r="K49" i="61"/>
  <c r="A49" i="61" s="1"/>
  <c r="O48" i="61"/>
  <c r="E48" i="61" s="1"/>
  <c r="N48" i="61"/>
  <c r="M48" i="61"/>
  <c r="L48" i="61"/>
  <c r="K48" i="61"/>
  <c r="A48" i="61" s="1"/>
  <c r="O47" i="61"/>
  <c r="E47" i="61" s="1"/>
  <c r="N47" i="61"/>
  <c r="M47" i="61"/>
  <c r="L47" i="61"/>
  <c r="K47" i="61"/>
  <c r="A47" i="61" s="1"/>
  <c r="O46" i="61"/>
  <c r="E46" i="61" s="1"/>
  <c r="N46" i="61"/>
  <c r="M46" i="61"/>
  <c r="L46" i="61"/>
  <c r="K46" i="61"/>
  <c r="A46" i="61" s="1"/>
  <c r="O45" i="61"/>
  <c r="E45" i="61" s="1"/>
  <c r="N45" i="61"/>
  <c r="M45" i="61"/>
  <c r="L45" i="61"/>
  <c r="K45" i="61"/>
  <c r="A45" i="61" s="1"/>
  <c r="O44" i="61"/>
  <c r="E44" i="61" s="1"/>
  <c r="N44" i="61"/>
  <c r="M44" i="61"/>
  <c r="L44" i="61"/>
  <c r="K44" i="61"/>
  <c r="A44" i="61" s="1"/>
  <c r="O42" i="61"/>
  <c r="E42" i="61" s="1"/>
  <c r="N42" i="61"/>
  <c r="M42" i="61"/>
  <c r="L42" i="61"/>
  <c r="K42" i="61"/>
  <c r="A42" i="61" s="1"/>
  <c r="O41" i="61"/>
  <c r="E41" i="61" s="1"/>
  <c r="N41" i="61"/>
  <c r="M41" i="61"/>
  <c r="L41" i="61"/>
  <c r="K41" i="61"/>
  <c r="A41" i="61" s="1"/>
  <c r="O40" i="61"/>
  <c r="E40" i="61" s="1"/>
  <c r="N40" i="61"/>
  <c r="M40" i="61"/>
  <c r="L40" i="61"/>
  <c r="K40" i="61"/>
  <c r="A40" i="61" s="1"/>
  <c r="O39" i="61"/>
  <c r="E39" i="61" s="1"/>
  <c r="N39" i="61"/>
  <c r="M39" i="61"/>
  <c r="L39" i="61"/>
  <c r="K39" i="61"/>
  <c r="A39" i="61" s="1"/>
  <c r="O38" i="61"/>
  <c r="E38" i="61" s="1"/>
  <c r="N38" i="61"/>
  <c r="M38" i="61"/>
  <c r="L38" i="61"/>
  <c r="K38" i="61"/>
  <c r="A38" i="61" s="1"/>
  <c r="O37" i="61"/>
  <c r="E37" i="61" s="1"/>
  <c r="N37" i="61"/>
  <c r="M37" i="61"/>
  <c r="L37" i="61"/>
  <c r="K37" i="61"/>
  <c r="A37" i="61" s="1"/>
  <c r="O35" i="61"/>
  <c r="E35" i="61" s="1"/>
  <c r="N35" i="61"/>
  <c r="M35" i="61"/>
  <c r="L35" i="61"/>
  <c r="K35" i="61"/>
  <c r="A35" i="61" s="1"/>
  <c r="O34" i="61"/>
  <c r="E34" i="61" s="1"/>
  <c r="N34" i="61"/>
  <c r="M34" i="61"/>
  <c r="L34" i="61"/>
  <c r="K34" i="61"/>
  <c r="A34" i="61" s="1"/>
  <c r="O33" i="61"/>
  <c r="E33" i="61" s="1"/>
  <c r="N33" i="61"/>
  <c r="M33" i="61"/>
  <c r="L33" i="61"/>
  <c r="K33" i="61"/>
  <c r="A33" i="61" s="1"/>
  <c r="O32" i="61"/>
  <c r="E32" i="61" s="1"/>
  <c r="N32" i="61"/>
  <c r="M32" i="61"/>
  <c r="L32" i="61"/>
  <c r="K32" i="61"/>
  <c r="A32" i="61" s="1"/>
  <c r="O31" i="61"/>
  <c r="E31" i="61" s="1"/>
  <c r="N31" i="61"/>
  <c r="M31" i="61"/>
  <c r="L31" i="61"/>
  <c r="K31" i="61"/>
  <c r="A31" i="61" s="1"/>
  <c r="O30" i="61"/>
  <c r="E30" i="61" s="1"/>
  <c r="N30" i="61"/>
  <c r="M30" i="61"/>
  <c r="L30" i="61"/>
  <c r="K30" i="61"/>
  <c r="A30" i="61" s="1"/>
  <c r="O28" i="61"/>
  <c r="E28" i="61" s="1"/>
  <c r="N28" i="61"/>
  <c r="M28" i="61"/>
  <c r="L28" i="61"/>
  <c r="K28" i="61"/>
  <c r="A28" i="61" s="1"/>
  <c r="O27" i="61"/>
  <c r="E27" i="61" s="1"/>
  <c r="N27" i="61"/>
  <c r="M27" i="61"/>
  <c r="L27" i="61"/>
  <c r="K27" i="61"/>
  <c r="A27" i="61" s="1"/>
  <c r="O26" i="61"/>
  <c r="E26" i="61" s="1"/>
  <c r="N26" i="61"/>
  <c r="M26" i="61"/>
  <c r="L26" i="61"/>
  <c r="K26" i="61"/>
  <c r="A26" i="61" s="1"/>
  <c r="O25" i="61"/>
  <c r="E25" i="61" s="1"/>
  <c r="N25" i="61"/>
  <c r="M25" i="61"/>
  <c r="L25" i="61"/>
  <c r="K25" i="61"/>
  <c r="A25" i="61" s="1"/>
  <c r="O24" i="61"/>
  <c r="E24" i="61" s="1"/>
  <c r="N24" i="61"/>
  <c r="M24" i="61"/>
  <c r="L24" i="61"/>
  <c r="K24" i="61"/>
  <c r="A24" i="61" s="1"/>
  <c r="O23" i="61"/>
  <c r="E23" i="61" s="1"/>
  <c r="N23" i="61"/>
  <c r="M23" i="61"/>
  <c r="L23" i="61"/>
  <c r="K23" i="61"/>
  <c r="A23" i="61" s="1"/>
  <c r="O21" i="61"/>
  <c r="E21" i="61" s="1"/>
  <c r="N21" i="61"/>
  <c r="M21" i="61"/>
  <c r="L21" i="61"/>
  <c r="K21" i="61"/>
  <c r="A21" i="61" s="1"/>
  <c r="O20" i="61"/>
  <c r="E20" i="61" s="1"/>
  <c r="N20" i="61"/>
  <c r="M20" i="61"/>
  <c r="L20" i="61"/>
  <c r="K20" i="61"/>
  <c r="A20" i="61" s="1"/>
  <c r="O19" i="61"/>
  <c r="E19" i="61" s="1"/>
  <c r="N19" i="61"/>
  <c r="M19" i="61"/>
  <c r="L19" i="61"/>
  <c r="K19" i="61"/>
  <c r="A19" i="61" s="1"/>
  <c r="O18" i="61"/>
  <c r="E18" i="61" s="1"/>
  <c r="N18" i="61"/>
  <c r="M18" i="61"/>
  <c r="L18" i="61"/>
  <c r="K18" i="61"/>
  <c r="A18" i="61" s="1"/>
  <c r="O17" i="61"/>
  <c r="E17" i="61" s="1"/>
  <c r="N17" i="61"/>
  <c r="M17" i="61"/>
  <c r="L17" i="61"/>
  <c r="K17" i="61"/>
  <c r="A17" i="61" s="1"/>
  <c r="O16" i="61"/>
  <c r="E16" i="61" s="1"/>
  <c r="N16" i="61"/>
  <c r="M16" i="61"/>
  <c r="L16" i="61"/>
  <c r="K16" i="61"/>
  <c r="A16" i="61" s="1"/>
  <c r="O14" i="61"/>
  <c r="E14" i="61" s="1"/>
  <c r="N14" i="61"/>
  <c r="M14" i="61"/>
  <c r="L14" i="61"/>
  <c r="K14" i="61"/>
  <c r="A14" i="61" s="1"/>
  <c r="O13" i="61"/>
  <c r="E13" i="61" s="1"/>
  <c r="N13" i="61"/>
  <c r="M13" i="61"/>
  <c r="L13" i="61"/>
  <c r="K13" i="61"/>
  <c r="A13" i="61" s="1"/>
  <c r="O12" i="61"/>
  <c r="E12" i="61" s="1"/>
  <c r="N12" i="61"/>
  <c r="M12" i="61"/>
  <c r="L12" i="61"/>
  <c r="K12" i="61"/>
  <c r="A12" i="61" s="1"/>
  <c r="Q11" i="61"/>
  <c r="P19" i="31" s="1"/>
  <c r="O11" i="61"/>
  <c r="E11" i="61" s="1"/>
  <c r="N11" i="61"/>
  <c r="M11" i="61"/>
  <c r="L11" i="61"/>
  <c r="K11" i="61"/>
  <c r="A11" i="61" s="1"/>
  <c r="O10" i="61"/>
  <c r="E10" i="61" s="1"/>
  <c r="N10" i="61"/>
  <c r="M10" i="61"/>
  <c r="L10" i="61"/>
  <c r="K10" i="61"/>
  <c r="A10" i="61" s="1"/>
  <c r="O9" i="61"/>
  <c r="E9" i="61" s="1"/>
  <c r="N9" i="61"/>
  <c r="M9" i="61"/>
  <c r="L9" i="61"/>
  <c r="K9" i="61"/>
  <c r="A9" i="61" s="1"/>
  <c r="O7" i="61"/>
  <c r="E7" i="61" s="1"/>
  <c r="N7" i="61"/>
  <c r="M7" i="61"/>
  <c r="L7" i="61"/>
  <c r="K7" i="61"/>
  <c r="A7" i="61" s="1"/>
  <c r="O6" i="61"/>
  <c r="E6" i="61" s="1"/>
  <c r="N6" i="61"/>
  <c r="M6" i="61"/>
  <c r="L6" i="61"/>
  <c r="K6" i="61"/>
  <c r="A6" i="61" s="1"/>
  <c r="O5" i="61"/>
  <c r="E5" i="61" s="1"/>
  <c r="N5" i="61"/>
  <c r="M5" i="61"/>
  <c r="L5" i="61"/>
  <c r="K5" i="61"/>
  <c r="A5" i="61" s="1"/>
  <c r="O4" i="61"/>
  <c r="E4" i="61" s="1"/>
  <c r="N4" i="61"/>
  <c r="M4" i="61"/>
  <c r="L4" i="61"/>
  <c r="K4" i="61"/>
  <c r="A4" i="61" s="1"/>
  <c r="O3" i="61"/>
  <c r="E3" i="61" s="1"/>
  <c r="N3" i="61"/>
  <c r="M3" i="61"/>
  <c r="L3" i="61"/>
  <c r="K3" i="61"/>
  <c r="A3" i="61" s="1"/>
  <c r="O2" i="61"/>
  <c r="E2" i="61" s="1"/>
  <c r="N2" i="61"/>
  <c r="M2" i="61"/>
  <c r="L2" i="61"/>
  <c r="K2" i="61"/>
  <c r="A2" i="61" s="1"/>
  <c r="O79" i="60"/>
  <c r="E79" i="60" s="1"/>
  <c r="N79" i="60"/>
  <c r="M79" i="60"/>
  <c r="L79" i="60"/>
  <c r="K79" i="60"/>
  <c r="A79" i="60" s="1"/>
  <c r="A78" i="60"/>
  <c r="O77" i="60"/>
  <c r="N77" i="60"/>
  <c r="M77" i="60"/>
  <c r="L77" i="60"/>
  <c r="K77" i="60"/>
  <c r="O76" i="60"/>
  <c r="E76" i="60" s="1"/>
  <c r="N76" i="60"/>
  <c r="M76" i="60"/>
  <c r="L76" i="60"/>
  <c r="K76" i="60"/>
  <c r="A76" i="60" s="1"/>
  <c r="O75" i="60"/>
  <c r="E75" i="60" s="1"/>
  <c r="N75" i="60"/>
  <c r="M75" i="60"/>
  <c r="L75" i="60"/>
  <c r="K75" i="60"/>
  <c r="A75" i="60" s="1"/>
  <c r="A74" i="60"/>
  <c r="O73" i="60"/>
  <c r="N73" i="60"/>
  <c r="M73" i="60"/>
  <c r="L73" i="60"/>
  <c r="K73" i="60"/>
  <c r="O72" i="60"/>
  <c r="E72" i="60" s="1"/>
  <c r="N72" i="60"/>
  <c r="M72" i="60"/>
  <c r="L72" i="60"/>
  <c r="K72" i="60"/>
  <c r="A72" i="60" s="1"/>
  <c r="O71" i="60"/>
  <c r="E71" i="60" s="1"/>
  <c r="N71" i="60"/>
  <c r="M71" i="60"/>
  <c r="L71" i="60"/>
  <c r="K71" i="60"/>
  <c r="A71" i="60" s="1"/>
  <c r="O70" i="60"/>
  <c r="E70" i="60" s="1"/>
  <c r="N70" i="60"/>
  <c r="M70" i="60"/>
  <c r="L70" i="60"/>
  <c r="K70" i="60"/>
  <c r="A70" i="60" s="1"/>
  <c r="O69" i="60"/>
  <c r="E69" i="60" s="1"/>
  <c r="N69" i="60"/>
  <c r="M69" i="60"/>
  <c r="L69" i="60"/>
  <c r="K69" i="60"/>
  <c r="A69" i="60" s="1"/>
  <c r="A68" i="60"/>
  <c r="O66" i="60"/>
  <c r="E66" i="60" s="1"/>
  <c r="N66" i="60"/>
  <c r="M66" i="60"/>
  <c r="L66" i="60"/>
  <c r="K66" i="60"/>
  <c r="A66" i="60" s="1"/>
  <c r="O65" i="60"/>
  <c r="E65" i="60" s="1"/>
  <c r="N65" i="60"/>
  <c r="M65" i="60"/>
  <c r="L65" i="60"/>
  <c r="K65" i="60"/>
  <c r="A65" i="60" s="1"/>
  <c r="O64" i="60"/>
  <c r="E64" i="60" s="1"/>
  <c r="N64" i="60"/>
  <c r="M64" i="60"/>
  <c r="L64" i="60"/>
  <c r="K64" i="60"/>
  <c r="A64" i="60" s="1"/>
  <c r="O63" i="60"/>
  <c r="E63" i="60" s="1"/>
  <c r="N63" i="60"/>
  <c r="M63" i="60"/>
  <c r="L63" i="60"/>
  <c r="K63" i="60"/>
  <c r="A63" i="60" s="1"/>
  <c r="O62" i="60"/>
  <c r="E62" i="60" s="1"/>
  <c r="N62" i="60"/>
  <c r="M62" i="60"/>
  <c r="L62" i="60"/>
  <c r="K62" i="60"/>
  <c r="A62" i="60" s="1"/>
  <c r="O61" i="60"/>
  <c r="E61" i="60" s="1"/>
  <c r="N61" i="60"/>
  <c r="M61" i="60"/>
  <c r="L61" i="60"/>
  <c r="K61" i="60"/>
  <c r="A61" i="60" s="1"/>
  <c r="O60" i="60"/>
  <c r="E60" i="60" s="1"/>
  <c r="N60" i="60"/>
  <c r="M60" i="60"/>
  <c r="L60" i="60"/>
  <c r="K60" i="60"/>
  <c r="A60" i="60" s="1"/>
  <c r="O59" i="60"/>
  <c r="E59" i="60" s="1"/>
  <c r="N59" i="60"/>
  <c r="M59" i="60"/>
  <c r="L59" i="60"/>
  <c r="K59" i="60"/>
  <c r="A59" i="60" s="1"/>
  <c r="A58" i="60"/>
  <c r="O56" i="60"/>
  <c r="E56" i="60" s="1"/>
  <c r="N56" i="60"/>
  <c r="M56" i="60"/>
  <c r="L56" i="60"/>
  <c r="K56" i="60"/>
  <c r="A56" i="60" s="1"/>
  <c r="O55" i="60"/>
  <c r="E55" i="60" s="1"/>
  <c r="N55" i="60"/>
  <c r="M55" i="60"/>
  <c r="L55" i="60"/>
  <c r="K55" i="60"/>
  <c r="A55" i="60" s="1"/>
  <c r="O54" i="60"/>
  <c r="E54" i="60" s="1"/>
  <c r="N54" i="60"/>
  <c r="M54" i="60"/>
  <c r="L54" i="60"/>
  <c r="K54" i="60"/>
  <c r="A54" i="60" s="1"/>
  <c r="O53" i="60"/>
  <c r="E53" i="60" s="1"/>
  <c r="N53" i="60"/>
  <c r="M53" i="60"/>
  <c r="L53" i="60"/>
  <c r="K53" i="60"/>
  <c r="A53" i="60" s="1"/>
  <c r="O52" i="60"/>
  <c r="E52" i="60" s="1"/>
  <c r="N52" i="60"/>
  <c r="M52" i="60"/>
  <c r="L52" i="60"/>
  <c r="K52" i="60"/>
  <c r="A52" i="60" s="1"/>
  <c r="O51" i="60"/>
  <c r="E51" i="60" s="1"/>
  <c r="N51" i="60"/>
  <c r="M51" i="60"/>
  <c r="L51" i="60"/>
  <c r="K51" i="60"/>
  <c r="A51" i="60" s="1"/>
  <c r="O49" i="60"/>
  <c r="E49" i="60" s="1"/>
  <c r="N49" i="60"/>
  <c r="M49" i="60"/>
  <c r="L49" i="60"/>
  <c r="K49" i="60"/>
  <c r="A49" i="60" s="1"/>
  <c r="O48" i="60"/>
  <c r="E48" i="60" s="1"/>
  <c r="N48" i="60"/>
  <c r="M48" i="60"/>
  <c r="L48" i="60"/>
  <c r="K48" i="60"/>
  <c r="A48" i="60" s="1"/>
  <c r="O47" i="60"/>
  <c r="E47" i="60" s="1"/>
  <c r="N47" i="60"/>
  <c r="M47" i="60"/>
  <c r="L47" i="60"/>
  <c r="K47" i="60"/>
  <c r="A47" i="60" s="1"/>
  <c r="O46" i="60"/>
  <c r="E46" i="60" s="1"/>
  <c r="N46" i="60"/>
  <c r="M46" i="60"/>
  <c r="L46" i="60"/>
  <c r="K46" i="60"/>
  <c r="A46" i="60" s="1"/>
  <c r="O45" i="60"/>
  <c r="E45" i="60" s="1"/>
  <c r="N45" i="60"/>
  <c r="M45" i="60"/>
  <c r="L45" i="60"/>
  <c r="K45" i="60"/>
  <c r="A45" i="60" s="1"/>
  <c r="O44" i="60"/>
  <c r="E44" i="60" s="1"/>
  <c r="N44" i="60"/>
  <c r="M44" i="60"/>
  <c r="L44" i="60"/>
  <c r="K44" i="60"/>
  <c r="A44" i="60" s="1"/>
  <c r="O42" i="60"/>
  <c r="E42" i="60" s="1"/>
  <c r="N42" i="60"/>
  <c r="M42" i="60"/>
  <c r="L42" i="60"/>
  <c r="K42" i="60"/>
  <c r="A42" i="60" s="1"/>
  <c r="O41" i="60"/>
  <c r="E41" i="60" s="1"/>
  <c r="N41" i="60"/>
  <c r="M41" i="60"/>
  <c r="L41" i="60"/>
  <c r="K41" i="60"/>
  <c r="A41" i="60" s="1"/>
  <c r="O40" i="60"/>
  <c r="E40" i="60" s="1"/>
  <c r="N40" i="60"/>
  <c r="M40" i="60"/>
  <c r="L40" i="60"/>
  <c r="K40" i="60"/>
  <c r="A40" i="60" s="1"/>
  <c r="O39" i="60"/>
  <c r="E39" i="60" s="1"/>
  <c r="N39" i="60"/>
  <c r="M39" i="60"/>
  <c r="L39" i="60"/>
  <c r="K39" i="60"/>
  <c r="A39" i="60" s="1"/>
  <c r="O38" i="60"/>
  <c r="E38" i="60" s="1"/>
  <c r="N38" i="60"/>
  <c r="M38" i="60"/>
  <c r="L38" i="60"/>
  <c r="K38" i="60"/>
  <c r="A38" i="60" s="1"/>
  <c r="O37" i="60"/>
  <c r="E37" i="60" s="1"/>
  <c r="N37" i="60"/>
  <c r="M37" i="60"/>
  <c r="L37" i="60"/>
  <c r="K37" i="60"/>
  <c r="A37" i="60" s="1"/>
  <c r="O35" i="60"/>
  <c r="E35" i="60" s="1"/>
  <c r="N35" i="60"/>
  <c r="M35" i="60"/>
  <c r="L35" i="60"/>
  <c r="K35" i="60"/>
  <c r="A35" i="60" s="1"/>
  <c r="O34" i="60"/>
  <c r="E34" i="60" s="1"/>
  <c r="N34" i="60"/>
  <c r="M34" i="60"/>
  <c r="L34" i="60"/>
  <c r="K34" i="60"/>
  <c r="A34" i="60" s="1"/>
  <c r="O33" i="60"/>
  <c r="E33" i="60" s="1"/>
  <c r="N33" i="60"/>
  <c r="M33" i="60"/>
  <c r="L33" i="60"/>
  <c r="K33" i="60"/>
  <c r="A33" i="60" s="1"/>
  <c r="O32" i="60"/>
  <c r="E32" i="60" s="1"/>
  <c r="N32" i="60"/>
  <c r="M32" i="60"/>
  <c r="L32" i="60"/>
  <c r="K32" i="60"/>
  <c r="A32" i="60" s="1"/>
  <c r="O31" i="60"/>
  <c r="E31" i="60" s="1"/>
  <c r="N31" i="60"/>
  <c r="M31" i="60"/>
  <c r="L31" i="60"/>
  <c r="K31" i="60"/>
  <c r="A31" i="60" s="1"/>
  <c r="O30" i="60"/>
  <c r="E30" i="60" s="1"/>
  <c r="N30" i="60"/>
  <c r="M30" i="60"/>
  <c r="L30" i="60"/>
  <c r="K30" i="60"/>
  <c r="A30" i="60" s="1"/>
  <c r="O28" i="60"/>
  <c r="E28" i="60" s="1"/>
  <c r="N28" i="60"/>
  <c r="M28" i="60"/>
  <c r="L28" i="60"/>
  <c r="K28" i="60"/>
  <c r="A28" i="60" s="1"/>
  <c r="O27" i="60"/>
  <c r="E27" i="60" s="1"/>
  <c r="N27" i="60"/>
  <c r="M27" i="60"/>
  <c r="L27" i="60"/>
  <c r="K27" i="60"/>
  <c r="A27" i="60" s="1"/>
  <c r="O26" i="60"/>
  <c r="E26" i="60" s="1"/>
  <c r="N26" i="60"/>
  <c r="M26" i="60"/>
  <c r="L26" i="60"/>
  <c r="K26" i="60"/>
  <c r="A26" i="60" s="1"/>
  <c r="O25" i="60"/>
  <c r="E25" i="60" s="1"/>
  <c r="N25" i="60"/>
  <c r="M25" i="60"/>
  <c r="L25" i="60"/>
  <c r="K25" i="60"/>
  <c r="A25" i="60" s="1"/>
  <c r="O24" i="60"/>
  <c r="E24" i="60" s="1"/>
  <c r="N24" i="60"/>
  <c r="M24" i="60"/>
  <c r="L24" i="60"/>
  <c r="K24" i="60"/>
  <c r="A24" i="60" s="1"/>
  <c r="O23" i="60"/>
  <c r="E23" i="60" s="1"/>
  <c r="N23" i="60"/>
  <c r="M23" i="60"/>
  <c r="L23" i="60"/>
  <c r="K23" i="60"/>
  <c r="A23" i="60" s="1"/>
  <c r="O21" i="60"/>
  <c r="E21" i="60" s="1"/>
  <c r="N21" i="60"/>
  <c r="M21" i="60"/>
  <c r="L21" i="60"/>
  <c r="K21" i="60"/>
  <c r="A21" i="60" s="1"/>
  <c r="O20" i="60"/>
  <c r="E20" i="60" s="1"/>
  <c r="N20" i="60"/>
  <c r="M20" i="60"/>
  <c r="L20" i="60"/>
  <c r="K20" i="60"/>
  <c r="A20" i="60" s="1"/>
  <c r="O19" i="60"/>
  <c r="E19" i="60" s="1"/>
  <c r="N19" i="60"/>
  <c r="M19" i="60"/>
  <c r="L19" i="60"/>
  <c r="K19" i="60"/>
  <c r="A19" i="60" s="1"/>
  <c r="O18" i="60"/>
  <c r="E18" i="60" s="1"/>
  <c r="N18" i="60"/>
  <c r="M18" i="60"/>
  <c r="L18" i="60"/>
  <c r="K18" i="60"/>
  <c r="A18" i="60" s="1"/>
  <c r="O17" i="60"/>
  <c r="E17" i="60" s="1"/>
  <c r="N17" i="60"/>
  <c r="M17" i="60"/>
  <c r="L17" i="60"/>
  <c r="K17" i="60"/>
  <c r="A17" i="60" s="1"/>
  <c r="O16" i="60"/>
  <c r="E16" i="60" s="1"/>
  <c r="N16" i="60"/>
  <c r="M16" i="60"/>
  <c r="L16" i="60"/>
  <c r="K16" i="60"/>
  <c r="A16" i="60" s="1"/>
  <c r="O14" i="60"/>
  <c r="E14" i="60" s="1"/>
  <c r="N14" i="60"/>
  <c r="M14" i="60"/>
  <c r="L14" i="60"/>
  <c r="K14" i="60"/>
  <c r="A14" i="60" s="1"/>
  <c r="O13" i="60"/>
  <c r="E13" i="60" s="1"/>
  <c r="N13" i="60"/>
  <c r="M13" i="60"/>
  <c r="L13" i="60"/>
  <c r="K13" i="60"/>
  <c r="A13" i="60" s="1"/>
  <c r="O12" i="60"/>
  <c r="E12" i="60" s="1"/>
  <c r="N12" i="60"/>
  <c r="M12" i="60"/>
  <c r="L12" i="60"/>
  <c r="K12" i="60"/>
  <c r="A12" i="60" s="1"/>
  <c r="Q11" i="60"/>
  <c r="P18" i="31" s="1"/>
  <c r="O11" i="60"/>
  <c r="E11" i="60" s="1"/>
  <c r="N11" i="60"/>
  <c r="M11" i="60"/>
  <c r="L11" i="60"/>
  <c r="K11" i="60"/>
  <c r="A11" i="60" s="1"/>
  <c r="O10" i="60"/>
  <c r="E10" i="60" s="1"/>
  <c r="N10" i="60"/>
  <c r="M10" i="60"/>
  <c r="L10" i="60"/>
  <c r="K10" i="60"/>
  <c r="A10" i="60" s="1"/>
  <c r="O9" i="60"/>
  <c r="E9" i="60" s="1"/>
  <c r="N9" i="60"/>
  <c r="M9" i="60"/>
  <c r="L9" i="60"/>
  <c r="K9" i="60"/>
  <c r="A9" i="60" s="1"/>
  <c r="O7" i="60"/>
  <c r="E7" i="60" s="1"/>
  <c r="N7" i="60"/>
  <c r="M7" i="60"/>
  <c r="L7" i="60"/>
  <c r="K7" i="60"/>
  <c r="A7" i="60" s="1"/>
  <c r="O6" i="60"/>
  <c r="E6" i="60" s="1"/>
  <c r="N6" i="60"/>
  <c r="M6" i="60"/>
  <c r="L6" i="60"/>
  <c r="K6" i="60"/>
  <c r="A6" i="60" s="1"/>
  <c r="O5" i="60"/>
  <c r="E5" i="60" s="1"/>
  <c r="N5" i="60"/>
  <c r="M5" i="60"/>
  <c r="L5" i="60"/>
  <c r="K5" i="60"/>
  <c r="A5" i="60" s="1"/>
  <c r="O4" i="60"/>
  <c r="E4" i="60" s="1"/>
  <c r="N4" i="60"/>
  <c r="M4" i="60"/>
  <c r="L4" i="60"/>
  <c r="K4" i="60"/>
  <c r="A4" i="60" s="1"/>
  <c r="O3" i="60"/>
  <c r="E3" i="60" s="1"/>
  <c r="N3" i="60"/>
  <c r="M3" i="60"/>
  <c r="L3" i="60"/>
  <c r="K3" i="60"/>
  <c r="A3" i="60" s="1"/>
  <c r="O2" i="60"/>
  <c r="E2" i="60" s="1"/>
  <c r="N2" i="60"/>
  <c r="M2" i="60"/>
  <c r="L2" i="60"/>
  <c r="K2" i="60"/>
  <c r="A2" i="60" s="1"/>
  <c r="O79" i="56"/>
  <c r="E79" i="56" s="1"/>
  <c r="N79" i="56"/>
  <c r="M79" i="56"/>
  <c r="L79" i="56"/>
  <c r="K79" i="56"/>
  <c r="A79" i="56" s="1"/>
  <c r="A78" i="56"/>
  <c r="O77" i="56"/>
  <c r="N77" i="56"/>
  <c r="M77" i="56"/>
  <c r="L77" i="56"/>
  <c r="K77" i="56"/>
  <c r="O76" i="56"/>
  <c r="E76" i="56" s="1"/>
  <c r="N76" i="56"/>
  <c r="M76" i="56"/>
  <c r="L76" i="56"/>
  <c r="K76" i="56"/>
  <c r="A76" i="56" s="1"/>
  <c r="O75" i="56"/>
  <c r="E75" i="56" s="1"/>
  <c r="N75" i="56"/>
  <c r="M75" i="56"/>
  <c r="L75" i="56"/>
  <c r="K75" i="56"/>
  <c r="A75" i="56" s="1"/>
  <c r="A74" i="56"/>
  <c r="O73" i="56"/>
  <c r="N73" i="56"/>
  <c r="M73" i="56"/>
  <c r="L73" i="56"/>
  <c r="K73" i="56"/>
  <c r="O72" i="56"/>
  <c r="E72" i="56" s="1"/>
  <c r="N72" i="56"/>
  <c r="M72" i="56"/>
  <c r="L72" i="56"/>
  <c r="K72" i="56"/>
  <c r="A72" i="56" s="1"/>
  <c r="O71" i="56"/>
  <c r="E71" i="56" s="1"/>
  <c r="N71" i="56"/>
  <c r="M71" i="56"/>
  <c r="L71" i="56"/>
  <c r="K71" i="56"/>
  <c r="A71" i="56" s="1"/>
  <c r="O70" i="56"/>
  <c r="E70" i="56" s="1"/>
  <c r="N70" i="56"/>
  <c r="M70" i="56"/>
  <c r="L70" i="56"/>
  <c r="K70" i="56"/>
  <c r="A70" i="56" s="1"/>
  <c r="O69" i="56"/>
  <c r="E69" i="56" s="1"/>
  <c r="N69" i="56"/>
  <c r="M69" i="56"/>
  <c r="L69" i="56"/>
  <c r="K69" i="56"/>
  <c r="A69" i="56" s="1"/>
  <c r="A68" i="56"/>
  <c r="O66" i="56"/>
  <c r="E66" i="56" s="1"/>
  <c r="N66" i="56"/>
  <c r="M66" i="56"/>
  <c r="L66" i="56"/>
  <c r="K66" i="56"/>
  <c r="A66" i="56" s="1"/>
  <c r="O65" i="56"/>
  <c r="E65" i="56" s="1"/>
  <c r="N65" i="56"/>
  <c r="M65" i="56"/>
  <c r="L65" i="56"/>
  <c r="K65" i="56"/>
  <c r="A65" i="56" s="1"/>
  <c r="O64" i="56"/>
  <c r="E64" i="56" s="1"/>
  <c r="N64" i="56"/>
  <c r="M64" i="56"/>
  <c r="L64" i="56"/>
  <c r="K64" i="56"/>
  <c r="A64" i="56" s="1"/>
  <c r="O63" i="56"/>
  <c r="E63" i="56" s="1"/>
  <c r="N63" i="56"/>
  <c r="M63" i="56"/>
  <c r="L63" i="56"/>
  <c r="K63" i="56"/>
  <c r="A63" i="56" s="1"/>
  <c r="O62" i="56"/>
  <c r="E62" i="56" s="1"/>
  <c r="N62" i="56"/>
  <c r="M62" i="56"/>
  <c r="L62" i="56"/>
  <c r="K62" i="56"/>
  <c r="A62" i="56" s="1"/>
  <c r="O61" i="56"/>
  <c r="E61" i="56" s="1"/>
  <c r="N61" i="56"/>
  <c r="M61" i="56"/>
  <c r="L61" i="56"/>
  <c r="K61" i="56"/>
  <c r="A61" i="56" s="1"/>
  <c r="O60" i="56"/>
  <c r="E60" i="56" s="1"/>
  <c r="N60" i="56"/>
  <c r="M60" i="56"/>
  <c r="L60" i="56"/>
  <c r="K60" i="56"/>
  <c r="A60" i="56" s="1"/>
  <c r="O59" i="56"/>
  <c r="E59" i="56" s="1"/>
  <c r="N59" i="56"/>
  <c r="M59" i="56"/>
  <c r="L59" i="56"/>
  <c r="K59" i="56"/>
  <c r="A59" i="56" s="1"/>
  <c r="A58" i="56"/>
  <c r="O56" i="56"/>
  <c r="E56" i="56" s="1"/>
  <c r="N56" i="56"/>
  <c r="M56" i="56"/>
  <c r="L56" i="56"/>
  <c r="K56" i="56"/>
  <c r="A56" i="56" s="1"/>
  <c r="O55" i="56"/>
  <c r="E55" i="56" s="1"/>
  <c r="N55" i="56"/>
  <c r="M55" i="56"/>
  <c r="L55" i="56"/>
  <c r="K55" i="56"/>
  <c r="A55" i="56" s="1"/>
  <c r="O54" i="56"/>
  <c r="E54" i="56" s="1"/>
  <c r="N54" i="56"/>
  <c r="M54" i="56"/>
  <c r="L54" i="56"/>
  <c r="K54" i="56"/>
  <c r="A54" i="56" s="1"/>
  <c r="O53" i="56"/>
  <c r="E53" i="56" s="1"/>
  <c r="N53" i="56"/>
  <c r="M53" i="56"/>
  <c r="L53" i="56"/>
  <c r="K53" i="56"/>
  <c r="A53" i="56" s="1"/>
  <c r="O52" i="56"/>
  <c r="E52" i="56" s="1"/>
  <c r="N52" i="56"/>
  <c r="M52" i="56"/>
  <c r="L52" i="56"/>
  <c r="K52" i="56"/>
  <c r="A52" i="56" s="1"/>
  <c r="O51" i="56"/>
  <c r="E51" i="56" s="1"/>
  <c r="N51" i="56"/>
  <c r="M51" i="56"/>
  <c r="L51" i="56"/>
  <c r="K51" i="56"/>
  <c r="A51" i="56" s="1"/>
  <c r="O49" i="56"/>
  <c r="E49" i="56" s="1"/>
  <c r="N49" i="56"/>
  <c r="M49" i="56"/>
  <c r="L49" i="56"/>
  <c r="K49" i="56"/>
  <c r="A49" i="56" s="1"/>
  <c r="O48" i="56"/>
  <c r="E48" i="56" s="1"/>
  <c r="N48" i="56"/>
  <c r="M48" i="56"/>
  <c r="L48" i="56"/>
  <c r="K48" i="56"/>
  <c r="A48" i="56" s="1"/>
  <c r="O47" i="56"/>
  <c r="E47" i="56" s="1"/>
  <c r="N47" i="56"/>
  <c r="M47" i="56"/>
  <c r="L47" i="56"/>
  <c r="K47" i="56"/>
  <c r="A47" i="56" s="1"/>
  <c r="O46" i="56"/>
  <c r="E46" i="56" s="1"/>
  <c r="N46" i="56"/>
  <c r="M46" i="56"/>
  <c r="L46" i="56"/>
  <c r="K46" i="56"/>
  <c r="A46" i="56" s="1"/>
  <c r="O45" i="56"/>
  <c r="E45" i="56" s="1"/>
  <c r="N45" i="56"/>
  <c r="M45" i="56"/>
  <c r="L45" i="56"/>
  <c r="K45" i="56"/>
  <c r="A45" i="56" s="1"/>
  <c r="O44" i="56"/>
  <c r="E44" i="56" s="1"/>
  <c r="N44" i="56"/>
  <c r="M44" i="56"/>
  <c r="L44" i="56"/>
  <c r="K44" i="56"/>
  <c r="A44" i="56" s="1"/>
  <c r="O42" i="56"/>
  <c r="E42" i="56" s="1"/>
  <c r="N42" i="56"/>
  <c r="M42" i="56"/>
  <c r="L42" i="56"/>
  <c r="K42" i="56"/>
  <c r="A42" i="56" s="1"/>
  <c r="O41" i="56"/>
  <c r="E41" i="56" s="1"/>
  <c r="N41" i="56"/>
  <c r="M41" i="56"/>
  <c r="L41" i="56"/>
  <c r="K41" i="56"/>
  <c r="A41" i="56" s="1"/>
  <c r="O40" i="56"/>
  <c r="E40" i="56" s="1"/>
  <c r="N40" i="56"/>
  <c r="M40" i="56"/>
  <c r="L40" i="56"/>
  <c r="K40" i="56"/>
  <c r="A40" i="56" s="1"/>
  <c r="O39" i="56"/>
  <c r="E39" i="56" s="1"/>
  <c r="N39" i="56"/>
  <c r="M39" i="56"/>
  <c r="L39" i="56"/>
  <c r="K39" i="56"/>
  <c r="A39" i="56" s="1"/>
  <c r="O38" i="56"/>
  <c r="E38" i="56" s="1"/>
  <c r="N38" i="56"/>
  <c r="M38" i="56"/>
  <c r="L38" i="56"/>
  <c r="K38" i="56"/>
  <c r="A38" i="56" s="1"/>
  <c r="O37" i="56"/>
  <c r="E37" i="56" s="1"/>
  <c r="N37" i="56"/>
  <c r="M37" i="56"/>
  <c r="L37" i="56"/>
  <c r="K37" i="56"/>
  <c r="A37" i="56" s="1"/>
  <c r="O35" i="56"/>
  <c r="E35" i="56" s="1"/>
  <c r="N35" i="56"/>
  <c r="M35" i="56"/>
  <c r="L35" i="56"/>
  <c r="K35" i="56"/>
  <c r="A35" i="56" s="1"/>
  <c r="O34" i="56"/>
  <c r="E34" i="56" s="1"/>
  <c r="N34" i="56"/>
  <c r="M34" i="56"/>
  <c r="L34" i="56"/>
  <c r="K34" i="56"/>
  <c r="A34" i="56" s="1"/>
  <c r="O33" i="56"/>
  <c r="E33" i="56" s="1"/>
  <c r="N33" i="56"/>
  <c r="M33" i="56"/>
  <c r="L33" i="56"/>
  <c r="K33" i="56"/>
  <c r="A33" i="56" s="1"/>
  <c r="O32" i="56"/>
  <c r="E32" i="56" s="1"/>
  <c r="N32" i="56"/>
  <c r="M32" i="56"/>
  <c r="L32" i="56"/>
  <c r="K32" i="56"/>
  <c r="A32" i="56" s="1"/>
  <c r="O31" i="56"/>
  <c r="E31" i="56" s="1"/>
  <c r="N31" i="56"/>
  <c r="M31" i="56"/>
  <c r="L31" i="56"/>
  <c r="K31" i="56"/>
  <c r="A31" i="56" s="1"/>
  <c r="O30" i="56"/>
  <c r="E30" i="56" s="1"/>
  <c r="N30" i="56"/>
  <c r="M30" i="56"/>
  <c r="L30" i="56"/>
  <c r="K30" i="56"/>
  <c r="A30" i="56" s="1"/>
  <c r="O28" i="56"/>
  <c r="E28" i="56" s="1"/>
  <c r="N28" i="56"/>
  <c r="M28" i="56"/>
  <c r="L28" i="56"/>
  <c r="K28" i="56"/>
  <c r="A28" i="56" s="1"/>
  <c r="O27" i="56"/>
  <c r="E27" i="56" s="1"/>
  <c r="N27" i="56"/>
  <c r="M27" i="56"/>
  <c r="L27" i="56"/>
  <c r="K27" i="56"/>
  <c r="A27" i="56" s="1"/>
  <c r="O26" i="56"/>
  <c r="E26" i="56" s="1"/>
  <c r="N26" i="56"/>
  <c r="M26" i="56"/>
  <c r="L26" i="56"/>
  <c r="K26" i="56"/>
  <c r="A26" i="56" s="1"/>
  <c r="O25" i="56"/>
  <c r="E25" i="56" s="1"/>
  <c r="N25" i="56"/>
  <c r="M25" i="56"/>
  <c r="L25" i="56"/>
  <c r="K25" i="56"/>
  <c r="A25" i="56" s="1"/>
  <c r="O24" i="56"/>
  <c r="E24" i="56" s="1"/>
  <c r="N24" i="56"/>
  <c r="M24" i="56"/>
  <c r="L24" i="56"/>
  <c r="K24" i="56"/>
  <c r="A24" i="56" s="1"/>
  <c r="O23" i="56"/>
  <c r="E23" i="56" s="1"/>
  <c r="N23" i="56"/>
  <c r="M23" i="56"/>
  <c r="L23" i="56"/>
  <c r="K23" i="56"/>
  <c r="A23" i="56" s="1"/>
  <c r="O21" i="56"/>
  <c r="E21" i="56" s="1"/>
  <c r="N21" i="56"/>
  <c r="M21" i="56"/>
  <c r="L21" i="56"/>
  <c r="K21" i="56"/>
  <c r="A21" i="56" s="1"/>
  <c r="O20" i="56"/>
  <c r="E20" i="56" s="1"/>
  <c r="N20" i="56"/>
  <c r="M20" i="56"/>
  <c r="L20" i="56"/>
  <c r="K20" i="56"/>
  <c r="A20" i="56" s="1"/>
  <c r="O19" i="56"/>
  <c r="E19" i="56" s="1"/>
  <c r="N19" i="56"/>
  <c r="M19" i="56"/>
  <c r="L19" i="56"/>
  <c r="K19" i="56"/>
  <c r="A19" i="56" s="1"/>
  <c r="O18" i="56"/>
  <c r="E18" i="56" s="1"/>
  <c r="N18" i="56"/>
  <c r="M18" i="56"/>
  <c r="L18" i="56"/>
  <c r="K18" i="56"/>
  <c r="A18" i="56" s="1"/>
  <c r="O17" i="56"/>
  <c r="E17" i="56" s="1"/>
  <c r="N17" i="56"/>
  <c r="M17" i="56"/>
  <c r="L17" i="56"/>
  <c r="K17" i="56"/>
  <c r="A17" i="56" s="1"/>
  <c r="O16" i="56"/>
  <c r="E16" i="56" s="1"/>
  <c r="N16" i="56"/>
  <c r="M16" i="56"/>
  <c r="L16" i="56"/>
  <c r="K16" i="56"/>
  <c r="A16" i="56" s="1"/>
  <c r="O14" i="56"/>
  <c r="E14" i="56" s="1"/>
  <c r="N14" i="56"/>
  <c r="M14" i="56"/>
  <c r="L14" i="56"/>
  <c r="K14" i="56"/>
  <c r="A14" i="56" s="1"/>
  <c r="O13" i="56"/>
  <c r="E13" i="56" s="1"/>
  <c r="N13" i="56"/>
  <c r="M13" i="56"/>
  <c r="L13" i="56"/>
  <c r="K13" i="56"/>
  <c r="A13" i="56" s="1"/>
  <c r="O12" i="56"/>
  <c r="E12" i="56" s="1"/>
  <c r="N12" i="56"/>
  <c r="M12" i="56"/>
  <c r="L12" i="56"/>
  <c r="K12" i="56"/>
  <c r="A12" i="56" s="1"/>
  <c r="Q11" i="56"/>
  <c r="P17" i="31" s="1"/>
  <c r="O11" i="56"/>
  <c r="E11" i="56" s="1"/>
  <c r="N11" i="56"/>
  <c r="M11" i="56"/>
  <c r="L11" i="56"/>
  <c r="K11" i="56"/>
  <c r="A11" i="56" s="1"/>
  <c r="O10" i="56"/>
  <c r="E10" i="56" s="1"/>
  <c r="N10" i="56"/>
  <c r="M10" i="56"/>
  <c r="L10" i="56"/>
  <c r="K10" i="56"/>
  <c r="A10" i="56" s="1"/>
  <c r="O9" i="56"/>
  <c r="E9" i="56" s="1"/>
  <c r="N9" i="56"/>
  <c r="M9" i="56"/>
  <c r="L9" i="56"/>
  <c r="K9" i="56"/>
  <c r="A9" i="56" s="1"/>
  <c r="O7" i="56"/>
  <c r="E7" i="56" s="1"/>
  <c r="N7" i="56"/>
  <c r="M7" i="56"/>
  <c r="L7" i="56"/>
  <c r="K7" i="56"/>
  <c r="A7" i="56" s="1"/>
  <c r="O6" i="56"/>
  <c r="E6" i="56" s="1"/>
  <c r="N6" i="56"/>
  <c r="M6" i="56"/>
  <c r="L6" i="56"/>
  <c r="K6" i="56"/>
  <c r="A6" i="56" s="1"/>
  <c r="O5" i="56"/>
  <c r="E5" i="56" s="1"/>
  <c r="N5" i="56"/>
  <c r="M5" i="56"/>
  <c r="L5" i="56"/>
  <c r="K5" i="56"/>
  <c r="A5" i="56" s="1"/>
  <c r="O4" i="56"/>
  <c r="E4" i="56" s="1"/>
  <c r="N4" i="56"/>
  <c r="M4" i="56"/>
  <c r="L4" i="56"/>
  <c r="K4" i="56"/>
  <c r="A4" i="56" s="1"/>
  <c r="O3" i="56"/>
  <c r="E3" i="56" s="1"/>
  <c r="N3" i="56"/>
  <c r="M3" i="56"/>
  <c r="L3" i="56"/>
  <c r="K3" i="56"/>
  <c r="A3" i="56" s="1"/>
  <c r="O2" i="56"/>
  <c r="E2" i="56" s="1"/>
  <c r="N2" i="56"/>
  <c r="M2" i="56"/>
  <c r="L2" i="56"/>
  <c r="K2" i="56"/>
  <c r="A2" i="56" s="1"/>
  <c r="O79" i="55"/>
  <c r="E79" i="55" s="1"/>
  <c r="N79" i="55"/>
  <c r="M79" i="55"/>
  <c r="L79" i="55"/>
  <c r="K79" i="55"/>
  <c r="A79" i="55" s="1"/>
  <c r="A78" i="55"/>
  <c r="O77" i="55"/>
  <c r="N77" i="55"/>
  <c r="M77" i="55"/>
  <c r="L77" i="55"/>
  <c r="K77" i="55"/>
  <c r="O76" i="55"/>
  <c r="E76" i="55" s="1"/>
  <c r="N76" i="55"/>
  <c r="M76" i="55"/>
  <c r="L76" i="55"/>
  <c r="K76" i="55"/>
  <c r="A76" i="55" s="1"/>
  <c r="O75" i="55"/>
  <c r="E75" i="55" s="1"/>
  <c r="N75" i="55"/>
  <c r="M75" i="55"/>
  <c r="L75" i="55"/>
  <c r="K75" i="55"/>
  <c r="A75" i="55" s="1"/>
  <c r="A74" i="55"/>
  <c r="O73" i="55"/>
  <c r="N73" i="55"/>
  <c r="M73" i="55"/>
  <c r="L73" i="55"/>
  <c r="K73" i="55"/>
  <c r="O72" i="55"/>
  <c r="E72" i="55" s="1"/>
  <c r="N72" i="55"/>
  <c r="M72" i="55"/>
  <c r="L72" i="55"/>
  <c r="K72" i="55"/>
  <c r="A72" i="55" s="1"/>
  <c r="O71" i="55"/>
  <c r="E71" i="55" s="1"/>
  <c r="N71" i="55"/>
  <c r="M71" i="55"/>
  <c r="L71" i="55"/>
  <c r="K71" i="55"/>
  <c r="A71" i="55" s="1"/>
  <c r="O70" i="55"/>
  <c r="E70" i="55" s="1"/>
  <c r="N70" i="55"/>
  <c r="M70" i="55"/>
  <c r="L70" i="55"/>
  <c r="K70" i="55"/>
  <c r="A70" i="55" s="1"/>
  <c r="O69" i="55"/>
  <c r="E69" i="55" s="1"/>
  <c r="N69" i="55"/>
  <c r="M69" i="55"/>
  <c r="L69" i="55"/>
  <c r="K69" i="55"/>
  <c r="A69" i="55" s="1"/>
  <c r="A68" i="55"/>
  <c r="O66" i="55"/>
  <c r="E66" i="55" s="1"/>
  <c r="N66" i="55"/>
  <c r="M66" i="55"/>
  <c r="L66" i="55"/>
  <c r="K66" i="55"/>
  <c r="A66" i="55" s="1"/>
  <c r="O65" i="55"/>
  <c r="E65" i="55" s="1"/>
  <c r="N65" i="55"/>
  <c r="M65" i="55"/>
  <c r="L65" i="55"/>
  <c r="K65" i="55"/>
  <c r="A65" i="55" s="1"/>
  <c r="O64" i="55"/>
  <c r="E64" i="55" s="1"/>
  <c r="N64" i="55"/>
  <c r="M64" i="55"/>
  <c r="L64" i="55"/>
  <c r="K64" i="55"/>
  <c r="A64" i="55" s="1"/>
  <c r="O63" i="55"/>
  <c r="E63" i="55" s="1"/>
  <c r="N63" i="55"/>
  <c r="M63" i="55"/>
  <c r="L63" i="55"/>
  <c r="K63" i="55"/>
  <c r="A63" i="55" s="1"/>
  <c r="O62" i="55"/>
  <c r="E62" i="55" s="1"/>
  <c r="N62" i="55"/>
  <c r="M62" i="55"/>
  <c r="L62" i="55"/>
  <c r="K62" i="55"/>
  <c r="A62" i="55" s="1"/>
  <c r="O61" i="55"/>
  <c r="E61" i="55" s="1"/>
  <c r="N61" i="55"/>
  <c r="M61" i="55"/>
  <c r="L61" i="55"/>
  <c r="K61" i="55"/>
  <c r="A61" i="55" s="1"/>
  <c r="O60" i="55"/>
  <c r="E60" i="55" s="1"/>
  <c r="N60" i="55"/>
  <c r="M60" i="55"/>
  <c r="L60" i="55"/>
  <c r="K60" i="55"/>
  <c r="A60" i="55" s="1"/>
  <c r="O59" i="55"/>
  <c r="E59" i="55" s="1"/>
  <c r="N59" i="55"/>
  <c r="M59" i="55"/>
  <c r="L59" i="55"/>
  <c r="K59" i="55"/>
  <c r="A59" i="55" s="1"/>
  <c r="A58" i="55"/>
  <c r="O56" i="55"/>
  <c r="E56" i="55" s="1"/>
  <c r="N56" i="55"/>
  <c r="M56" i="55"/>
  <c r="L56" i="55"/>
  <c r="K56" i="55"/>
  <c r="A56" i="55" s="1"/>
  <c r="O55" i="55"/>
  <c r="E55" i="55" s="1"/>
  <c r="N55" i="55"/>
  <c r="M55" i="55"/>
  <c r="L55" i="55"/>
  <c r="K55" i="55"/>
  <c r="A55" i="55" s="1"/>
  <c r="O54" i="55"/>
  <c r="E54" i="55" s="1"/>
  <c r="N54" i="55"/>
  <c r="M54" i="55"/>
  <c r="L54" i="55"/>
  <c r="K54" i="55"/>
  <c r="A54" i="55" s="1"/>
  <c r="O53" i="55"/>
  <c r="E53" i="55" s="1"/>
  <c r="N53" i="55"/>
  <c r="M53" i="55"/>
  <c r="L53" i="55"/>
  <c r="K53" i="55"/>
  <c r="A53" i="55" s="1"/>
  <c r="O52" i="55"/>
  <c r="E52" i="55" s="1"/>
  <c r="N52" i="55"/>
  <c r="M52" i="55"/>
  <c r="L52" i="55"/>
  <c r="K52" i="55"/>
  <c r="A52" i="55" s="1"/>
  <c r="O51" i="55"/>
  <c r="E51" i="55" s="1"/>
  <c r="N51" i="55"/>
  <c r="M51" i="55"/>
  <c r="L51" i="55"/>
  <c r="K51" i="55"/>
  <c r="A51" i="55" s="1"/>
  <c r="O49" i="55"/>
  <c r="E49" i="55" s="1"/>
  <c r="N49" i="55"/>
  <c r="M49" i="55"/>
  <c r="L49" i="55"/>
  <c r="K49" i="55"/>
  <c r="A49" i="55" s="1"/>
  <c r="O48" i="55"/>
  <c r="E48" i="55" s="1"/>
  <c r="N48" i="55"/>
  <c r="M48" i="55"/>
  <c r="L48" i="55"/>
  <c r="K48" i="55"/>
  <c r="A48" i="55" s="1"/>
  <c r="O47" i="55"/>
  <c r="E47" i="55" s="1"/>
  <c r="N47" i="55"/>
  <c r="M47" i="55"/>
  <c r="L47" i="55"/>
  <c r="K47" i="55"/>
  <c r="A47" i="55" s="1"/>
  <c r="O46" i="55"/>
  <c r="E46" i="55" s="1"/>
  <c r="N46" i="55"/>
  <c r="M46" i="55"/>
  <c r="L46" i="55"/>
  <c r="K46" i="55"/>
  <c r="A46" i="55" s="1"/>
  <c r="O45" i="55"/>
  <c r="E45" i="55" s="1"/>
  <c r="N45" i="55"/>
  <c r="M45" i="55"/>
  <c r="L45" i="55"/>
  <c r="K45" i="55"/>
  <c r="A45" i="55" s="1"/>
  <c r="O44" i="55"/>
  <c r="E44" i="55" s="1"/>
  <c r="N44" i="55"/>
  <c r="M44" i="55"/>
  <c r="L44" i="55"/>
  <c r="K44" i="55"/>
  <c r="A44" i="55" s="1"/>
  <c r="O42" i="55"/>
  <c r="E42" i="55" s="1"/>
  <c r="N42" i="55"/>
  <c r="M42" i="55"/>
  <c r="L42" i="55"/>
  <c r="K42" i="55"/>
  <c r="A42" i="55" s="1"/>
  <c r="O41" i="55"/>
  <c r="E41" i="55" s="1"/>
  <c r="N41" i="55"/>
  <c r="M41" i="55"/>
  <c r="L41" i="55"/>
  <c r="K41" i="55"/>
  <c r="A41" i="55" s="1"/>
  <c r="O40" i="55"/>
  <c r="E40" i="55" s="1"/>
  <c r="N40" i="55"/>
  <c r="M40" i="55"/>
  <c r="L40" i="55"/>
  <c r="K40" i="55"/>
  <c r="A40" i="55" s="1"/>
  <c r="O39" i="55"/>
  <c r="E39" i="55" s="1"/>
  <c r="N39" i="55"/>
  <c r="M39" i="55"/>
  <c r="L39" i="55"/>
  <c r="K39" i="55"/>
  <c r="A39" i="55" s="1"/>
  <c r="O38" i="55"/>
  <c r="E38" i="55" s="1"/>
  <c r="N38" i="55"/>
  <c r="M38" i="55"/>
  <c r="L38" i="55"/>
  <c r="K38" i="55"/>
  <c r="A38" i="55" s="1"/>
  <c r="O37" i="55"/>
  <c r="E37" i="55" s="1"/>
  <c r="N37" i="55"/>
  <c r="M37" i="55"/>
  <c r="L37" i="55"/>
  <c r="K37" i="55"/>
  <c r="A37" i="55" s="1"/>
  <c r="O35" i="55"/>
  <c r="E35" i="55" s="1"/>
  <c r="N35" i="55"/>
  <c r="M35" i="55"/>
  <c r="L35" i="55"/>
  <c r="K35" i="55"/>
  <c r="A35" i="55" s="1"/>
  <c r="O34" i="55"/>
  <c r="E34" i="55" s="1"/>
  <c r="N34" i="55"/>
  <c r="M34" i="55"/>
  <c r="L34" i="55"/>
  <c r="K34" i="55"/>
  <c r="A34" i="55" s="1"/>
  <c r="O33" i="55"/>
  <c r="E33" i="55" s="1"/>
  <c r="N33" i="55"/>
  <c r="M33" i="55"/>
  <c r="L33" i="55"/>
  <c r="K33" i="55"/>
  <c r="A33" i="55" s="1"/>
  <c r="O32" i="55"/>
  <c r="E32" i="55" s="1"/>
  <c r="N32" i="55"/>
  <c r="M32" i="55"/>
  <c r="L32" i="55"/>
  <c r="K32" i="55"/>
  <c r="A32" i="55" s="1"/>
  <c r="O31" i="55"/>
  <c r="E31" i="55" s="1"/>
  <c r="N31" i="55"/>
  <c r="M31" i="55"/>
  <c r="L31" i="55"/>
  <c r="K31" i="55"/>
  <c r="A31" i="55" s="1"/>
  <c r="O30" i="55"/>
  <c r="E30" i="55" s="1"/>
  <c r="N30" i="55"/>
  <c r="M30" i="55"/>
  <c r="L30" i="55"/>
  <c r="K30" i="55"/>
  <c r="A30" i="55" s="1"/>
  <c r="O28" i="55"/>
  <c r="E28" i="55" s="1"/>
  <c r="N28" i="55"/>
  <c r="M28" i="55"/>
  <c r="L28" i="55"/>
  <c r="K28" i="55"/>
  <c r="A28" i="55" s="1"/>
  <c r="O27" i="55"/>
  <c r="E27" i="55" s="1"/>
  <c r="N27" i="55"/>
  <c r="M27" i="55"/>
  <c r="L27" i="55"/>
  <c r="K27" i="55"/>
  <c r="A27" i="55" s="1"/>
  <c r="O26" i="55"/>
  <c r="E26" i="55" s="1"/>
  <c r="N26" i="55"/>
  <c r="M26" i="55"/>
  <c r="L26" i="55"/>
  <c r="K26" i="55"/>
  <c r="A26" i="55" s="1"/>
  <c r="O25" i="55"/>
  <c r="E25" i="55" s="1"/>
  <c r="N25" i="55"/>
  <c r="M25" i="55"/>
  <c r="L25" i="55"/>
  <c r="K25" i="55"/>
  <c r="A25" i="55" s="1"/>
  <c r="O24" i="55"/>
  <c r="E24" i="55" s="1"/>
  <c r="N24" i="55"/>
  <c r="M24" i="55"/>
  <c r="L24" i="55"/>
  <c r="K24" i="55"/>
  <c r="A24" i="55" s="1"/>
  <c r="O23" i="55"/>
  <c r="E23" i="55" s="1"/>
  <c r="N23" i="55"/>
  <c r="M23" i="55"/>
  <c r="L23" i="55"/>
  <c r="K23" i="55"/>
  <c r="A23" i="55" s="1"/>
  <c r="O21" i="55"/>
  <c r="E21" i="55" s="1"/>
  <c r="N21" i="55"/>
  <c r="M21" i="55"/>
  <c r="L21" i="55"/>
  <c r="K21" i="55"/>
  <c r="A21" i="55" s="1"/>
  <c r="O20" i="55"/>
  <c r="E20" i="55" s="1"/>
  <c r="N20" i="55"/>
  <c r="M20" i="55"/>
  <c r="L20" i="55"/>
  <c r="K20" i="55"/>
  <c r="A20" i="55" s="1"/>
  <c r="O19" i="55"/>
  <c r="E19" i="55" s="1"/>
  <c r="N19" i="55"/>
  <c r="M19" i="55"/>
  <c r="L19" i="55"/>
  <c r="K19" i="55"/>
  <c r="A19" i="55" s="1"/>
  <c r="O18" i="55"/>
  <c r="E18" i="55" s="1"/>
  <c r="N18" i="55"/>
  <c r="M18" i="55"/>
  <c r="L18" i="55"/>
  <c r="K18" i="55"/>
  <c r="A18" i="55" s="1"/>
  <c r="O17" i="55"/>
  <c r="E17" i="55" s="1"/>
  <c r="N17" i="55"/>
  <c r="M17" i="55"/>
  <c r="L17" i="55"/>
  <c r="K17" i="55"/>
  <c r="A17" i="55" s="1"/>
  <c r="O16" i="55"/>
  <c r="E16" i="55" s="1"/>
  <c r="N16" i="55"/>
  <c r="M16" i="55"/>
  <c r="L16" i="55"/>
  <c r="K16" i="55"/>
  <c r="A16" i="55" s="1"/>
  <c r="O14" i="55"/>
  <c r="E14" i="55" s="1"/>
  <c r="N14" i="55"/>
  <c r="M14" i="55"/>
  <c r="L14" i="55"/>
  <c r="K14" i="55"/>
  <c r="A14" i="55" s="1"/>
  <c r="O13" i="55"/>
  <c r="E13" i="55" s="1"/>
  <c r="N13" i="55"/>
  <c r="M13" i="55"/>
  <c r="L13" i="55"/>
  <c r="K13" i="55"/>
  <c r="A13" i="55" s="1"/>
  <c r="O12" i="55"/>
  <c r="E12" i="55" s="1"/>
  <c r="N12" i="55"/>
  <c r="M12" i="55"/>
  <c r="L12" i="55"/>
  <c r="K12" i="55"/>
  <c r="A12" i="55" s="1"/>
  <c r="Q11" i="55"/>
  <c r="P15" i="31" s="1"/>
  <c r="O11" i="55"/>
  <c r="E11" i="55" s="1"/>
  <c r="N11" i="55"/>
  <c r="M11" i="55"/>
  <c r="L11" i="55"/>
  <c r="K11" i="55"/>
  <c r="A11" i="55" s="1"/>
  <c r="O10" i="55"/>
  <c r="E10" i="55" s="1"/>
  <c r="N10" i="55"/>
  <c r="M10" i="55"/>
  <c r="L10" i="55"/>
  <c r="K10" i="55"/>
  <c r="A10" i="55" s="1"/>
  <c r="O9" i="55"/>
  <c r="E9" i="55" s="1"/>
  <c r="N9" i="55"/>
  <c r="M9" i="55"/>
  <c r="L9" i="55"/>
  <c r="K9" i="55"/>
  <c r="A9" i="55" s="1"/>
  <c r="O7" i="55"/>
  <c r="E7" i="55" s="1"/>
  <c r="N7" i="55"/>
  <c r="M7" i="55"/>
  <c r="L7" i="55"/>
  <c r="K7" i="55"/>
  <c r="A7" i="55" s="1"/>
  <c r="O6" i="55"/>
  <c r="E6" i="55" s="1"/>
  <c r="N6" i="55"/>
  <c r="M6" i="55"/>
  <c r="L6" i="55"/>
  <c r="K6" i="55"/>
  <c r="A6" i="55" s="1"/>
  <c r="O5" i="55"/>
  <c r="E5" i="55" s="1"/>
  <c r="N5" i="55"/>
  <c r="M5" i="55"/>
  <c r="L5" i="55"/>
  <c r="K5" i="55"/>
  <c r="A5" i="55" s="1"/>
  <c r="O4" i="55"/>
  <c r="E4" i="55" s="1"/>
  <c r="N4" i="55"/>
  <c r="M4" i="55"/>
  <c r="L4" i="55"/>
  <c r="K4" i="55"/>
  <c r="A4" i="55" s="1"/>
  <c r="O3" i="55"/>
  <c r="E3" i="55" s="1"/>
  <c r="N3" i="55"/>
  <c r="M3" i="55"/>
  <c r="L3" i="55"/>
  <c r="K3" i="55"/>
  <c r="A3" i="55" s="1"/>
  <c r="O2" i="55"/>
  <c r="E2" i="55" s="1"/>
  <c r="N2" i="55"/>
  <c r="M2" i="55"/>
  <c r="L2" i="55"/>
  <c r="K2" i="55"/>
  <c r="A2" i="55" s="1"/>
  <c r="O79" i="54"/>
  <c r="E79" i="54" s="1"/>
  <c r="N79" i="54"/>
  <c r="M79" i="54"/>
  <c r="L79" i="54"/>
  <c r="K79" i="54"/>
  <c r="A79" i="54" s="1"/>
  <c r="A78" i="54"/>
  <c r="O77" i="54"/>
  <c r="N77" i="54"/>
  <c r="M77" i="54"/>
  <c r="L77" i="54"/>
  <c r="K77" i="54"/>
  <c r="O76" i="54"/>
  <c r="E76" i="54" s="1"/>
  <c r="N76" i="54"/>
  <c r="M76" i="54"/>
  <c r="L76" i="54"/>
  <c r="K76" i="54"/>
  <c r="A76" i="54" s="1"/>
  <c r="O75" i="54"/>
  <c r="E75" i="54" s="1"/>
  <c r="N75" i="54"/>
  <c r="M75" i="54"/>
  <c r="L75" i="54"/>
  <c r="K75" i="54"/>
  <c r="A75" i="54" s="1"/>
  <c r="A74" i="54"/>
  <c r="O73" i="54"/>
  <c r="N73" i="54"/>
  <c r="M73" i="54"/>
  <c r="L73" i="54"/>
  <c r="K73" i="54"/>
  <c r="O72" i="54"/>
  <c r="E72" i="54" s="1"/>
  <c r="N72" i="54"/>
  <c r="M72" i="54"/>
  <c r="L72" i="54"/>
  <c r="K72" i="54"/>
  <c r="A72" i="54" s="1"/>
  <c r="O71" i="54"/>
  <c r="E71" i="54" s="1"/>
  <c r="N71" i="54"/>
  <c r="M71" i="54"/>
  <c r="L71" i="54"/>
  <c r="K71" i="54"/>
  <c r="A71" i="54" s="1"/>
  <c r="O70" i="54"/>
  <c r="E70" i="54" s="1"/>
  <c r="N70" i="54"/>
  <c r="M70" i="54"/>
  <c r="L70" i="54"/>
  <c r="K70" i="54"/>
  <c r="A70" i="54" s="1"/>
  <c r="O69" i="54"/>
  <c r="E69" i="54" s="1"/>
  <c r="N69" i="54"/>
  <c r="M69" i="54"/>
  <c r="L69" i="54"/>
  <c r="K69" i="54"/>
  <c r="A69" i="54" s="1"/>
  <c r="A68" i="54"/>
  <c r="O66" i="54"/>
  <c r="E66" i="54" s="1"/>
  <c r="N66" i="54"/>
  <c r="M66" i="54"/>
  <c r="L66" i="54"/>
  <c r="K66" i="54"/>
  <c r="A66" i="54" s="1"/>
  <c r="O65" i="54"/>
  <c r="E65" i="54" s="1"/>
  <c r="N65" i="54"/>
  <c r="M65" i="54"/>
  <c r="L65" i="54"/>
  <c r="K65" i="54"/>
  <c r="A65" i="54" s="1"/>
  <c r="O64" i="54"/>
  <c r="E64" i="54" s="1"/>
  <c r="N64" i="54"/>
  <c r="M64" i="54"/>
  <c r="L64" i="54"/>
  <c r="K64" i="54"/>
  <c r="A64" i="54" s="1"/>
  <c r="O63" i="54"/>
  <c r="E63" i="54" s="1"/>
  <c r="N63" i="54"/>
  <c r="M63" i="54"/>
  <c r="L63" i="54"/>
  <c r="K63" i="54"/>
  <c r="A63" i="54" s="1"/>
  <c r="O62" i="54"/>
  <c r="E62" i="54" s="1"/>
  <c r="N62" i="54"/>
  <c r="M62" i="54"/>
  <c r="L62" i="54"/>
  <c r="K62" i="54"/>
  <c r="A62" i="54" s="1"/>
  <c r="O61" i="54"/>
  <c r="E61" i="54" s="1"/>
  <c r="N61" i="54"/>
  <c r="M61" i="54"/>
  <c r="L61" i="54"/>
  <c r="K61" i="54"/>
  <c r="A61" i="54" s="1"/>
  <c r="O60" i="54"/>
  <c r="E60" i="54" s="1"/>
  <c r="N60" i="54"/>
  <c r="M60" i="54"/>
  <c r="L60" i="54"/>
  <c r="K60" i="54"/>
  <c r="A60" i="54" s="1"/>
  <c r="O59" i="54"/>
  <c r="E59" i="54" s="1"/>
  <c r="N59" i="54"/>
  <c r="M59" i="54"/>
  <c r="L59" i="54"/>
  <c r="K59" i="54"/>
  <c r="A59" i="54" s="1"/>
  <c r="A58" i="54"/>
  <c r="O56" i="54"/>
  <c r="E56" i="54" s="1"/>
  <c r="N56" i="54"/>
  <c r="M56" i="54"/>
  <c r="L56" i="54"/>
  <c r="K56" i="54"/>
  <c r="A56" i="54" s="1"/>
  <c r="O55" i="54"/>
  <c r="E55" i="54" s="1"/>
  <c r="N55" i="54"/>
  <c r="M55" i="54"/>
  <c r="L55" i="54"/>
  <c r="K55" i="54"/>
  <c r="A55" i="54" s="1"/>
  <c r="O54" i="54"/>
  <c r="E54" i="54" s="1"/>
  <c r="N54" i="54"/>
  <c r="M54" i="54"/>
  <c r="L54" i="54"/>
  <c r="K54" i="54"/>
  <c r="A54" i="54" s="1"/>
  <c r="O53" i="54"/>
  <c r="E53" i="54" s="1"/>
  <c r="N53" i="54"/>
  <c r="M53" i="54"/>
  <c r="L53" i="54"/>
  <c r="K53" i="54"/>
  <c r="A53" i="54" s="1"/>
  <c r="O52" i="54"/>
  <c r="E52" i="54" s="1"/>
  <c r="N52" i="54"/>
  <c r="M52" i="54"/>
  <c r="L52" i="54"/>
  <c r="K52" i="54"/>
  <c r="A52" i="54" s="1"/>
  <c r="O51" i="54"/>
  <c r="E51" i="54" s="1"/>
  <c r="N51" i="54"/>
  <c r="M51" i="54"/>
  <c r="L51" i="54"/>
  <c r="K51" i="54"/>
  <c r="A51" i="54" s="1"/>
  <c r="O49" i="54"/>
  <c r="E49" i="54" s="1"/>
  <c r="N49" i="54"/>
  <c r="M49" i="54"/>
  <c r="L49" i="54"/>
  <c r="K49" i="54"/>
  <c r="A49" i="54" s="1"/>
  <c r="O48" i="54"/>
  <c r="E48" i="54" s="1"/>
  <c r="N48" i="54"/>
  <c r="M48" i="54"/>
  <c r="L48" i="54"/>
  <c r="K48" i="54"/>
  <c r="A48" i="54" s="1"/>
  <c r="O47" i="54"/>
  <c r="E47" i="54" s="1"/>
  <c r="N47" i="54"/>
  <c r="M47" i="54"/>
  <c r="L47" i="54"/>
  <c r="K47" i="54"/>
  <c r="A47" i="54" s="1"/>
  <c r="O46" i="54"/>
  <c r="E46" i="54" s="1"/>
  <c r="N46" i="54"/>
  <c r="M46" i="54"/>
  <c r="L46" i="54"/>
  <c r="K46" i="54"/>
  <c r="A46" i="54" s="1"/>
  <c r="O45" i="54"/>
  <c r="E45" i="54" s="1"/>
  <c r="N45" i="54"/>
  <c r="M45" i="54"/>
  <c r="L45" i="54"/>
  <c r="K45" i="54"/>
  <c r="A45" i="54" s="1"/>
  <c r="O44" i="54"/>
  <c r="E44" i="54" s="1"/>
  <c r="N44" i="54"/>
  <c r="M44" i="54"/>
  <c r="L44" i="54"/>
  <c r="K44" i="54"/>
  <c r="A44" i="54" s="1"/>
  <c r="O42" i="54"/>
  <c r="E42" i="54" s="1"/>
  <c r="N42" i="54"/>
  <c r="M42" i="54"/>
  <c r="L42" i="54"/>
  <c r="K42" i="54"/>
  <c r="A42" i="54" s="1"/>
  <c r="O41" i="54"/>
  <c r="E41" i="54" s="1"/>
  <c r="N41" i="54"/>
  <c r="M41" i="54"/>
  <c r="L41" i="54"/>
  <c r="K41" i="54"/>
  <c r="A41" i="54" s="1"/>
  <c r="O40" i="54"/>
  <c r="E40" i="54" s="1"/>
  <c r="N40" i="54"/>
  <c r="M40" i="54"/>
  <c r="L40" i="54"/>
  <c r="K40" i="54"/>
  <c r="A40" i="54" s="1"/>
  <c r="O39" i="54"/>
  <c r="E39" i="54" s="1"/>
  <c r="N39" i="54"/>
  <c r="M39" i="54"/>
  <c r="L39" i="54"/>
  <c r="K39" i="54"/>
  <c r="A39" i="54" s="1"/>
  <c r="O38" i="54"/>
  <c r="E38" i="54" s="1"/>
  <c r="N38" i="54"/>
  <c r="M38" i="54"/>
  <c r="L38" i="54"/>
  <c r="K38" i="54"/>
  <c r="A38" i="54" s="1"/>
  <c r="O37" i="54"/>
  <c r="E37" i="54" s="1"/>
  <c r="N37" i="54"/>
  <c r="M37" i="54"/>
  <c r="L37" i="54"/>
  <c r="K37" i="54"/>
  <c r="A37" i="54" s="1"/>
  <c r="O35" i="54"/>
  <c r="E35" i="54" s="1"/>
  <c r="N35" i="54"/>
  <c r="M35" i="54"/>
  <c r="L35" i="54"/>
  <c r="K35" i="54"/>
  <c r="A35" i="54" s="1"/>
  <c r="O34" i="54"/>
  <c r="E34" i="54" s="1"/>
  <c r="N34" i="54"/>
  <c r="M34" i="54"/>
  <c r="L34" i="54"/>
  <c r="K34" i="54"/>
  <c r="A34" i="54" s="1"/>
  <c r="O33" i="54"/>
  <c r="E33" i="54" s="1"/>
  <c r="N33" i="54"/>
  <c r="M33" i="54"/>
  <c r="L33" i="54"/>
  <c r="K33" i="54"/>
  <c r="A33" i="54" s="1"/>
  <c r="O32" i="54"/>
  <c r="E32" i="54" s="1"/>
  <c r="N32" i="54"/>
  <c r="M32" i="54"/>
  <c r="L32" i="54"/>
  <c r="K32" i="54"/>
  <c r="A32" i="54" s="1"/>
  <c r="O31" i="54"/>
  <c r="E31" i="54" s="1"/>
  <c r="N31" i="54"/>
  <c r="M31" i="54"/>
  <c r="L31" i="54"/>
  <c r="K31" i="54"/>
  <c r="A31" i="54" s="1"/>
  <c r="O30" i="54"/>
  <c r="E30" i="54" s="1"/>
  <c r="N30" i="54"/>
  <c r="M30" i="54"/>
  <c r="L30" i="54"/>
  <c r="K30" i="54"/>
  <c r="A30" i="54" s="1"/>
  <c r="O28" i="54"/>
  <c r="E28" i="54" s="1"/>
  <c r="N28" i="54"/>
  <c r="M28" i="54"/>
  <c r="L28" i="54"/>
  <c r="K28" i="54"/>
  <c r="A28" i="54" s="1"/>
  <c r="O27" i="54"/>
  <c r="E27" i="54" s="1"/>
  <c r="N27" i="54"/>
  <c r="M27" i="54"/>
  <c r="L27" i="54"/>
  <c r="K27" i="54"/>
  <c r="A27" i="54" s="1"/>
  <c r="O26" i="54"/>
  <c r="E26" i="54" s="1"/>
  <c r="N26" i="54"/>
  <c r="M26" i="54"/>
  <c r="L26" i="54"/>
  <c r="K26" i="54"/>
  <c r="A26" i="54" s="1"/>
  <c r="O25" i="54"/>
  <c r="E25" i="54" s="1"/>
  <c r="N25" i="54"/>
  <c r="M25" i="54"/>
  <c r="L25" i="54"/>
  <c r="K25" i="54"/>
  <c r="A25" i="54" s="1"/>
  <c r="O24" i="54"/>
  <c r="E24" i="54" s="1"/>
  <c r="N24" i="54"/>
  <c r="M24" i="54"/>
  <c r="L24" i="54"/>
  <c r="K24" i="54"/>
  <c r="A24" i="54" s="1"/>
  <c r="O23" i="54"/>
  <c r="E23" i="54" s="1"/>
  <c r="N23" i="54"/>
  <c r="M23" i="54"/>
  <c r="L23" i="54"/>
  <c r="K23" i="54"/>
  <c r="A23" i="54" s="1"/>
  <c r="O21" i="54"/>
  <c r="E21" i="54" s="1"/>
  <c r="N21" i="54"/>
  <c r="M21" i="54"/>
  <c r="L21" i="54"/>
  <c r="K21" i="54"/>
  <c r="A21" i="54" s="1"/>
  <c r="O20" i="54"/>
  <c r="E20" i="54" s="1"/>
  <c r="N20" i="54"/>
  <c r="M20" i="54"/>
  <c r="L20" i="54"/>
  <c r="K20" i="54"/>
  <c r="A20" i="54" s="1"/>
  <c r="O19" i="54"/>
  <c r="E19" i="54" s="1"/>
  <c r="N19" i="54"/>
  <c r="M19" i="54"/>
  <c r="L19" i="54"/>
  <c r="K19" i="54"/>
  <c r="A19" i="54" s="1"/>
  <c r="O18" i="54"/>
  <c r="E18" i="54" s="1"/>
  <c r="N18" i="54"/>
  <c r="M18" i="54"/>
  <c r="L18" i="54"/>
  <c r="K18" i="54"/>
  <c r="A18" i="54" s="1"/>
  <c r="O17" i="54"/>
  <c r="E17" i="54" s="1"/>
  <c r="N17" i="54"/>
  <c r="M17" i="54"/>
  <c r="L17" i="54"/>
  <c r="K17" i="54"/>
  <c r="A17" i="54" s="1"/>
  <c r="O16" i="54"/>
  <c r="E16" i="54" s="1"/>
  <c r="N16" i="54"/>
  <c r="M16" i="54"/>
  <c r="L16" i="54"/>
  <c r="K16" i="54"/>
  <c r="A16" i="54" s="1"/>
  <c r="O14" i="54"/>
  <c r="E14" i="54" s="1"/>
  <c r="N14" i="54"/>
  <c r="M14" i="54"/>
  <c r="L14" i="54"/>
  <c r="K14" i="54"/>
  <c r="A14" i="54" s="1"/>
  <c r="O13" i="54"/>
  <c r="E13" i="54" s="1"/>
  <c r="N13" i="54"/>
  <c r="M13" i="54"/>
  <c r="L13" i="54"/>
  <c r="K13" i="54"/>
  <c r="A13" i="54" s="1"/>
  <c r="O12" i="54"/>
  <c r="E12" i="54" s="1"/>
  <c r="N12" i="54"/>
  <c r="M12" i="54"/>
  <c r="L12" i="54"/>
  <c r="K12" i="54"/>
  <c r="A12" i="54" s="1"/>
  <c r="Q11" i="54"/>
  <c r="P14" i="31" s="1"/>
  <c r="O11" i="54"/>
  <c r="E11" i="54" s="1"/>
  <c r="N11" i="54"/>
  <c r="M11" i="54"/>
  <c r="L11" i="54"/>
  <c r="K11" i="54"/>
  <c r="A11" i="54" s="1"/>
  <c r="O10" i="54"/>
  <c r="E10" i="54" s="1"/>
  <c r="N10" i="54"/>
  <c r="M10" i="54"/>
  <c r="L10" i="54"/>
  <c r="K10" i="54"/>
  <c r="A10" i="54" s="1"/>
  <c r="O9" i="54"/>
  <c r="E9" i="54" s="1"/>
  <c r="N9" i="54"/>
  <c r="M9" i="54"/>
  <c r="L9" i="54"/>
  <c r="K9" i="54"/>
  <c r="A9" i="54" s="1"/>
  <c r="O7" i="54"/>
  <c r="E7" i="54" s="1"/>
  <c r="N7" i="54"/>
  <c r="M7" i="54"/>
  <c r="L7" i="54"/>
  <c r="K7" i="54"/>
  <c r="A7" i="54" s="1"/>
  <c r="O6" i="54"/>
  <c r="E6" i="54" s="1"/>
  <c r="N6" i="54"/>
  <c r="M6" i="54"/>
  <c r="L6" i="54"/>
  <c r="K6" i="54"/>
  <c r="A6" i="54" s="1"/>
  <c r="O5" i="54"/>
  <c r="E5" i="54" s="1"/>
  <c r="N5" i="54"/>
  <c r="M5" i="54"/>
  <c r="L5" i="54"/>
  <c r="K5" i="54"/>
  <c r="A5" i="54" s="1"/>
  <c r="O4" i="54"/>
  <c r="E4" i="54" s="1"/>
  <c r="N4" i="54"/>
  <c r="M4" i="54"/>
  <c r="L4" i="54"/>
  <c r="K4" i="54"/>
  <c r="A4" i="54" s="1"/>
  <c r="O3" i="54"/>
  <c r="E3" i="54" s="1"/>
  <c r="N3" i="54"/>
  <c r="M3" i="54"/>
  <c r="L3" i="54"/>
  <c r="K3" i="54"/>
  <c r="A3" i="54" s="1"/>
  <c r="O2" i="54"/>
  <c r="E2" i="54" s="1"/>
  <c r="N2" i="54"/>
  <c r="M2" i="54"/>
  <c r="L2" i="54"/>
  <c r="K2" i="54"/>
  <c r="A2" i="54" s="1"/>
  <c r="O79" i="53"/>
  <c r="E79" i="53" s="1"/>
  <c r="N79" i="53"/>
  <c r="M79" i="53"/>
  <c r="L79" i="53"/>
  <c r="K79" i="53"/>
  <c r="A79" i="53" s="1"/>
  <c r="A78" i="53"/>
  <c r="O77" i="53"/>
  <c r="N77" i="53"/>
  <c r="M77" i="53"/>
  <c r="L77" i="53"/>
  <c r="K77" i="53"/>
  <c r="O76" i="53"/>
  <c r="E76" i="53" s="1"/>
  <c r="N76" i="53"/>
  <c r="M76" i="53"/>
  <c r="L76" i="53"/>
  <c r="K76" i="53"/>
  <c r="A76" i="53" s="1"/>
  <c r="O75" i="53"/>
  <c r="E75" i="53" s="1"/>
  <c r="N75" i="53"/>
  <c r="M75" i="53"/>
  <c r="L75" i="53"/>
  <c r="K75" i="53"/>
  <c r="A75" i="53" s="1"/>
  <c r="A74" i="53"/>
  <c r="O73" i="53"/>
  <c r="N73" i="53"/>
  <c r="M73" i="53"/>
  <c r="L73" i="53"/>
  <c r="K73" i="53"/>
  <c r="O72" i="53"/>
  <c r="E72" i="53" s="1"/>
  <c r="N72" i="53"/>
  <c r="M72" i="53"/>
  <c r="L72" i="53"/>
  <c r="K72" i="53"/>
  <c r="A72" i="53" s="1"/>
  <c r="O71" i="53"/>
  <c r="E71" i="53" s="1"/>
  <c r="N71" i="53"/>
  <c r="M71" i="53"/>
  <c r="L71" i="53"/>
  <c r="K71" i="53"/>
  <c r="A71" i="53" s="1"/>
  <c r="O70" i="53"/>
  <c r="E70" i="53" s="1"/>
  <c r="N70" i="53"/>
  <c r="M70" i="53"/>
  <c r="L70" i="53"/>
  <c r="K70" i="53"/>
  <c r="A70" i="53" s="1"/>
  <c r="O69" i="53"/>
  <c r="E69" i="53" s="1"/>
  <c r="N69" i="53"/>
  <c r="M69" i="53"/>
  <c r="L69" i="53"/>
  <c r="K69" i="53"/>
  <c r="A69" i="53" s="1"/>
  <c r="A68" i="53"/>
  <c r="O66" i="53"/>
  <c r="E66" i="53" s="1"/>
  <c r="N66" i="53"/>
  <c r="M66" i="53"/>
  <c r="L66" i="53"/>
  <c r="K66" i="53"/>
  <c r="A66" i="53" s="1"/>
  <c r="O65" i="53"/>
  <c r="E65" i="53" s="1"/>
  <c r="N65" i="53"/>
  <c r="M65" i="53"/>
  <c r="L65" i="53"/>
  <c r="K65" i="53"/>
  <c r="A65" i="53" s="1"/>
  <c r="O64" i="53"/>
  <c r="E64" i="53" s="1"/>
  <c r="N64" i="53"/>
  <c r="M64" i="53"/>
  <c r="L64" i="53"/>
  <c r="K64" i="53"/>
  <c r="A64" i="53" s="1"/>
  <c r="O63" i="53"/>
  <c r="E63" i="53" s="1"/>
  <c r="N63" i="53"/>
  <c r="M63" i="53"/>
  <c r="L63" i="53"/>
  <c r="K63" i="53"/>
  <c r="A63" i="53" s="1"/>
  <c r="O62" i="53"/>
  <c r="E62" i="53" s="1"/>
  <c r="N62" i="53"/>
  <c r="M62" i="53"/>
  <c r="L62" i="53"/>
  <c r="K62" i="53"/>
  <c r="A62" i="53" s="1"/>
  <c r="O61" i="53"/>
  <c r="E61" i="53" s="1"/>
  <c r="N61" i="53"/>
  <c r="M61" i="53"/>
  <c r="L61" i="53"/>
  <c r="K61" i="53"/>
  <c r="A61" i="53" s="1"/>
  <c r="O60" i="53"/>
  <c r="E60" i="53" s="1"/>
  <c r="N60" i="53"/>
  <c r="M60" i="53"/>
  <c r="L60" i="53"/>
  <c r="K60" i="53"/>
  <c r="A60" i="53" s="1"/>
  <c r="O59" i="53"/>
  <c r="E59" i="53" s="1"/>
  <c r="N59" i="53"/>
  <c r="M59" i="53"/>
  <c r="L59" i="53"/>
  <c r="K59" i="53"/>
  <c r="A59" i="53" s="1"/>
  <c r="A58" i="53"/>
  <c r="O56" i="53"/>
  <c r="E56" i="53" s="1"/>
  <c r="N56" i="53"/>
  <c r="M56" i="53"/>
  <c r="L56" i="53"/>
  <c r="K56" i="53"/>
  <c r="A56" i="53" s="1"/>
  <c r="O55" i="53"/>
  <c r="E55" i="53" s="1"/>
  <c r="N55" i="53"/>
  <c r="M55" i="53"/>
  <c r="L55" i="53"/>
  <c r="K55" i="53"/>
  <c r="A55" i="53" s="1"/>
  <c r="O54" i="53"/>
  <c r="E54" i="53" s="1"/>
  <c r="N54" i="53"/>
  <c r="M54" i="53"/>
  <c r="L54" i="53"/>
  <c r="K54" i="53"/>
  <c r="A54" i="53" s="1"/>
  <c r="O53" i="53"/>
  <c r="E53" i="53" s="1"/>
  <c r="N53" i="53"/>
  <c r="M53" i="53"/>
  <c r="L53" i="53"/>
  <c r="K53" i="53"/>
  <c r="A53" i="53" s="1"/>
  <c r="O52" i="53"/>
  <c r="E52" i="53" s="1"/>
  <c r="N52" i="53"/>
  <c r="M52" i="53"/>
  <c r="L52" i="53"/>
  <c r="K52" i="53"/>
  <c r="A52" i="53" s="1"/>
  <c r="O51" i="53"/>
  <c r="E51" i="53" s="1"/>
  <c r="N51" i="53"/>
  <c r="M51" i="53"/>
  <c r="L51" i="53"/>
  <c r="K51" i="53"/>
  <c r="A51" i="53" s="1"/>
  <c r="O49" i="53"/>
  <c r="E49" i="53" s="1"/>
  <c r="N49" i="53"/>
  <c r="M49" i="53"/>
  <c r="L49" i="53"/>
  <c r="K49" i="53"/>
  <c r="A49" i="53" s="1"/>
  <c r="O48" i="53"/>
  <c r="E48" i="53" s="1"/>
  <c r="N48" i="53"/>
  <c r="M48" i="53"/>
  <c r="L48" i="53"/>
  <c r="K48" i="53"/>
  <c r="A48" i="53" s="1"/>
  <c r="O47" i="53"/>
  <c r="E47" i="53" s="1"/>
  <c r="N47" i="53"/>
  <c r="M47" i="53"/>
  <c r="L47" i="53"/>
  <c r="K47" i="53"/>
  <c r="A47" i="53" s="1"/>
  <c r="O46" i="53"/>
  <c r="E46" i="53" s="1"/>
  <c r="N46" i="53"/>
  <c r="M46" i="53"/>
  <c r="L46" i="53"/>
  <c r="K46" i="53"/>
  <c r="A46" i="53" s="1"/>
  <c r="O45" i="53"/>
  <c r="E45" i="53" s="1"/>
  <c r="N45" i="53"/>
  <c r="M45" i="53"/>
  <c r="L45" i="53"/>
  <c r="K45" i="53"/>
  <c r="A45" i="53" s="1"/>
  <c r="O44" i="53"/>
  <c r="E44" i="53" s="1"/>
  <c r="N44" i="53"/>
  <c r="M44" i="53"/>
  <c r="L44" i="53"/>
  <c r="K44" i="53"/>
  <c r="A44" i="53" s="1"/>
  <c r="O42" i="53"/>
  <c r="E42" i="53" s="1"/>
  <c r="N42" i="53"/>
  <c r="M42" i="53"/>
  <c r="L42" i="53"/>
  <c r="K42" i="53"/>
  <c r="A42" i="53" s="1"/>
  <c r="O41" i="53"/>
  <c r="E41" i="53" s="1"/>
  <c r="N41" i="53"/>
  <c r="M41" i="53"/>
  <c r="L41" i="53"/>
  <c r="K41" i="53"/>
  <c r="A41" i="53" s="1"/>
  <c r="O40" i="53"/>
  <c r="E40" i="53" s="1"/>
  <c r="N40" i="53"/>
  <c r="M40" i="53"/>
  <c r="L40" i="53"/>
  <c r="K40" i="53"/>
  <c r="A40" i="53" s="1"/>
  <c r="O39" i="53"/>
  <c r="E39" i="53" s="1"/>
  <c r="N39" i="53"/>
  <c r="M39" i="53"/>
  <c r="L39" i="53"/>
  <c r="K39" i="53"/>
  <c r="A39" i="53" s="1"/>
  <c r="O38" i="53"/>
  <c r="E38" i="53" s="1"/>
  <c r="N38" i="53"/>
  <c r="M38" i="53"/>
  <c r="L38" i="53"/>
  <c r="K38" i="53"/>
  <c r="A38" i="53" s="1"/>
  <c r="O37" i="53"/>
  <c r="E37" i="53" s="1"/>
  <c r="N37" i="53"/>
  <c r="M37" i="53"/>
  <c r="L37" i="53"/>
  <c r="K37" i="53"/>
  <c r="A37" i="53" s="1"/>
  <c r="O35" i="53"/>
  <c r="E35" i="53" s="1"/>
  <c r="N35" i="53"/>
  <c r="M35" i="53"/>
  <c r="L35" i="53"/>
  <c r="K35" i="53"/>
  <c r="A35" i="53" s="1"/>
  <c r="O34" i="53"/>
  <c r="E34" i="53" s="1"/>
  <c r="N34" i="53"/>
  <c r="M34" i="53"/>
  <c r="L34" i="53"/>
  <c r="K34" i="53"/>
  <c r="A34" i="53" s="1"/>
  <c r="O33" i="53"/>
  <c r="E33" i="53" s="1"/>
  <c r="N33" i="53"/>
  <c r="M33" i="53"/>
  <c r="L33" i="53"/>
  <c r="K33" i="53"/>
  <c r="A33" i="53" s="1"/>
  <c r="O32" i="53"/>
  <c r="E32" i="53" s="1"/>
  <c r="N32" i="53"/>
  <c r="M32" i="53"/>
  <c r="L32" i="53"/>
  <c r="K32" i="53"/>
  <c r="A32" i="53" s="1"/>
  <c r="O31" i="53"/>
  <c r="E31" i="53" s="1"/>
  <c r="N31" i="53"/>
  <c r="M31" i="53"/>
  <c r="L31" i="53"/>
  <c r="K31" i="53"/>
  <c r="A31" i="53" s="1"/>
  <c r="O30" i="53"/>
  <c r="E30" i="53" s="1"/>
  <c r="N30" i="53"/>
  <c r="M30" i="53"/>
  <c r="L30" i="53"/>
  <c r="K30" i="53"/>
  <c r="A30" i="53" s="1"/>
  <c r="O28" i="53"/>
  <c r="E28" i="53" s="1"/>
  <c r="N28" i="53"/>
  <c r="M28" i="53"/>
  <c r="L28" i="53"/>
  <c r="K28" i="53"/>
  <c r="A28" i="53" s="1"/>
  <c r="O27" i="53"/>
  <c r="E27" i="53" s="1"/>
  <c r="N27" i="53"/>
  <c r="M27" i="53"/>
  <c r="L27" i="53"/>
  <c r="K27" i="53"/>
  <c r="A27" i="53" s="1"/>
  <c r="O26" i="53"/>
  <c r="E26" i="53" s="1"/>
  <c r="N26" i="53"/>
  <c r="M26" i="53"/>
  <c r="L26" i="53"/>
  <c r="K26" i="53"/>
  <c r="A26" i="53" s="1"/>
  <c r="O25" i="53"/>
  <c r="E25" i="53" s="1"/>
  <c r="N25" i="53"/>
  <c r="M25" i="53"/>
  <c r="L25" i="53"/>
  <c r="K25" i="53"/>
  <c r="A25" i="53" s="1"/>
  <c r="O24" i="53"/>
  <c r="E24" i="53" s="1"/>
  <c r="N24" i="53"/>
  <c r="M24" i="53"/>
  <c r="L24" i="53"/>
  <c r="K24" i="53"/>
  <c r="A24" i="53" s="1"/>
  <c r="O23" i="53"/>
  <c r="E23" i="53" s="1"/>
  <c r="N23" i="53"/>
  <c r="M23" i="53"/>
  <c r="L23" i="53"/>
  <c r="K23" i="53"/>
  <c r="A23" i="53" s="1"/>
  <c r="O21" i="53"/>
  <c r="E21" i="53" s="1"/>
  <c r="N21" i="53"/>
  <c r="M21" i="53"/>
  <c r="L21" i="53"/>
  <c r="K21" i="53"/>
  <c r="A21" i="53" s="1"/>
  <c r="O20" i="53"/>
  <c r="E20" i="53" s="1"/>
  <c r="N20" i="53"/>
  <c r="M20" i="53"/>
  <c r="L20" i="53"/>
  <c r="K20" i="53"/>
  <c r="A20" i="53" s="1"/>
  <c r="O19" i="53"/>
  <c r="E19" i="53" s="1"/>
  <c r="N19" i="53"/>
  <c r="M19" i="53"/>
  <c r="L19" i="53"/>
  <c r="K19" i="53"/>
  <c r="A19" i="53" s="1"/>
  <c r="O18" i="53"/>
  <c r="E18" i="53" s="1"/>
  <c r="N18" i="53"/>
  <c r="M18" i="53"/>
  <c r="L18" i="53"/>
  <c r="K18" i="53"/>
  <c r="A18" i="53" s="1"/>
  <c r="O17" i="53"/>
  <c r="E17" i="53" s="1"/>
  <c r="N17" i="53"/>
  <c r="M17" i="53"/>
  <c r="L17" i="53"/>
  <c r="K17" i="53"/>
  <c r="A17" i="53" s="1"/>
  <c r="O16" i="53"/>
  <c r="E16" i="53" s="1"/>
  <c r="N16" i="53"/>
  <c r="M16" i="53"/>
  <c r="L16" i="53"/>
  <c r="K16" i="53"/>
  <c r="A16" i="53" s="1"/>
  <c r="O14" i="53"/>
  <c r="E14" i="53" s="1"/>
  <c r="N14" i="53"/>
  <c r="M14" i="53"/>
  <c r="L14" i="53"/>
  <c r="K14" i="53"/>
  <c r="A14" i="53" s="1"/>
  <c r="O13" i="53"/>
  <c r="E13" i="53" s="1"/>
  <c r="N13" i="53"/>
  <c r="M13" i="53"/>
  <c r="L13" i="53"/>
  <c r="K13" i="53"/>
  <c r="A13" i="53" s="1"/>
  <c r="O12" i="53"/>
  <c r="E12" i="53" s="1"/>
  <c r="N12" i="53"/>
  <c r="M12" i="53"/>
  <c r="L12" i="53"/>
  <c r="K12" i="53"/>
  <c r="A12" i="53" s="1"/>
  <c r="Q11" i="53"/>
  <c r="P12" i="31" s="1"/>
  <c r="O11" i="53"/>
  <c r="E11" i="53" s="1"/>
  <c r="N11" i="53"/>
  <c r="M11" i="53"/>
  <c r="L11" i="53"/>
  <c r="K11" i="53"/>
  <c r="A11" i="53" s="1"/>
  <c r="O10" i="53"/>
  <c r="E10" i="53" s="1"/>
  <c r="N10" i="53"/>
  <c r="M10" i="53"/>
  <c r="L10" i="53"/>
  <c r="K10" i="53"/>
  <c r="A10" i="53" s="1"/>
  <c r="O9" i="53"/>
  <c r="E9" i="53" s="1"/>
  <c r="N9" i="53"/>
  <c r="M9" i="53"/>
  <c r="L9" i="53"/>
  <c r="K9" i="53"/>
  <c r="A9" i="53" s="1"/>
  <c r="O7" i="53"/>
  <c r="E7" i="53" s="1"/>
  <c r="N7" i="53"/>
  <c r="M7" i="53"/>
  <c r="L7" i="53"/>
  <c r="K7" i="53"/>
  <c r="A7" i="53" s="1"/>
  <c r="O6" i="53"/>
  <c r="E6" i="53" s="1"/>
  <c r="N6" i="53"/>
  <c r="M6" i="53"/>
  <c r="L6" i="53"/>
  <c r="K6" i="53"/>
  <c r="A6" i="53" s="1"/>
  <c r="O5" i="53"/>
  <c r="E5" i="53" s="1"/>
  <c r="N5" i="53"/>
  <c r="M5" i="53"/>
  <c r="L5" i="53"/>
  <c r="K5" i="53"/>
  <c r="A5" i="53" s="1"/>
  <c r="O4" i="53"/>
  <c r="E4" i="53" s="1"/>
  <c r="N4" i="53"/>
  <c r="M4" i="53"/>
  <c r="L4" i="53"/>
  <c r="K4" i="53"/>
  <c r="A4" i="53" s="1"/>
  <c r="O3" i="53"/>
  <c r="E3" i="53" s="1"/>
  <c r="N3" i="53"/>
  <c r="M3" i="53"/>
  <c r="L3" i="53"/>
  <c r="K3" i="53"/>
  <c r="A3" i="53" s="1"/>
  <c r="O2" i="53"/>
  <c r="E2" i="53" s="1"/>
  <c r="N2" i="53"/>
  <c r="M2" i="53"/>
  <c r="L2" i="53"/>
  <c r="K2" i="53"/>
  <c r="A2" i="53" s="1"/>
  <c r="O79" i="52"/>
  <c r="E79" i="52" s="1"/>
  <c r="N79" i="52"/>
  <c r="M79" i="52"/>
  <c r="L79" i="52"/>
  <c r="K79" i="52"/>
  <c r="A79" i="52" s="1"/>
  <c r="A78" i="52"/>
  <c r="O77" i="52"/>
  <c r="N77" i="52"/>
  <c r="M77" i="52"/>
  <c r="L77" i="52"/>
  <c r="K77" i="52"/>
  <c r="O76" i="52"/>
  <c r="E76" i="52" s="1"/>
  <c r="N76" i="52"/>
  <c r="M76" i="52"/>
  <c r="L76" i="52"/>
  <c r="K76" i="52"/>
  <c r="A76" i="52" s="1"/>
  <c r="O75" i="52"/>
  <c r="E75" i="52" s="1"/>
  <c r="N75" i="52"/>
  <c r="M75" i="52"/>
  <c r="L75" i="52"/>
  <c r="K75" i="52"/>
  <c r="A75" i="52" s="1"/>
  <c r="A74" i="52"/>
  <c r="O73" i="52"/>
  <c r="N73" i="52"/>
  <c r="M73" i="52"/>
  <c r="L73" i="52"/>
  <c r="K73" i="52"/>
  <c r="O72" i="52"/>
  <c r="E72" i="52" s="1"/>
  <c r="N72" i="52"/>
  <c r="M72" i="52"/>
  <c r="L72" i="52"/>
  <c r="K72" i="52"/>
  <c r="A72" i="52" s="1"/>
  <c r="O71" i="52"/>
  <c r="E71" i="52" s="1"/>
  <c r="N71" i="52"/>
  <c r="M71" i="52"/>
  <c r="L71" i="52"/>
  <c r="K71" i="52"/>
  <c r="A71" i="52" s="1"/>
  <c r="O70" i="52"/>
  <c r="E70" i="52" s="1"/>
  <c r="N70" i="52"/>
  <c r="M70" i="52"/>
  <c r="L70" i="52"/>
  <c r="K70" i="52"/>
  <c r="A70" i="52" s="1"/>
  <c r="O69" i="52"/>
  <c r="E69" i="52" s="1"/>
  <c r="N69" i="52"/>
  <c r="M69" i="52"/>
  <c r="L69" i="52"/>
  <c r="K69" i="52"/>
  <c r="A69" i="52" s="1"/>
  <c r="A68" i="52"/>
  <c r="O66" i="52"/>
  <c r="E66" i="52" s="1"/>
  <c r="N66" i="52"/>
  <c r="M66" i="52"/>
  <c r="L66" i="52"/>
  <c r="K66" i="52"/>
  <c r="A66" i="52" s="1"/>
  <c r="O65" i="52"/>
  <c r="E65" i="52" s="1"/>
  <c r="N65" i="52"/>
  <c r="M65" i="52"/>
  <c r="L65" i="52"/>
  <c r="K65" i="52"/>
  <c r="A65" i="52" s="1"/>
  <c r="O64" i="52"/>
  <c r="E64" i="52" s="1"/>
  <c r="N64" i="52"/>
  <c r="M64" i="52"/>
  <c r="L64" i="52"/>
  <c r="K64" i="52"/>
  <c r="A64" i="52" s="1"/>
  <c r="O63" i="52"/>
  <c r="E63" i="52" s="1"/>
  <c r="N63" i="52"/>
  <c r="M63" i="52"/>
  <c r="L63" i="52"/>
  <c r="K63" i="52"/>
  <c r="A63" i="52" s="1"/>
  <c r="O62" i="52"/>
  <c r="E62" i="52" s="1"/>
  <c r="N62" i="52"/>
  <c r="M62" i="52"/>
  <c r="L62" i="52"/>
  <c r="K62" i="52"/>
  <c r="A62" i="52" s="1"/>
  <c r="O61" i="52"/>
  <c r="E61" i="52" s="1"/>
  <c r="N61" i="52"/>
  <c r="M61" i="52"/>
  <c r="L61" i="52"/>
  <c r="K61" i="52"/>
  <c r="A61" i="52" s="1"/>
  <c r="O60" i="52"/>
  <c r="E60" i="52" s="1"/>
  <c r="N60" i="52"/>
  <c r="M60" i="52"/>
  <c r="L60" i="52"/>
  <c r="K60" i="52"/>
  <c r="A60" i="52" s="1"/>
  <c r="O59" i="52"/>
  <c r="E59" i="52" s="1"/>
  <c r="N59" i="52"/>
  <c r="M59" i="52"/>
  <c r="L59" i="52"/>
  <c r="K59" i="52"/>
  <c r="A59" i="52" s="1"/>
  <c r="A58" i="52"/>
  <c r="O56" i="52"/>
  <c r="E56" i="52" s="1"/>
  <c r="N56" i="52"/>
  <c r="M56" i="52"/>
  <c r="L56" i="52"/>
  <c r="K56" i="52"/>
  <c r="A56" i="52" s="1"/>
  <c r="O55" i="52"/>
  <c r="E55" i="52" s="1"/>
  <c r="N55" i="52"/>
  <c r="M55" i="52"/>
  <c r="L55" i="52"/>
  <c r="K55" i="52"/>
  <c r="A55" i="52" s="1"/>
  <c r="O54" i="52"/>
  <c r="E54" i="52" s="1"/>
  <c r="N54" i="52"/>
  <c r="M54" i="52"/>
  <c r="L54" i="52"/>
  <c r="K54" i="52"/>
  <c r="A54" i="52" s="1"/>
  <c r="O53" i="52"/>
  <c r="E53" i="52" s="1"/>
  <c r="N53" i="52"/>
  <c r="M53" i="52"/>
  <c r="L53" i="52"/>
  <c r="K53" i="52"/>
  <c r="A53" i="52" s="1"/>
  <c r="O52" i="52"/>
  <c r="E52" i="52" s="1"/>
  <c r="N52" i="52"/>
  <c r="M52" i="52"/>
  <c r="L52" i="52"/>
  <c r="K52" i="52"/>
  <c r="A52" i="52" s="1"/>
  <c r="O51" i="52"/>
  <c r="E51" i="52" s="1"/>
  <c r="N51" i="52"/>
  <c r="M51" i="52"/>
  <c r="L51" i="52"/>
  <c r="K51" i="52"/>
  <c r="A51" i="52" s="1"/>
  <c r="O49" i="52"/>
  <c r="E49" i="52" s="1"/>
  <c r="N49" i="52"/>
  <c r="M49" i="52"/>
  <c r="L49" i="52"/>
  <c r="K49" i="52"/>
  <c r="A49" i="52" s="1"/>
  <c r="O48" i="52"/>
  <c r="E48" i="52" s="1"/>
  <c r="N48" i="52"/>
  <c r="M48" i="52"/>
  <c r="L48" i="52"/>
  <c r="K48" i="52"/>
  <c r="A48" i="52" s="1"/>
  <c r="O47" i="52"/>
  <c r="E47" i="52" s="1"/>
  <c r="N47" i="52"/>
  <c r="M47" i="52"/>
  <c r="L47" i="52"/>
  <c r="K47" i="52"/>
  <c r="A47" i="52" s="1"/>
  <c r="O46" i="52"/>
  <c r="E46" i="52" s="1"/>
  <c r="N46" i="52"/>
  <c r="M46" i="52"/>
  <c r="L46" i="52"/>
  <c r="K46" i="52"/>
  <c r="A46" i="52" s="1"/>
  <c r="O45" i="52"/>
  <c r="E45" i="52" s="1"/>
  <c r="N45" i="52"/>
  <c r="M45" i="52"/>
  <c r="L45" i="52"/>
  <c r="K45" i="52"/>
  <c r="A45" i="52" s="1"/>
  <c r="O44" i="52"/>
  <c r="E44" i="52" s="1"/>
  <c r="N44" i="52"/>
  <c r="M44" i="52"/>
  <c r="L44" i="52"/>
  <c r="K44" i="52"/>
  <c r="A44" i="52" s="1"/>
  <c r="O42" i="52"/>
  <c r="E42" i="52" s="1"/>
  <c r="N42" i="52"/>
  <c r="M42" i="52"/>
  <c r="L42" i="52"/>
  <c r="K42" i="52"/>
  <c r="A42" i="52" s="1"/>
  <c r="O41" i="52"/>
  <c r="E41" i="52" s="1"/>
  <c r="N41" i="52"/>
  <c r="M41" i="52"/>
  <c r="L41" i="52"/>
  <c r="K41" i="52"/>
  <c r="A41" i="52" s="1"/>
  <c r="O40" i="52"/>
  <c r="E40" i="52" s="1"/>
  <c r="N40" i="52"/>
  <c r="M40" i="52"/>
  <c r="L40" i="52"/>
  <c r="K40" i="52"/>
  <c r="A40" i="52" s="1"/>
  <c r="O39" i="52"/>
  <c r="E39" i="52" s="1"/>
  <c r="N39" i="52"/>
  <c r="M39" i="52"/>
  <c r="L39" i="52"/>
  <c r="K39" i="52"/>
  <c r="A39" i="52" s="1"/>
  <c r="O38" i="52"/>
  <c r="E38" i="52" s="1"/>
  <c r="N38" i="52"/>
  <c r="M38" i="52"/>
  <c r="L38" i="52"/>
  <c r="K38" i="52"/>
  <c r="A38" i="52" s="1"/>
  <c r="O37" i="52"/>
  <c r="E37" i="52" s="1"/>
  <c r="N37" i="52"/>
  <c r="M37" i="52"/>
  <c r="L37" i="52"/>
  <c r="K37" i="52"/>
  <c r="A37" i="52" s="1"/>
  <c r="O35" i="52"/>
  <c r="E35" i="52" s="1"/>
  <c r="N35" i="52"/>
  <c r="M35" i="52"/>
  <c r="L35" i="52"/>
  <c r="K35" i="52"/>
  <c r="A35" i="52" s="1"/>
  <c r="O34" i="52"/>
  <c r="E34" i="52" s="1"/>
  <c r="N34" i="52"/>
  <c r="M34" i="52"/>
  <c r="L34" i="52"/>
  <c r="K34" i="52"/>
  <c r="A34" i="52" s="1"/>
  <c r="O33" i="52"/>
  <c r="E33" i="52" s="1"/>
  <c r="N33" i="52"/>
  <c r="M33" i="52"/>
  <c r="L33" i="52"/>
  <c r="K33" i="52"/>
  <c r="A33" i="52" s="1"/>
  <c r="O32" i="52"/>
  <c r="E32" i="52" s="1"/>
  <c r="N32" i="52"/>
  <c r="M32" i="52"/>
  <c r="L32" i="52"/>
  <c r="K32" i="52"/>
  <c r="A32" i="52" s="1"/>
  <c r="O31" i="52"/>
  <c r="E31" i="52" s="1"/>
  <c r="N31" i="52"/>
  <c r="M31" i="52"/>
  <c r="L31" i="52"/>
  <c r="K31" i="52"/>
  <c r="A31" i="52" s="1"/>
  <c r="O30" i="52"/>
  <c r="E30" i="52" s="1"/>
  <c r="N30" i="52"/>
  <c r="M30" i="52"/>
  <c r="L30" i="52"/>
  <c r="K30" i="52"/>
  <c r="A30" i="52" s="1"/>
  <c r="O28" i="52"/>
  <c r="E28" i="52" s="1"/>
  <c r="N28" i="52"/>
  <c r="M28" i="52"/>
  <c r="L28" i="52"/>
  <c r="K28" i="52"/>
  <c r="A28" i="52" s="1"/>
  <c r="O27" i="52"/>
  <c r="E27" i="52" s="1"/>
  <c r="N27" i="52"/>
  <c r="M27" i="52"/>
  <c r="L27" i="52"/>
  <c r="K27" i="52"/>
  <c r="A27" i="52" s="1"/>
  <c r="O26" i="52"/>
  <c r="E26" i="52" s="1"/>
  <c r="N26" i="52"/>
  <c r="M26" i="52"/>
  <c r="L26" i="52"/>
  <c r="K26" i="52"/>
  <c r="A26" i="52" s="1"/>
  <c r="O25" i="52"/>
  <c r="E25" i="52" s="1"/>
  <c r="N25" i="52"/>
  <c r="M25" i="52"/>
  <c r="L25" i="52"/>
  <c r="K25" i="52"/>
  <c r="A25" i="52" s="1"/>
  <c r="O24" i="52"/>
  <c r="E24" i="52" s="1"/>
  <c r="N24" i="52"/>
  <c r="M24" i="52"/>
  <c r="L24" i="52"/>
  <c r="K24" i="52"/>
  <c r="A24" i="52" s="1"/>
  <c r="O23" i="52"/>
  <c r="E23" i="52" s="1"/>
  <c r="N23" i="52"/>
  <c r="M23" i="52"/>
  <c r="L23" i="52"/>
  <c r="K23" i="52"/>
  <c r="A23" i="52" s="1"/>
  <c r="O21" i="52"/>
  <c r="E21" i="52" s="1"/>
  <c r="N21" i="52"/>
  <c r="M21" i="52"/>
  <c r="L21" i="52"/>
  <c r="K21" i="52"/>
  <c r="A21" i="52" s="1"/>
  <c r="O20" i="52"/>
  <c r="E20" i="52" s="1"/>
  <c r="N20" i="52"/>
  <c r="M20" i="52"/>
  <c r="L20" i="52"/>
  <c r="K20" i="52"/>
  <c r="A20" i="52" s="1"/>
  <c r="O19" i="52"/>
  <c r="E19" i="52" s="1"/>
  <c r="N19" i="52"/>
  <c r="M19" i="52"/>
  <c r="L19" i="52"/>
  <c r="K19" i="52"/>
  <c r="A19" i="52" s="1"/>
  <c r="O18" i="52"/>
  <c r="E18" i="52" s="1"/>
  <c r="N18" i="52"/>
  <c r="M18" i="52"/>
  <c r="L18" i="52"/>
  <c r="K18" i="52"/>
  <c r="A18" i="52" s="1"/>
  <c r="O17" i="52"/>
  <c r="E17" i="52" s="1"/>
  <c r="N17" i="52"/>
  <c r="M17" i="52"/>
  <c r="L17" i="52"/>
  <c r="K17" i="52"/>
  <c r="A17" i="52" s="1"/>
  <c r="O16" i="52"/>
  <c r="E16" i="52" s="1"/>
  <c r="N16" i="52"/>
  <c r="M16" i="52"/>
  <c r="L16" i="52"/>
  <c r="K16" i="52"/>
  <c r="A16" i="52" s="1"/>
  <c r="O14" i="52"/>
  <c r="E14" i="52" s="1"/>
  <c r="N14" i="52"/>
  <c r="M14" i="52"/>
  <c r="L14" i="52"/>
  <c r="K14" i="52"/>
  <c r="A14" i="52" s="1"/>
  <c r="O13" i="52"/>
  <c r="E13" i="52" s="1"/>
  <c r="N13" i="52"/>
  <c r="M13" i="52"/>
  <c r="L13" i="52"/>
  <c r="K13" i="52"/>
  <c r="A13" i="52" s="1"/>
  <c r="O12" i="52"/>
  <c r="E12" i="52" s="1"/>
  <c r="N12" i="52"/>
  <c r="M12" i="52"/>
  <c r="L12" i="52"/>
  <c r="K12" i="52"/>
  <c r="A12" i="52" s="1"/>
  <c r="Q11" i="52"/>
  <c r="P13" i="31" s="1"/>
  <c r="O11" i="52"/>
  <c r="E11" i="52" s="1"/>
  <c r="N11" i="52"/>
  <c r="M11" i="52"/>
  <c r="L11" i="52"/>
  <c r="K11" i="52"/>
  <c r="A11" i="52" s="1"/>
  <c r="O10" i="52"/>
  <c r="E10" i="52" s="1"/>
  <c r="N10" i="52"/>
  <c r="M10" i="52"/>
  <c r="L10" i="52"/>
  <c r="K10" i="52"/>
  <c r="A10" i="52" s="1"/>
  <c r="O9" i="52"/>
  <c r="E9" i="52" s="1"/>
  <c r="N9" i="52"/>
  <c r="M9" i="52"/>
  <c r="L9" i="52"/>
  <c r="K9" i="52"/>
  <c r="A9" i="52" s="1"/>
  <c r="O7" i="52"/>
  <c r="E7" i="52" s="1"/>
  <c r="N7" i="52"/>
  <c r="M7" i="52"/>
  <c r="L7" i="52"/>
  <c r="K7" i="52"/>
  <c r="A7" i="52" s="1"/>
  <c r="O6" i="52"/>
  <c r="E6" i="52" s="1"/>
  <c r="N6" i="52"/>
  <c r="M6" i="52"/>
  <c r="L6" i="52"/>
  <c r="K6" i="52"/>
  <c r="A6" i="52" s="1"/>
  <c r="O5" i="52"/>
  <c r="E5" i="52" s="1"/>
  <c r="N5" i="52"/>
  <c r="M5" i="52"/>
  <c r="L5" i="52"/>
  <c r="K5" i="52"/>
  <c r="A5" i="52" s="1"/>
  <c r="O4" i="52"/>
  <c r="E4" i="52" s="1"/>
  <c r="N4" i="52"/>
  <c r="M4" i="52"/>
  <c r="L4" i="52"/>
  <c r="K4" i="52"/>
  <c r="A4" i="52" s="1"/>
  <c r="O3" i="52"/>
  <c r="E3" i="52" s="1"/>
  <c r="N3" i="52"/>
  <c r="M3" i="52"/>
  <c r="L3" i="52"/>
  <c r="K3" i="52"/>
  <c r="A3" i="52" s="1"/>
  <c r="O2" i="52"/>
  <c r="E2" i="52" s="1"/>
  <c r="N2" i="52"/>
  <c r="M2" i="52"/>
  <c r="L2" i="52"/>
  <c r="K2" i="52"/>
  <c r="A2" i="52" s="1"/>
  <c r="O79" i="51"/>
  <c r="E79" i="51" s="1"/>
  <c r="N79" i="51"/>
  <c r="M79" i="51"/>
  <c r="L79" i="51"/>
  <c r="K79" i="51"/>
  <c r="A79" i="51" s="1"/>
  <c r="A78" i="51"/>
  <c r="O77" i="51"/>
  <c r="N77" i="51"/>
  <c r="M77" i="51"/>
  <c r="L77" i="51"/>
  <c r="K77" i="51"/>
  <c r="O76" i="51"/>
  <c r="E76" i="51" s="1"/>
  <c r="N76" i="51"/>
  <c r="M76" i="51"/>
  <c r="L76" i="51"/>
  <c r="K76" i="51"/>
  <c r="A76" i="51" s="1"/>
  <c r="O75" i="51"/>
  <c r="E75" i="51" s="1"/>
  <c r="N75" i="51"/>
  <c r="M75" i="51"/>
  <c r="L75" i="51"/>
  <c r="K75" i="51"/>
  <c r="A75" i="51" s="1"/>
  <c r="A74" i="51"/>
  <c r="O73" i="51"/>
  <c r="N73" i="51"/>
  <c r="M73" i="51"/>
  <c r="L73" i="51"/>
  <c r="K73" i="51"/>
  <c r="O72" i="51"/>
  <c r="E72" i="51" s="1"/>
  <c r="N72" i="51"/>
  <c r="M72" i="51"/>
  <c r="L72" i="51"/>
  <c r="K72" i="51"/>
  <c r="A72" i="51" s="1"/>
  <c r="O71" i="51"/>
  <c r="E71" i="51" s="1"/>
  <c r="N71" i="51"/>
  <c r="M71" i="51"/>
  <c r="L71" i="51"/>
  <c r="K71" i="51"/>
  <c r="A71" i="51" s="1"/>
  <c r="O70" i="51"/>
  <c r="E70" i="51" s="1"/>
  <c r="N70" i="51"/>
  <c r="M70" i="51"/>
  <c r="L70" i="51"/>
  <c r="K70" i="51"/>
  <c r="A70" i="51" s="1"/>
  <c r="O69" i="51"/>
  <c r="E69" i="51" s="1"/>
  <c r="N69" i="51"/>
  <c r="M69" i="51"/>
  <c r="L69" i="51"/>
  <c r="K69" i="51"/>
  <c r="A69" i="51" s="1"/>
  <c r="A68" i="51"/>
  <c r="O66" i="51"/>
  <c r="E66" i="51" s="1"/>
  <c r="N66" i="51"/>
  <c r="M66" i="51"/>
  <c r="L66" i="51"/>
  <c r="K66" i="51"/>
  <c r="A66" i="51" s="1"/>
  <c r="O65" i="51"/>
  <c r="E65" i="51" s="1"/>
  <c r="N65" i="51"/>
  <c r="M65" i="51"/>
  <c r="L65" i="51"/>
  <c r="K65" i="51"/>
  <c r="A65" i="51" s="1"/>
  <c r="O64" i="51"/>
  <c r="E64" i="51" s="1"/>
  <c r="N64" i="51"/>
  <c r="M64" i="51"/>
  <c r="L64" i="51"/>
  <c r="K64" i="51"/>
  <c r="A64" i="51" s="1"/>
  <c r="O63" i="51"/>
  <c r="E63" i="51" s="1"/>
  <c r="N63" i="51"/>
  <c r="M63" i="51"/>
  <c r="L63" i="51"/>
  <c r="K63" i="51"/>
  <c r="A63" i="51" s="1"/>
  <c r="O62" i="51"/>
  <c r="E62" i="51" s="1"/>
  <c r="N62" i="51"/>
  <c r="M62" i="51"/>
  <c r="L62" i="51"/>
  <c r="K62" i="51"/>
  <c r="A62" i="51" s="1"/>
  <c r="O61" i="51"/>
  <c r="E61" i="51" s="1"/>
  <c r="N61" i="51"/>
  <c r="M61" i="51"/>
  <c r="L61" i="51"/>
  <c r="K61" i="51"/>
  <c r="A61" i="51" s="1"/>
  <c r="O60" i="51"/>
  <c r="E60" i="51" s="1"/>
  <c r="N60" i="51"/>
  <c r="M60" i="51"/>
  <c r="L60" i="51"/>
  <c r="K60" i="51"/>
  <c r="A60" i="51" s="1"/>
  <c r="O59" i="51"/>
  <c r="E59" i="51" s="1"/>
  <c r="N59" i="51"/>
  <c r="M59" i="51"/>
  <c r="L59" i="51"/>
  <c r="K59" i="51"/>
  <c r="A59" i="51" s="1"/>
  <c r="A58" i="51"/>
  <c r="O56" i="51"/>
  <c r="E56" i="51" s="1"/>
  <c r="N56" i="51"/>
  <c r="M56" i="51"/>
  <c r="L56" i="51"/>
  <c r="K56" i="51"/>
  <c r="A56" i="51" s="1"/>
  <c r="O55" i="51"/>
  <c r="E55" i="51" s="1"/>
  <c r="N55" i="51"/>
  <c r="M55" i="51"/>
  <c r="L55" i="51"/>
  <c r="K55" i="51"/>
  <c r="A55" i="51" s="1"/>
  <c r="O54" i="51"/>
  <c r="E54" i="51" s="1"/>
  <c r="N54" i="51"/>
  <c r="M54" i="51"/>
  <c r="L54" i="51"/>
  <c r="K54" i="51"/>
  <c r="A54" i="51" s="1"/>
  <c r="O53" i="51"/>
  <c r="E53" i="51" s="1"/>
  <c r="N53" i="51"/>
  <c r="M53" i="51"/>
  <c r="L53" i="51"/>
  <c r="K53" i="51"/>
  <c r="A53" i="51" s="1"/>
  <c r="O52" i="51"/>
  <c r="E52" i="51" s="1"/>
  <c r="N52" i="51"/>
  <c r="M52" i="51"/>
  <c r="L52" i="51"/>
  <c r="K52" i="51"/>
  <c r="A52" i="51" s="1"/>
  <c r="O51" i="51"/>
  <c r="E51" i="51" s="1"/>
  <c r="N51" i="51"/>
  <c r="M51" i="51"/>
  <c r="L51" i="51"/>
  <c r="K51" i="51"/>
  <c r="A51" i="51" s="1"/>
  <c r="O49" i="51"/>
  <c r="E49" i="51" s="1"/>
  <c r="N49" i="51"/>
  <c r="M49" i="51"/>
  <c r="L49" i="51"/>
  <c r="K49" i="51"/>
  <c r="A49" i="51" s="1"/>
  <c r="O48" i="51"/>
  <c r="E48" i="51" s="1"/>
  <c r="N48" i="51"/>
  <c r="M48" i="51"/>
  <c r="L48" i="51"/>
  <c r="K48" i="51"/>
  <c r="A48" i="51" s="1"/>
  <c r="O47" i="51"/>
  <c r="E47" i="51" s="1"/>
  <c r="N47" i="51"/>
  <c r="M47" i="51"/>
  <c r="L47" i="51"/>
  <c r="K47" i="51"/>
  <c r="A47" i="51" s="1"/>
  <c r="O46" i="51"/>
  <c r="E46" i="51" s="1"/>
  <c r="N46" i="51"/>
  <c r="M46" i="51"/>
  <c r="L46" i="51"/>
  <c r="K46" i="51"/>
  <c r="A46" i="51" s="1"/>
  <c r="O45" i="51"/>
  <c r="E45" i="51" s="1"/>
  <c r="N45" i="51"/>
  <c r="M45" i="51"/>
  <c r="L45" i="51"/>
  <c r="K45" i="51"/>
  <c r="A45" i="51" s="1"/>
  <c r="O44" i="51"/>
  <c r="E44" i="51" s="1"/>
  <c r="N44" i="51"/>
  <c r="M44" i="51"/>
  <c r="L44" i="51"/>
  <c r="K44" i="51"/>
  <c r="A44" i="51" s="1"/>
  <c r="O42" i="51"/>
  <c r="E42" i="51" s="1"/>
  <c r="N42" i="51"/>
  <c r="M42" i="51"/>
  <c r="L42" i="51"/>
  <c r="K42" i="51"/>
  <c r="A42" i="51" s="1"/>
  <c r="O41" i="51"/>
  <c r="E41" i="51" s="1"/>
  <c r="N41" i="51"/>
  <c r="M41" i="51"/>
  <c r="L41" i="51"/>
  <c r="K41" i="51"/>
  <c r="A41" i="51" s="1"/>
  <c r="O40" i="51"/>
  <c r="E40" i="51" s="1"/>
  <c r="N40" i="51"/>
  <c r="M40" i="51"/>
  <c r="L40" i="51"/>
  <c r="K40" i="51"/>
  <c r="A40" i="51" s="1"/>
  <c r="O39" i="51"/>
  <c r="E39" i="51" s="1"/>
  <c r="N39" i="51"/>
  <c r="M39" i="51"/>
  <c r="L39" i="51"/>
  <c r="K39" i="51"/>
  <c r="A39" i="51" s="1"/>
  <c r="O38" i="51"/>
  <c r="E38" i="51" s="1"/>
  <c r="N38" i="51"/>
  <c r="M38" i="51"/>
  <c r="L38" i="51"/>
  <c r="K38" i="51"/>
  <c r="A38" i="51" s="1"/>
  <c r="O37" i="51"/>
  <c r="E37" i="51" s="1"/>
  <c r="N37" i="51"/>
  <c r="M37" i="51"/>
  <c r="L37" i="51"/>
  <c r="K37" i="51"/>
  <c r="A37" i="51" s="1"/>
  <c r="O35" i="51"/>
  <c r="E35" i="51" s="1"/>
  <c r="N35" i="51"/>
  <c r="M35" i="51"/>
  <c r="L35" i="51"/>
  <c r="K35" i="51"/>
  <c r="A35" i="51" s="1"/>
  <c r="O34" i="51"/>
  <c r="E34" i="51" s="1"/>
  <c r="N34" i="51"/>
  <c r="M34" i="51"/>
  <c r="L34" i="51"/>
  <c r="K34" i="51"/>
  <c r="A34" i="51" s="1"/>
  <c r="O33" i="51"/>
  <c r="E33" i="51" s="1"/>
  <c r="N33" i="51"/>
  <c r="M33" i="51"/>
  <c r="L33" i="51"/>
  <c r="K33" i="51"/>
  <c r="A33" i="51" s="1"/>
  <c r="O32" i="51"/>
  <c r="E32" i="51" s="1"/>
  <c r="N32" i="51"/>
  <c r="M32" i="51"/>
  <c r="L32" i="51"/>
  <c r="K32" i="51"/>
  <c r="A32" i="51" s="1"/>
  <c r="O31" i="51"/>
  <c r="E31" i="51" s="1"/>
  <c r="N31" i="51"/>
  <c r="M31" i="51"/>
  <c r="L31" i="51"/>
  <c r="K31" i="51"/>
  <c r="A31" i="51" s="1"/>
  <c r="O30" i="51"/>
  <c r="E30" i="51" s="1"/>
  <c r="N30" i="51"/>
  <c r="M30" i="51"/>
  <c r="L30" i="51"/>
  <c r="K30" i="51"/>
  <c r="A30" i="51" s="1"/>
  <c r="O28" i="51"/>
  <c r="E28" i="51" s="1"/>
  <c r="N28" i="51"/>
  <c r="M28" i="51"/>
  <c r="L28" i="51"/>
  <c r="K28" i="51"/>
  <c r="A28" i="51" s="1"/>
  <c r="O27" i="51"/>
  <c r="E27" i="51" s="1"/>
  <c r="N27" i="51"/>
  <c r="M27" i="51"/>
  <c r="L27" i="51"/>
  <c r="K27" i="51"/>
  <c r="A27" i="51" s="1"/>
  <c r="O26" i="51"/>
  <c r="E26" i="51" s="1"/>
  <c r="N26" i="51"/>
  <c r="M26" i="51"/>
  <c r="L26" i="51"/>
  <c r="K26" i="51"/>
  <c r="A26" i="51" s="1"/>
  <c r="O25" i="51"/>
  <c r="E25" i="51" s="1"/>
  <c r="N25" i="51"/>
  <c r="M25" i="51"/>
  <c r="L25" i="51"/>
  <c r="K25" i="51"/>
  <c r="A25" i="51" s="1"/>
  <c r="O24" i="51"/>
  <c r="E24" i="51" s="1"/>
  <c r="N24" i="51"/>
  <c r="M24" i="51"/>
  <c r="L24" i="51"/>
  <c r="K24" i="51"/>
  <c r="A24" i="51" s="1"/>
  <c r="O23" i="51"/>
  <c r="E23" i="51" s="1"/>
  <c r="N23" i="51"/>
  <c r="M23" i="51"/>
  <c r="L23" i="51"/>
  <c r="K23" i="51"/>
  <c r="A23" i="51" s="1"/>
  <c r="O21" i="51"/>
  <c r="E21" i="51" s="1"/>
  <c r="N21" i="51"/>
  <c r="M21" i="51"/>
  <c r="L21" i="51"/>
  <c r="K21" i="51"/>
  <c r="A21" i="51" s="1"/>
  <c r="O20" i="51"/>
  <c r="E20" i="51" s="1"/>
  <c r="N20" i="51"/>
  <c r="M20" i="51"/>
  <c r="L20" i="51"/>
  <c r="K20" i="51"/>
  <c r="A20" i="51" s="1"/>
  <c r="O19" i="51"/>
  <c r="E19" i="51" s="1"/>
  <c r="N19" i="51"/>
  <c r="M19" i="51"/>
  <c r="L19" i="51"/>
  <c r="K19" i="51"/>
  <c r="A19" i="51" s="1"/>
  <c r="O18" i="51"/>
  <c r="E18" i="51" s="1"/>
  <c r="N18" i="51"/>
  <c r="M18" i="51"/>
  <c r="L18" i="51"/>
  <c r="K18" i="51"/>
  <c r="A18" i="51" s="1"/>
  <c r="O17" i="51"/>
  <c r="E17" i="51" s="1"/>
  <c r="N17" i="51"/>
  <c r="M17" i="51"/>
  <c r="L17" i="51"/>
  <c r="K17" i="51"/>
  <c r="A17" i="51" s="1"/>
  <c r="O16" i="51"/>
  <c r="E16" i="51" s="1"/>
  <c r="N16" i="51"/>
  <c r="M16" i="51"/>
  <c r="L16" i="51"/>
  <c r="K16" i="51"/>
  <c r="A16" i="51" s="1"/>
  <c r="O14" i="51"/>
  <c r="E14" i="51" s="1"/>
  <c r="N14" i="51"/>
  <c r="M14" i="51"/>
  <c r="L14" i="51"/>
  <c r="K14" i="51"/>
  <c r="A14" i="51" s="1"/>
  <c r="O13" i="51"/>
  <c r="E13" i="51" s="1"/>
  <c r="N13" i="51"/>
  <c r="M13" i="51"/>
  <c r="L13" i="51"/>
  <c r="K13" i="51"/>
  <c r="A13" i="51" s="1"/>
  <c r="O12" i="51"/>
  <c r="E12" i="51" s="1"/>
  <c r="N12" i="51"/>
  <c r="M12" i="51"/>
  <c r="L12" i="51"/>
  <c r="K12" i="51"/>
  <c r="A12" i="51" s="1"/>
  <c r="Q11" i="51"/>
  <c r="P10" i="31" s="1"/>
  <c r="O11" i="51"/>
  <c r="E11" i="51" s="1"/>
  <c r="N11" i="51"/>
  <c r="M11" i="51"/>
  <c r="L11" i="51"/>
  <c r="K11" i="51"/>
  <c r="A11" i="51" s="1"/>
  <c r="O10" i="51"/>
  <c r="E10" i="51" s="1"/>
  <c r="N10" i="51"/>
  <c r="M10" i="51"/>
  <c r="L10" i="51"/>
  <c r="K10" i="51"/>
  <c r="A10" i="51" s="1"/>
  <c r="O9" i="51"/>
  <c r="E9" i="51" s="1"/>
  <c r="N9" i="51"/>
  <c r="M9" i="51"/>
  <c r="L9" i="51"/>
  <c r="K9" i="51"/>
  <c r="A9" i="51" s="1"/>
  <c r="O7" i="51"/>
  <c r="E7" i="51" s="1"/>
  <c r="N7" i="51"/>
  <c r="M7" i="51"/>
  <c r="L7" i="51"/>
  <c r="K7" i="51"/>
  <c r="A7" i="51" s="1"/>
  <c r="O6" i="51"/>
  <c r="E6" i="51" s="1"/>
  <c r="N6" i="51"/>
  <c r="M6" i="51"/>
  <c r="L6" i="51"/>
  <c r="K6" i="51"/>
  <c r="A6" i="51" s="1"/>
  <c r="O5" i="51"/>
  <c r="E5" i="51" s="1"/>
  <c r="N5" i="51"/>
  <c r="M5" i="51"/>
  <c r="L5" i="51"/>
  <c r="K5" i="51"/>
  <c r="A5" i="51" s="1"/>
  <c r="O4" i="51"/>
  <c r="E4" i="51" s="1"/>
  <c r="N4" i="51"/>
  <c r="M4" i="51"/>
  <c r="L4" i="51"/>
  <c r="K4" i="51"/>
  <c r="A4" i="51" s="1"/>
  <c r="O3" i="51"/>
  <c r="E3" i="51" s="1"/>
  <c r="N3" i="51"/>
  <c r="M3" i="51"/>
  <c r="L3" i="51"/>
  <c r="K3" i="51"/>
  <c r="A3" i="51" s="1"/>
  <c r="O2" i="51"/>
  <c r="E2" i="51" s="1"/>
  <c r="N2" i="51"/>
  <c r="M2" i="51"/>
  <c r="L2" i="51"/>
  <c r="K2" i="51"/>
  <c r="A2" i="51" s="1"/>
  <c r="O79" i="50"/>
  <c r="E79" i="50" s="1"/>
  <c r="N79" i="50"/>
  <c r="M79" i="50"/>
  <c r="L79" i="50"/>
  <c r="K79" i="50"/>
  <c r="A79" i="50" s="1"/>
  <c r="A78" i="50"/>
  <c r="O77" i="50"/>
  <c r="N77" i="50"/>
  <c r="M77" i="50"/>
  <c r="L77" i="50"/>
  <c r="K77" i="50"/>
  <c r="O76" i="50"/>
  <c r="E76" i="50" s="1"/>
  <c r="N76" i="50"/>
  <c r="M76" i="50"/>
  <c r="L76" i="50"/>
  <c r="K76" i="50"/>
  <c r="A76" i="50" s="1"/>
  <c r="O75" i="50"/>
  <c r="E75" i="50" s="1"/>
  <c r="N75" i="50"/>
  <c r="M75" i="50"/>
  <c r="L75" i="50"/>
  <c r="K75" i="50"/>
  <c r="A75" i="50" s="1"/>
  <c r="A74" i="50"/>
  <c r="O73" i="50"/>
  <c r="N73" i="50"/>
  <c r="M73" i="50"/>
  <c r="L73" i="50"/>
  <c r="K73" i="50"/>
  <c r="O72" i="50"/>
  <c r="E72" i="50" s="1"/>
  <c r="N72" i="50"/>
  <c r="M72" i="50"/>
  <c r="L72" i="50"/>
  <c r="K72" i="50"/>
  <c r="A72" i="50" s="1"/>
  <c r="O71" i="50"/>
  <c r="E71" i="50" s="1"/>
  <c r="N71" i="50"/>
  <c r="M71" i="50"/>
  <c r="L71" i="50"/>
  <c r="K71" i="50"/>
  <c r="A71" i="50" s="1"/>
  <c r="O70" i="50"/>
  <c r="E70" i="50" s="1"/>
  <c r="N70" i="50"/>
  <c r="M70" i="50"/>
  <c r="L70" i="50"/>
  <c r="K70" i="50"/>
  <c r="A70" i="50" s="1"/>
  <c r="O69" i="50"/>
  <c r="E69" i="50" s="1"/>
  <c r="N69" i="50"/>
  <c r="M69" i="50"/>
  <c r="L69" i="50"/>
  <c r="K69" i="50"/>
  <c r="A69" i="50" s="1"/>
  <c r="A68" i="50"/>
  <c r="O66" i="50"/>
  <c r="E66" i="50" s="1"/>
  <c r="N66" i="50"/>
  <c r="M66" i="50"/>
  <c r="L66" i="50"/>
  <c r="K66" i="50"/>
  <c r="A66" i="50" s="1"/>
  <c r="O65" i="50"/>
  <c r="E65" i="50" s="1"/>
  <c r="N65" i="50"/>
  <c r="M65" i="50"/>
  <c r="L65" i="50"/>
  <c r="K65" i="50"/>
  <c r="A65" i="50" s="1"/>
  <c r="O64" i="50"/>
  <c r="E64" i="50" s="1"/>
  <c r="N64" i="50"/>
  <c r="M64" i="50"/>
  <c r="L64" i="50"/>
  <c r="K64" i="50"/>
  <c r="A64" i="50" s="1"/>
  <c r="O63" i="50"/>
  <c r="E63" i="50" s="1"/>
  <c r="N63" i="50"/>
  <c r="M63" i="50"/>
  <c r="L63" i="50"/>
  <c r="K63" i="50"/>
  <c r="A63" i="50" s="1"/>
  <c r="O62" i="50"/>
  <c r="E62" i="50" s="1"/>
  <c r="N62" i="50"/>
  <c r="M62" i="50"/>
  <c r="L62" i="50"/>
  <c r="K62" i="50"/>
  <c r="A62" i="50" s="1"/>
  <c r="O61" i="50"/>
  <c r="E61" i="50" s="1"/>
  <c r="N61" i="50"/>
  <c r="M61" i="50"/>
  <c r="L61" i="50"/>
  <c r="K61" i="50"/>
  <c r="A61" i="50" s="1"/>
  <c r="O60" i="50"/>
  <c r="E60" i="50" s="1"/>
  <c r="N60" i="50"/>
  <c r="M60" i="50"/>
  <c r="L60" i="50"/>
  <c r="K60" i="50"/>
  <c r="A60" i="50" s="1"/>
  <c r="O59" i="50"/>
  <c r="E59" i="50" s="1"/>
  <c r="N59" i="50"/>
  <c r="M59" i="50"/>
  <c r="L59" i="50"/>
  <c r="K59" i="50"/>
  <c r="A59" i="50" s="1"/>
  <c r="A58" i="50"/>
  <c r="O56" i="50"/>
  <c r="E56" i="50" s="1"/>
  <c r="N56" i="50"/>
  <c r="M56" i="50"/>
  <c r="L56" i="50"/>
  <c r="K56" i="50"/>
  <c r="A56" i="50" s="1"/>
  <c r="O55" i="50"/>
  <c r="E55" i="50" s="1"/>
  <c r="N55" i="50"/>
  <c r="M55" i="50"/>
  <c r="L55" i="50"/>
  <c r="K55" i="50"/>
  <c r="A55" i="50" s="1"/>
  <c r="O54" i="50"/>
  <c r="E54" i="50" s="1"/>
  <c r="N54" i="50"/>
  <c r="M54" i="50"/>
  <c r="L54" i="50"/>
  <c r="K54" i="50"/>
  <c r="A54" i="50" s="1"/>
  <c r="O53" i="50"/>
  <c r="E53" i="50" s="1"/>
  <c r="N53" i="50"/>
  <c r="M53" i="50"/>
  <c r="L53" i="50"/>
  <c r="K53" i="50"/>
  <c r="A53" i="50" s="1"/>
  <c r="O52" i="50"/>
  <c r="E52" i="50" s="1"/>
  <c r="N52" i="50"/>
  <c r="M52" i="50"/>
  <c r="L52" i="50"/>
  <c r="K52" i="50"/>
  <c r="A52" i="50" s="1"/>
  <c r="O51" i="50"/>
  <c r="E51" i="50" s="1"/>
  <c r="N51" i="50"/>
  <c r="M51" i="50"/>
  <c r="L51" i="50"/>
  <c r="K51" i="50"/>
  <c r="A51" i="50" s="1"/>
  <c r="O49" i="50"/>
  <c r="E49" i="50" s="1"/>
  <c r="N49" i="50"/>
  <c r="M49" i="50"/>
  <c r="L49" i="50"/>
  <c r="K49" i="50"/>
  <c r="A49" i="50" s="1"/>
  <c r="O48" i="50"/>
  <c r="E48" i="50" s="1"/>
  <c r="N48" i="50"/>
  <c r="M48" i="50"/>
  <c r="L48" i="50"/>
  <c r="K48" i="50"/>
  <c r="A48" i="50" s="1"/>
  <c r="O47" i="50"/>
  <c r="E47" i="50" s="1"/>
  <c r="N47" i="50"/>
  <c r="M47" i="50"/>
  <c r="L47" i="50"/>
  <c r="K47" i="50"/>
  <c r="A47" i="50" s="1"/>
  <c r="O46" i="50"/>
  <c r="E46" i="50" s="1"/>
  <c r="N46" i="50"/>
  <c r="M46" i="50"/>
  <c r="L46" i="50"/>
  <c r="K46" i="50"/>
  <c r="A46" i="50" s="1"/>
  <c r="O45" i="50"/>
  <c r="E45" i="50" s="1"/>
  <c r="N45" i="50"/>
  <c r="M45" i="50"/>
  <c r="L45" i="50"/>
  <c r="K45" i="50"/>
  <c r="A45" i="50" s="1"/>
  <c r="O44" i="50"/>
  <c r="E44" i="50" s="1"/>
  <c r="N44" i="50"/>
  <c r="M44" i="50"/>
  <c r="L44" i="50"/>
  <c r="K44" i="50"/>
  <c r="A44" i="50" s="1"/>
  <c r="O42" i="50"/>
  <c r="E42" i="50" s="1"/>
  <c r="N42" i="50"/>
  <c r="M42" i="50"/>
  <c r="L42" i="50"/>
  <c r="K42" i="50"/>
  <c r="A42" i="50" s="1"/>
  <c r="O41" i="50"/>
  <c r="E41" i="50" s="1"/>
  <c r="N41" i="50"/>
  <c r="M41" i="50"/>
  <c r="L41" i="50"/>
  <c r="K41" i="50"/>
  <c r="A41" i="50" s="1"/>
  <c r="O40" i="50"/>
  <c r="E40" i="50" s="1"/>
  <c r="N40" i="50"/>
  <c r="M40" i="50"/>
  <c r="L40" i="50"/>
  <c r="K40" i="50"/>
  <c r="A40" i="50" s="1"/>
  <c r="O39" i="50"/>
  <c r="E39" i="50" s="1"/>
  <c r="N39" i="50"/>
  <c r="M39" i="50"/>
  <c r="L39" i="50"/>
  <c r="K39" i="50"/>
  <c r="A39" i="50" s="1"/>
  <c r="O38" i="50"/>
  <c r="E38" i="50" s="1"/>
  <c r="N38" i="50"/>
  <c r="M38" i="50"/>
  <c r="L38" i="50"/>
  <c r="K38" i="50"/>
  <c r="A38" i="50" s="1"/>
  <c r="O37" i="50"/>
  <c r="E37" i="50" s="1"/>
  <c r="N37" i="50"/>
  <c r="M37" i="50"/>
  <c r="L37" i="50"/>
  <c r="K37" i="50"/>
  <c r="A37" i="50" s="1"/>
  <c r="O35" i="50"/>
  <c r="E35" i="50" s="1"/>
  <c r="N35" i="50"/>
  <c r="M35" i="50"/>
  <c r="L35" i="50"/>
  <c r="K35" i="50"/>
  <c r="A35" i="50" s="1"/>
  <c r="O34" i="50"/>
  <c r="E34" i="50" s="1"/>
  <c r="N34" i="50"/>
  <c r="M34" i="50"/>
  <c r="L34" i="50"/>
  <c r="K34" i="50"/>
  <c r="A34" i="50" s="1"/>
  <c r="O33" i="50"/>
  <c r="E33" i="50" s="1"/>
  <c r="N33" i="50"/>
  <c r="M33" i="50"/>
  <c r="L33" i="50"/>
  <c r="K33" i="50"/>
  <c r="A33" i="50" s="1"/>
  <c r="O32" i="50"/>
  <c r="E32" i="50" s="1"/>
  <c r="N32" i="50"/>
  <c r="M32" i="50"/>
  <c r="L32" i="50"/>
  <c r="K32" i="50"/>
  <c r="A32" i="50" s="1"/>
  <c r="O31" i="50"/>
  <c r="E31" i="50" s="1"/>
  <c r="N31" i="50"/>
  <c r="M31" i="50"/>
  <c r="L31" i="50"/>
  <c r="K31" i="50"/>
  <c r="A31" i="50" s="1"/>
  <c r="O30" i="50"/>
  <c r="E30" i="50" s="1"/>
  <c r="N30" i="50"/>
  <c r="M30" i="50"/>
  <c r="L30" i="50"/>
  <c r="K30" i="50"/>
  <c r="A30" i="50" s="1"/>
  <c r="O28" i="50"/>
  <c r="E28" i="50" s="1"/>
  <c r="N28" i="50"/>
  <c r="M28" i="50"/>
  <c r="L28" i="50"/>
  <c r="K28" i="50"/>
  <c r="A28" i="50" s="1"/>
  <c r="O27" i="50"/>
  <c r="E27" i="50" s="1"/>
  <c r="N27" i="50"/>
  <c r="M27" i="50"/>
  <c r="L27" i="50"/>
  <c r="K27" i="50"/>
  <c r="A27" i="50" s="1"/>
  <c r="O26" i="50"/>
  <c r="E26" i="50" s="1"/>
  <c r="N26" i="50"/>
  <c r="M26" i="50"/>
  <c r="L26" i="50"/>
  <c r="K26" i="50"/>
  <c r="A26" i="50" s="1"/>
  <c r="O25" i="50"/>
  <c r="E25" i="50" s="1"/>
  <c r="N25" i="50"/>
  <c r="M25" i="50"/>
  <c r="L25" i="50"/>
  <c r="K25" i="50"/>
  <c r="A25" i="50" s="1"/>
  <c r="O24" i="50"/>
  <c r="E24" i="50" s="1"/>
  <c r="N24" i="50"/>
  <c r="M24" i="50"/>
  <c r="L24" i="50"/>
  <c r="K24" i="50"/>
  <c r="A24" i="50" s="1"/>
  <c r="O23" i="50"/>
  <c r="E23" i="50" s="1"/>
  <c r="N23" i="50"/>
  <c r="M23" i="50"/>
  <c r="L23" i="50"/>
  <c r="K23" i="50"/>
  <c r="A23" i="50" s="1"/>
  <c r="O21" i="50"/>
  <c r="E21" i="50" s="1"/>
  <c r="N21" i="50"/>
  <c r="M21" i="50"/>
  <c r="L21" i="50"/>
  <c r="K21" i="50"/>
  <c r="A21" i="50" s="1"/>
  <c r="O20" i="50"/>
  <c r="E20" i="50" s="1"/>
  <c r="N20" i="50"/>
  <c r="M20" i="50"/>
  <c r="L20" i="50"/>
  <c r="K20" i="50"/>
  <c r="A20" i="50" s="1"/>
  <c r="O19" i="50"/>
  <c r="E19" i="50" s="1"/>
  <c r="N19" i="50"/>
  <c r="M19" i="50"/>
  <c r="L19" i="50"/>
  <c r="K19" i="50"/>
  <c r="A19" i="50" s="1"/>
  <c r="O18" i="50"/>
  <c r="E18" i="50" s="1"/>
  <c r="N18" i="50"/>
  <c r="M18" i="50"/>
  <c r="L18" i="50"/>
  <c r="K18" i="50"/>
  <c r="A18" i="50" s="1"/>
  <c r="O17" i="50"/>
  <c r="E17" i="50" s="1"/>
  <c r="N17" i="50"/>
  <c r="M17" i="50"/>
  <c r="L17" i="50"/>
  <c r="K17" i="50"/>
  <c r="A17" i="50" s="1"/>
  <c r="O16" i="50"/>
  <c r="E16" i="50" s="1"/>
  <c r="N16" i="50"/>
  <c r="M16" i="50"/>
  <c r="L16" i="50"/>
  <c r="K16" i="50"/>
  <c r="A16" i="50" s="1"/>
  <c r="O14" i="50"/>
  <c r="E14" i="50" s="1"/>
  <c r="N14" i="50"/>
  <c r="M14" i="50"/>
  <c r="L14" i="50"/>
  <c r="K14" i="50"/>
  <c r="A14" i="50" s="1"/>
  <c r="O13" i="50"/>
  <c r="E13" i="50" s="1"/>
  <c r="N13" i="50"/>
  <c r="M13" i="50"/>
  <c r="L13" i="50"/>
  <c r="K13" i="50"/>
  <c r="A13" i="50" s="1"/>
  <c r="O12" i="50"/>
  <c r="E12" i="50" s="1"/>
  <c r="N12" i="50"/>
  <c r="M12" i="50"/>
  <c r="L12" i="50"/>
  <c r="K12" i="50"/>
  <c r="A12" i="50" s="1"/>
  <c r="Q11" i="50"/>
  <c r="P11" i="31" s="1"/>
  <c r="O11" i="50"/>
  <c r="E11" i="50" s="1"/>
  <c r="N11" i="50"/>
  <c r="M11" i="50"/>
  <c r="L11" i="50"/>
  <c r="K11" i="50"/>
  <c r="A11" i="50" s="1"/>
  <c r="O10" i="50"/>
  <c r="E10" i="50" s="1"/>
  <c r="N10" i="50"/>
  <c r="M10" i="50"/>
  <c r="L10" i="50"/>
  <c r="K10" i="50"/>
  <c r="A10" i="50" s="1"/>
  <c r="O9" i="50"/>
  <c r="E9" i="50" s="1"/>
  <c r="N9" i="50"/>
  <c r="M9" i="50"/>
  <c r="L9" i="50"/>
  <c r="K9" i="50"/>
  <c r="A9" i="50" s="1"/>
  <c r="O7" i="50"/>
  <c r="E7" i="50" s="1"/>
  <c r="N7" i="50"/>
  <c r="M7" i="50"/>
  <c r="L7" i="50"/>
  <c r="K7" i="50"/>
  <c r="A7" i="50" s="1"/>
  <c r="O6" i="50"/>
  <c r="E6" i="50" s="1"/>
  <c r="N6" i="50"/>
  <c r="M6" i="50"/>
  <c r="L6" i="50"/>
  <c r="K6" i="50"/>
  <c r="A6" i="50" s="1"/>
  <c r="O5" i="50"/>
  <c r="E5" i="50" s="1"/>
  <c r="N5" i="50"/>
  <c r="M5" i="50"/>
  <c r="L5" i="50"/>
  <c r="K5" i="50"/>
  <c r="A5" i="50" s="1"/>
  <c r="O4" i="50"/>
  <c r="E4" i="50" s="1"/>
  <c r="N4" i="50"/>
  <c r="M4" i="50"/>
  <c r="L4" i="50"/>
  <c r="K4" i="50"/>
  <c r="A4" i="50" s="1"/>
  <c r="O3" i="50"/>
  <c r="E3" i="50" s="1"/>
  <c r="N3" i="50"/>
  <c r="M3" i="50"/>
  <c r="L3" i="50"/>
  <c r="K3" i="50"/>
  <c r="A3" i="50" s="1"/>
  <c r="O2" i="50"/>
  <c r="E2" i="50" s="1"/>
  <c r="N2" i="50"/>
  <c r="M2" i="50"/>
  <c r="L2" i="50"/>
  <c r="K2" i="50"/>
  <c r="A2" i="50" s="1"/>
  <c r="O79" i="49"/>
  <c r="E79" i="49" s="1"/>
  <c r="N79" i="49"/>
  <c r="M79" i="49"/>
  <c r="L79" i="49"/>
  <c r="K79" i="49"/>
  <c r="A79" i="49" s="1"/>
  <c r="A78" i="49"/>
  <c r="O77" i="49"/>
  <c r="N77" i="49"/>
  <c r="M77" i="49"/>
  <c r="L77" i="49"/>
  <c r="K77" i="49"/>
  <c r="O76" i="49"/>
  <c r="E76" i="49" s="1"/>
  <c r="N76" i="49"/>
  <c r="M76" i="49"/>
  <c r="L76" i="49"/>
  <c r="K76" i="49"/>
  <c r="A76" i="49" s="1"/>
  <c r="O75" i="49"/>
  <c r="E75" i="49" s="1"/>
  <c r="N75" i="49"/>
  <c r="M75" i="49"/>
  <c r="L75" i="49"/>
  <c r="K75" i="49"/>
  <c r="A75" i="49" s="1"/>
  <c r="A74" i="49"/>
  <c r="O73" i="49"/>
  <c r="N73" i="49"/>
  <c r="M73" i="49"/>
  <c r="L73" i="49"/>
  <c r="K73" i="49"/>
  <c r="O72" i="49"/>
  <c r="E72" i="49" s="1"/>
  <c r="N72" i="49"/>
  <c r="M72" i="49"/>
  <c r="L72" i="49"/>
  <c r="K72" i="49"/>
  <c r="A72" i="49" s="1"/>
  <c r="O71" i="49"/>
  <c r="E71" i="49" s="1"/>
  <c r="N71" i="49"/>
  <c r="M71" i="49"/>
  <c r="L71" i="49"/>
  <c r="K71" i="49"/>
  <c r="A71" i="49" s="1"/>
  <c r="O70" i="49"/>
  <c r="E70" i="49" s="1"/>
  <c r="N70" i="49"/>
  <c r="M70" i="49"/>
  <c r="L70" i="49"/>
  <c r="K70" i="49"/>
  <c r="A70" i="49" s="1"/>
  <c r="O69" i="49"/>
  <c r="E69" i="49" s="1"/>
  <c r="N69" i="49"/>
  <c r="M69" i="49"/>
  <c r="L69" i="49"/>
  <c r="K69" i="49"/>
  <c r="A69" i="49" s="1"/>
  <c r="A68" i="49"/>
  <c r="O66" i="49"/>
  <c r="E66" i="49" s="1"/>
  <c r="N66" i="49"/>
  <c r="M66" i="49"/>
  <c r="L66" i="49"/>
  <c r="K66" i="49"/>
  <c r="A66" i="49" s="1"/>
  <c r="O65" i="49"/>
  <c r="E65" i="49" s="1"/>
  <c r="N65" i="49"/>
  <c r="M65" i="49"/>
  <c r="L65" i="49"/>
  <c r="K65" i="49"/>
  <c r="A65" i="49" s="1"/>
  <c r="O64" i="49"/>
  <c r="E64" i="49" s="1"/>
  <c r="N64" i="49"/>
  <c r="M64" i="49"/>
  <c r="L64" i="49"/>
  <c r="K64" i="49"/>
  <c r="A64" i="49" s="1"/>
  <c r="O63" i="49"/>
  <c r="E63" i="49" s="1"/>
  <c r="N63" i="49"/>
  <c r="M63" i="49"/>
  <c r="L63" i="49"/>
  <c r="K63" i="49"/>
  <c r="A63" i="49" s="1"/>
  <c r="O62" i="49"/>
  <c r="E62" i="49" s="1"/>
  <c r="N62" i="49"/>
  <c r="M62" i="49"/>
  <c r="L62" i="49"/>
  <c r="K62" i="49"/>
  <c r="A62" i="49" s="1"/>
  <c r="O61" i="49"/>
  <c r="E61" i="49" s="1"/>
  <c r="N61" i="49"/>
  <c r="M61" i="49"/>
  <c r="L61" i="49"/>
  <c r="K61" i="49"/>
  <c r="A61" i="49" s="1"/>
  <c r="O60" i="49"/>
  <c r="E60" i="49" s="1"/>
  <c r="N60" i="49"/>
  <c r="M60" i="49"/>
  <c r="L60" i="49"/>
  <c r="K60" i="49"/>
  <c r="A60" i="49" s="1"/>
  <c r="O59" i="49"/>
  <c r="E59" i="49" s="1"/>
  <c r="N59" i="49"/>
  <c r="M59" i="49"/>
  <c r="L59" i="49"/>
  <c r="K59" i="49"/>
  <c r="A59" i="49" s="1"/>
  <c r="A58" i="49"/>
  <c r="O56" i="49"/>
  <c r="E56" i="49" s="1"/>
  <c r="N56" i="49"/>
  <c r="M56" i="49"/>
  <c r="L56" i="49"/>
  <c r="K56" i="49"/>
  <c r="A56" i="49" s="1"/>
  <c r="O55" i="49"/>
  <c r="E55" i="49" s="1"/>
  <c r="N55" i="49"/>
  <c r="M55" i="49"/>
  <c r="L55" i="49"/>
  <c r="K55" i="49"/>
  <c r="A55" i="49" s="1"/>
  <c r="O54" i="49"/>
  <c r="E54" i="49" s="1"/>
  <c r="N54" i="49"/>
  <c r="M54" i="49"/>
  <c r="L54" i="49"/>
  <c r="K54" i="49"/>
  <c r="A54" i="49" s="1"/>
  <c r="O53" i="49"/>
  <c r="E53" i="49" s="1"/>
  <c r="N53" i="49"/>
  <c r="M53" i="49"/>
  <c r="L53" i="49"/>
  <c r="K53" i="49"/>
  <c r="A53" i="49" s="1"/>
  <c r="O52" i="49"/>
  <c r="E52" i="49" s="1"/>
  <c r="N52" i="49"/>
  <c r="M52" i="49"/>
  <c r="L52" i="49"/>
  <c r="K52" i="49"/>
  <c r="A52" i="49" s="1"/>
  <c r="O51" i="49"/>
  <c r="E51" i="49" s="1"/>
  <c r="N51" i="49"/>
  <c r="M51" i="49"/>
  <c r="L51" i="49"/>
  <c r="K51" i="49"/>
  <c r="A51" i="49" s="1"/>
  <c r="O49" i="49"/>
  <c r="E49" i="49" s="1"/>
  <c r="N49" i="49"/>
  <c r="M49" i="49"/>
  <c r="L49" i="49"/>
  <c r="K49" i="49"/>
  <c r="A49" i="49" s="1"/>
  <c r="O48" i="49"/>
  <c r="E48" i="49" s="1"/>
  <c r="N48" i="49"/>
  <c r="M48" i="49"/>
  <c r="L48" i="49"/>
  <c r="K48" i="49"/>
  <c r="A48" i="49" s="1"/>
  <c r="O47" i="49"/>
  <c r="E47" i="49" s="1"/>
  <c r="N47" i="49"/>
  <c r="M47" i="49"/>
  <c r="L47" i="49"/>
  <c r="K47" i="49"/>
  <c r="A47" i="49" s="1"/>
  <c r="O46" i="49"/>
  <c r="E46" i="49" s="1"/>
  <c r="N46" i="49"/>
  <c r="M46" i="49"/>
  <c r="L46" i="49"/>
  <c r="K46" i="49"/>
  <c r="A46" i="49" s="1"/>
  <c r="O45" i="49"/>
  <c r="E45" i="49" s="1"/>
  <c r="N45" i="49"/>
  <c r="M45" i="49"/>
  <c r="L45" i="49"/>
  <c r="K45" i="49"/>
  <c r="A45" i="49" s="1"/>
  <c r="O44" i="49"/>
  <c r="E44" i="49" s="1"/>
  <c r="N44" i="49"/>
  <c r="M44" i="49"/>
  <c r="L44" i="49"/>
  <c r="K44" i="49"/>
  <c r="A44" i="49" s="1"/>
  <c r="O42" i="49"/>
  <c r="E42" i="49" s="1"/>
  <c r="N42" i="49"/>
  <c r="M42" i="49"/>
  <c r="L42" i="49"/>
  <c r="K42" i="49"/>
  <c r="A42" i="49" s="1"/>
  <c r="O41" i="49"/>
  <c r="E41" i="49" s="1"/>
  <c r="N41" i="49"/>
  <c r="M41" i="49"/>
  <c r="L41" i="49"/>
  <c r="K41" i="49"/>
  <c r="A41" i="49" s="1"/>
  <c r="O40" i="49"/>
  <c r="E40" i="49" s="1"/>
  <c r="N40" i="49"/>
  <c r="M40" i="49"/>
  <c r="L40" i="49"/>
  <c r="K40" i="49"/>
  <c r="A40" i="49" s="1"/>
  <c r="O39" i="49"/>
  <c r="E39" i="49" s="1"/>
  <c r="N39" i="49"/>
  <c r="M39" i="49"/>
  <c r="L39" i="49"/>
  <c r="K39" i="49"/>
  <c r="A39" i="49" s="1"/>
  <c r="O38" i="49"/>
  <c r="E38" i="49" s="1"/>
  <c r="N38" i="49"/>
  <c r="M38" i="49"/>
  <c r="L38" i="49"/>
  <c r="K38" i="49"/>
  <c r="A38" i="49" s="1"/>
  <c r="O37" i="49"/>
  <c r="E37" i="49" s="1"/>
  <c r="N37" i="49"/>
  <c r="M37" i="49"/>
  <c r="L37" i="49"/>
  <c r="K37" i="49"/>
  <c r="A37" i="49" s="1"/>
  <c r="O35" i="49"/>
  <c r="E35" i="49" s="1"/>
  <c r="N35" i="49"/>
  <c r="M35" i="49"/>
  <c r="L35" i="49"/>
  <c r="K35" i="49"/>
  <c r="A35" i="49" s="1"/>
  <c r="O34" i="49"/>
  <c r="E34" i="49" s="1"/>
  <c r="N34" i="49"/>
  <c r="M34" i="49"/>
  <c r="L34" i="49"/>
  <c r="K34" i="49"/>
  <c r="A34" i="49" s="1"/>
  <c r="O33" i="49"/>
  <c r="E33" i="49" s="1"/>
  <c r="N33" i="49"/>
  <c r="M33" i="49"/>
  <c r="L33" i="49"/>
  <c r="K33" i="49"/>
  <c r="A33" i="49" s="1"/>
  <c r="O32" i="49"/>
  <c r="E32" i="49" s="1"/>
  <c r="N32" i="49"/>
  <c r="M32" i="49"/>
  <c r="L32" i="49"/>
  <c r="K32" i="49"/>
  <c r="A32" i="49" s="1"/>
  <c r="O31" i="49"/>
  <c r="E31" i="49" s="1"/>
  <c r="N31" i="49"/>
  <c r="M31" i="49"/>
  <c r="L31" i="49"/>
  <c r="K31" i="49"/>
  <c r="A31" i="49" s="1"/>
  <c r="O30" i="49"/>
  <c r="E30" i="49" s="1"/>
  <c r="N30" i="49"/>
  <c r="M30" i="49"/>
  <c r="L30" i="49"/>
  <c r="K30" i="49"/>
  <c r="A30" i="49" s="1"/>
  <c r="O28" i="49"/>
  <c r="E28" i="49" s="1"/>
  <c r="N28" i="49"/>
  <c r="M28" i="49"/>
  <c r="L28" i="49"/>
  <c r="K28" i="49"/>
  <c r="A28" i="49" s="1"/>
  <c r="O27" i="49"/>
  <c r="E27" i="49" s="1"/>
  <c r="N27" i="49"/>
  <c r="M27" i="49"/>
  <c r="L27" i="49"/>
  <c r="K27" i="49"/>
  <c r="A27" i="49" s="1"/>
  <c r="O26" i="49"/>
  <c r="E26" i="49" s="1"/>
  <c r="N26" i="49"/>
  <c r="M26" i="49"/>
  <c r="L26" i="49"/>
  <c r="K26" i="49"/>
  <c r="A26" i="49" s="1"/>
  <c r="O25" i="49"/>
  <c r="E25" i="49" s="1"/>
  <c r="N25" i="49"/>
  <c r="M25" i="49"/>
  <c r="L25" i="49"/>
  <c r="K25" i="49"/>
  <c r="A25" i="49" s="1"/>
  <c r="O24" i="49"/>
  <c r="E24" i="49" s="1"/>
  <c r="N24" i="49"/>
  <c r="M24" i="49"/>
  <c r="L24" i="49"/>
  <c r="K24" i="49"/>
  <c r="A24" i="49" s="1"/>
  <c r="O23" i="49"/>
  <c r="E23" i="49" s="1"/>
  <c r="N23" i="49"/>
  <c r="M23" i="49"/>
  <c r="L23" i="49"/>
  <c r="K23" i="49"/>
  <c r="A23" i="49" s="1"/>
  <c r="O21" i="49"/>
  <c r="E21" i="49" s="1"/>
  <c r="N21" i="49"/>
  <c r="M21" i="49"/>
  <c r="L21" i="49"/>
  <c r="K21" i="49"/>
  <c r="A21" i="49" s="1"/>
  <c r="O20" i="49"/>
  <c r="E20" i="49" s="1"/>
  <c r="N20" i="49"/>
  <c r="M20" i="49"/>
  <c r="L20" i="49"/>
  <c r="K20" i="49"/>
  <c r="A20" i="49" s="1"/>
  <c r="O19" i="49"/>
  <c r="E19" i="49" s="1"/>
  <c r="N19" i="49"/>
  <c r="M19" i="49"/>
  <c r="L19" i="49"/>
  <c r="K19" i="49"/>
  <c r="A19" i="49" s="1"/>
  <c r="O18" i="49"/>
  <c r="E18" i="49" s="1"/>
  <c r="N18" i="49"/>
  <c r="M18" i="49"/>
  <c r="L18" i="49"/>
  <c r="K18" i="49"/>
  <c r="A18" i="49" s="1"/>
  <c r="O17" i="49"/>
  <c r="E17" i="49" s="1"/>
  <c r="N17" i="49"/>
  <c r="M17" i="49"/>
  <c r="L17" i="49"/>
  <c r="K17" i="49"/>
  <c r="A17" i="49" s="1"/>
  <c r="O16" i="49"/>
  <c r="E16" i="49" s="1"/>
  <c r="N16" i="49"/>
  <c r="M16" i="49"/>
  <c r="L16" i="49"/>
  <c r="K16" i="49"/>
  <c r="A16" i="49" s="1"/>
  <c r="O14" i="49"/>
  <c r="E14" i="49" s="1"/>
  <c r="N14" i="49"/>
  <c r="M14" i="49"/>
  <c r="L14" i="49"/>
  <c r="K14" i="49"/>
  <c r="A14" i="49" s="1"/>
  <c r="O13" i="49"/>
  <c r="E13" i="49" s="1"/>
  <c r="N13" i="49"/>
  <c r="M13" i="49"/>
  <c r="L13" i="49"/>
  <c r="K13" i="49"/>
  <c r="A13" i="49" s="1"/>
  <c r="O12" i="49"/>
  <c r="E12" i="49" s="1"/>
  <c r="N12" i="49"/>
  <c r="M12" i="49"/>
  <c r="L12" i="49"/>
  <c r="K12" i="49"/>
  <c r="A12" i="49" s="1"/>
  <c r="Q11" i="49"/>
  <c r="P16" i="31" s="1"/>
  <c r="O11" i="49"/>
  <c r="E11" i="49" s="1"/>
  <c r="N11" i="49"/>
  <c r="M11" i="49"/>
  <c r="L11" i="49"/>
  <c r="K11" i="49"/>
  <c r="A11" i="49" s="1"/>
  <c r="O10" i="49"/>
  <c r="E10" i="49" s="1"/>
  <c r="N10" i="49"/>
  <c r="M10" i="49"/>
  <c r="L10" i="49"/>
  <c r="K10" i="49"/>
  <c r="A10" i="49" s="1"/>
  <c r="O9" i="49"/>
  <c r="E9" i="49" s="1"/>
  <c r="N9" i="49"/>
  <c r="M9" i="49"/>
  <c r="L9" i="49"/>
  <c r="K9" i="49"/>
  <c r="A9" i="49" s="1"/>
  <c r="O7" i="49"/>
  <c r="E7" i="49" s="1"/>
  <c r="N7" i="49"/>
  <c r="M7" i="49"/>
  <c r="L7" i="49"/>
  <c r="K7" i="49"/>
  <c r="A7" i="49" s="1"/>
  <c r="O6" i="49"/>
  <c r="E6" i="49" s="1"/>
  <c r="N6" i="49"/>
  <c r="M6" i="49"/>
  <c r="L6" i="49"/>
  <c r="K6" i="49"/>
  <c r="A6" i="49" s="1"/>
  <c r="O5" i="49"/>
  <c r="E5" i="49" s="1"/>
  <c r="N5" i="49"/>
  <c r="M5" i="49"/>
  <c r="L5" i="49"/>
  <c r="K5" i="49"/>
  <c r="A5" i="49" s="1"/>
  <c r="O4" i="49"/>
  <c r="E4" i="49" s="1"/>
  <c r="N4" i="49"/>
  <c r="M4" i="49"/>
  <c r="L4" i="49"/>
  <c r="K4" i="49"/>
  <c r="A4" i="49" s="1"/>
  <c r="O3" i="49"/>
  <c r="E3" i="49" s="1"/>
  <c r="N3" i="49"/>
  <c r="M3" i="49"/>
  <c r="L3" i="49"/>
  <c r="K3" i="49"/>
  <c r="A3" i="49" s="1"/>
  <c r="O2" i="49"/>
  <c r="E2" i="49" s="1"/>
  <c r="N2" i="49"/>
  <c r="M2" i="49"/>
  <c r="L2" i="49"/>
  <c r="K2" i="49"/>
  <c r="A2" i="49" s="1"/>
  <c r="O79" i="48"/>
  <c r="E79" i="48" s="1"/>
  <c r="N79" i="48"/>
  <c r="M79" i="48"/>
  <c r="L79" i="48"/>
  <c r="K79" i="48"/>
  <c r="A79" i="48" s="1"/>
  <c r="A78" i="48"/>
  <c r="O77" i="48"/>
  <c r="N77" i="48"/>
  <c r="M77" i="48"/>
  <c r="L77" i="48"/>
  <c r="K77" i="48"/>
  <c r="O76" i="48"/>
  <c r="E76" i="48" s="1"/>
  <c r="N76" i="48"/>
  <c r="M76" i="48"/>
  <c r="L76" i="48"/>
  <c r="K76" i="48"/>
  <c r="A76" i="48" s="1"/>
  <c r="O75" i="48"/>
  <c r="E75" i="48" s="1"/>
  <c r="N75" i="48"/>
  <c r="M75" i="48"/>
  <c r="L75" i="48"/>
  <c r="K75" i="48"/>
  <c r="A75" i="48" s="1"/>
  <c r="A74" i="48"/>
  <c r="O73" i="48"/>
  <c r="N73" i="48"/>
  <c r="M73" i="48"/>
  <c r="L73" i="48"/>
  <c r="K73" i="48"/>
  <c r="O72" i="48"/>
  <c r="E72" i="48" s="1"/>
  <c r="N72" i="48"/>
  <c r="M72" i="48"/>
  <c r="L72" i="48"/>
  <c r="K72" i="48"/>
  <c r="A72" i="48" s="1"/>
  <c r="O71" i="48"/>
  <c r="E71" i="48" s="1"/>
  <c r="N71" i="48"/>
  <c r="M71" i="48"/>
  <c r="L71" i="48"/>
  <c r="K71" i="48"/>
  <c r="A71" i="48" s="1"/>
  <c r="O70" i="48"/>
  <c r="E70" i="48" s="1"/>
  <c r="N70" i="48"/>
  <c r="M70" i="48"/>
  <c r="L70" i="48"/>
  <c r="K70" i="48"/>
  <c r="A70" i="48" s="1"/>
  <c r="O69" i="48"/>
  <c r="E69" i="48" s="1"/>
  <c r="N69" i="48"/>
  <c r="M69" i="48"/>
  <c r="L69" i="48"/>
  <c r="K69" i="48"/>
  <c r="A69" i="48" s="1"/>
  <c r="A68" i="48"/>
  <c r="O66" i="48"/>
  <c r="E66" i="48" s="1"/>
  <c r="N66" i="48"/>
  <c r="M66" i="48"/>
  <c r="L66" i="48"/>
  <c r="K66" i="48"/>
  <c r="A66" i="48" s="1"/>
  <c r="O65" i="48"/>
  <c r="E65" i="48" s="1"/>
  <c r="N65" i="48"/>
  <c r="M65" i="48"/>
  <c r="L65" i="48"/>
  <c r="K65" i="48"/>
  <c r="A65" i="48" s="1"/>
  <c r="O64" i="48"/>
  <c r="E64" i="48" s="1"/>
  <c r="N64" i="48"/>
  <c r="M64" i="48"/>
  <c r="L64" i="48"/>
  <c r="K64" i="48"/>
  <c r="A64" i="48" s="1"/>
  <c r="O63" i="48"/>
  <c r="E63" i="48" s="1"/>
  <c r="N63" i="48"/>
  <c r="M63" i="48"/>
  <c r="L63" i="48"/>
  <c r="K63" i="48"/>
  <c r="A63" i="48" s="1"/>
  <c r="O62" i="48"/>
  <c r="E62" i="48" s="1"/>
  <c r="N62" i="48"/>
  <c r="M62" i="48"/>
  <c r="L62" i="48"/>
  <c r="K62" i="48"/>
  <c r="A62" i="48" s="1"/>
  <c r="O61" i="48"/>
  <c r="E61" i="48" s="1"/>
  <c r="N61" i="48"/>
  <c r="M61" i="48"/>
  <c r="L61" i="48"/>
  <c r="K61" i="48"/>
  <c r="A61" i="48" s="1"/>
  <c r="O60" i="48"/>
  <c r="E60" i="48" s="1"/>
  <c r="N60" i="48"/>
  <c r="M60" i="48"/>
  <c r="L60" i="48"/>
  <c r="K60" i="48"/>
  <c r="A60" i="48" s="1"/>
  <c r="O59" i="48"/>
  <c r="E59" i="48" s="1"/>
  <c r="N59" i="48"/>
  <c r="M59" i="48"/>
  <c r="L59" i="48"/>
  <c r="K59" i="48"/>
  <c r="A59" i="48" s="1"/>
  <c r="A58" i="48"/>
  <c r="O56" i="48"/>
  <c r="E56" i="48" s="1"/>
  <c r="N56" i="48"/>
  <c r="M56" i="48"/>
  <c r="L56" i="48"/>
  <c r="K56" i="48"/>
  <c r="A56" i="48" s="1"/>
  <c r="O55" i="48"/>
  <c r="E55" i="48" s="1"/>
  <c r="N55" i="48"/>
  <c r="M55" i="48"/>
  <c r="L55" i="48"/>
  <c r="K55" i="48"/>
  <c r="A55" i="48" s="1"/>
  <c r="O54" i="48"/>
  <c r="E54" i="48" s="1"/>
  <c r="N54" i="48"/>
  <c r="M54" i="48"/>
  <c r="L54" i="48"/>
  <c r="K54" i="48"/>
  <c r="A54" i="48" s="1"/>
  <c r="O53" i="48"/>
  <c r="E53" i="48" s="1"/>
  <c r="N53" i="48"/>
  <c r="M53" i="48"/>
  <c r="L53" i="48"/>
  <c r="K53" i="48"/>
  <c r="A53" i="48" s="1"/>
  <c r="O52" i="48"/>
  <c r="E52" i="48" s="1"/>
  <c r="N52" i="48"/>
  <c r="M52" i="48"/>
  <c r="L52" i="48"/>
  <c r="K52" i="48"/>
  <c r="A52" i="48" s="1"/>
  <c r="O51" i="48"/>
  <c r="E51" i="48" s="1"/>
  <c r="N51" i="48"/>
  <c r="M51" i="48"/>
  <c r="L51" i="48"/>
  <c r="K51" i="48"/>
  <c r="A51" i="48" s="1"/>
  <c r="O49" i="48"/>
  <c r="E49" i="48" s="1"/>
  <c r="N49" i="48"/>
  <c r="M49" i="48"/>
  <c r="L49" i="48"/>
  <c r="K49" i="48"/>
  <c r="A49" i="48" s="1"/>
  <c r="O48" i="48"/>
  <c r="E48" i="48" s="1"/>
  <c r="N48" i="48"/>
  <c r="M48" i="48"/>
  <c r="L48" i="48"/>
  <c r="K48" i="48"/>
  <c r="A48" i="48" s="1"/>
  <c r="O47" i="48"/>
  <c r="E47" i="48" s="1"/>
  <c r="N47" i="48"/>
  <c r="M47" i="48"/>
  <c r="L47" i="48"/>
  <c r="K47" i="48"/>
  <c r="A47" i="48" s="1"/>
  <c r="O46" i="48"/>
  <c r="E46" i="48" s="1"/>
  <c r="N46" i="48"/>
  <c r="M46" i="48"/>
  <c r="L46" i="48"/>
  <c r="K46" i="48"/>
  <c r="A46" i="48" s="1"/>
  <c r="O45" i="48"/>
  <c r="E45" i="48" s="1"/>
  <c r="N45" i="48"/>
  <c r="M45" i="48"/>
  <c r="L45" i="48"/>
  <c r="K45" i="48"/>
  <c r="A45" i="48" s="1"/>
  <c r="O44" i="48"/>
  <c r="E44" i="48" s="1"/>
  <c r="N44" i="48"/>
  <c r="M44" i="48"/>
  <c r="L44" i="48"/>
  <c r="K44" i="48"/>
  <c r="A44" i="48" s="1"/>
  <c r="O42" i="48"/>
  <c r="E42" i="48" s="1"/>
  <c r="N42" i="48"/>
  <c r="M42" i="48"/>
  <c r="L42" i="48"/>
  <c r="K42" i="48"/>
  <c r="A42" i="48" s="1"/>
  <c r="O41" i="48"/>
  <c r="E41" i="48" s="1"/>
  <c r="N41" i="48"/>
  <c r="M41" i="48"/>
  <c r="L41" i="48"/>
  <c r="K41" i="48"/>
  <c r="A41" i="48" s="1"/>
  <c r="O40" i="48"/>
  <c r="E40" i="48" s="1"/>
  <c r="N40" i="48"/>
  <c r="M40" i="48"/>
  <c r="L40" i="48"/>
  <c r="K40" i="48"/>
  <c r="A40" i="48" s="1"/>
  <c r="O39" i="48"/>
  <c r="E39" i="48" s="1"/>
  <c r="N39" i="48"/>
  <c r="M39" i="48"/>
  <c r="L39" i="48"/>
  <c r="K39" i="48"/>
  <c r="A39" i="48" s="1"/>
  <c r="O38" i="48"/>
  <c r="E38" i="48" s="1"/>
  <c r="N38" i="48"/>
  <c r="M38" i="48"/>
  <c r="L38" i="48"/>
  <c r="K38" i="48"/>
  <c r="A38" i="48" s="1"/>
  <c r="O37" i="48"/>
  <c r="E37" i="48" s="1"/>
  <c r="N37" i="48"/>
  <c r="M37" i="48"/>
  <c r="L37" i="48"/>
  <c r="K37" i="48"/>
  <c r="A37" i="48" s="1"/>
  <c r="O35" i="48"/>
  <c r="E35" i="48" s="1"/>
  <c r="N35" i="48"/>
  <c r="M35" i="48"/>
  <c r="L35" i="48"/>
  <c r="K35" i="48"/>
  <c r="A35" i="48" s="1"/>
  <c r="O34" i="48"/>
  <c r="E34" i="48" s="1"/>
  <c r="N34" i="48"/>
  <c r="M34" i="48"/>
  <c r="L34" i="48"/>
  <c r="K34" i="48"/>
  <c r="A34" i="48" s="1"/>
  <c r="O33" i="48"/>
  <c r="E33" i="48" s="1"/>
  <c r="N33" i="48"/>
  <c r="M33" i="48"/>
  <c r="L33" i="48"/>
  <c r="K33" i="48"/>
  <c r="A33" i="48" s="1"/>
  <c r="O32" i="48"/>
  <c r="E32" i="48" s="1"/>
  <c r="N32" i="48"/>
  <c r="M32" i="48"/>
  <c r="L32" i="48"/>
  <c r="K32" i="48"/>
  <c r="A32" i="48" s="1"/>
  <c r="O31" i="48"/>
  <c r="E31" i="48" s="1"/>
  <c r="N31" i="48"/>
  <c r="M31" i="48"/>
  <c r="L31" i="48"/>
  <c r="K31" i="48"/>
  <c r="A31" i="48" s="1"/>
  <c r="O30" i="48"/>
  <c r="E30" i="48" s="1"/>
  <c r="N30" i="48"/>
  <c r="M30" i="48"/>
  <c r="L30" i="48"/>
  <c r="K30" i="48"/>
  <c r="A30" i="48" s="1"/>
  <c r="O28" i="48"/>
  <c r="E28" i="48" s="1"/>
  <c r="N28" i="48"/>
  <c r="M28" i="48"/>
  <c r="L28" i="48"/>
  <c r="K28" i="48"/>
  <c r="A28" i="48" s="1"/>
  <c r="O27" i="48"/>
  <c r="E27" i="48" s="1"/>
  <c r="N27" i="48"/>
  <c r="M27" i="48"/>
  <c r="L27" i="48"/>
  <c r="K27" i="48"/>
  <c r="A27" i="48" s="1"/>
  <c r="O26" i="48"/>
  <c r="E26" i="48" s="1"/>
  <c r="N26" i="48"/>
  <c r="M26" i="48"/>
  <c r="L26" i="48"/>
  <c r="K26" i="48"/>
  <c r="A26" i="48" s="1"/>
  <c r="O25" i="48"/>
  <c r="E25" i="48" s="1"/>
  <c r="N25" i="48"/>
  <c r="M25" i="48"/>
  <c r="L25" i="48"/>
  <c r="K25" i="48"/>
  <c r="A25" i="48" s="1"/>
  <c r="O24" i="48"/>
  <c r="E24" i="48" s="1"/>
  <c r="N24" i="48"/>
  <c r="M24" i="48"/>
  <c r="L24" i="48"/>
  <c r="K24" i="48"/>
  <c r="A24" i="48" s="1"/>
  <c r="O23" i="48"/>
  <c r="E23" i="48" s="1"/>
  <c r="N23" i="48"/>
  <c r="M23" i="48"/>
  <c r="L23" i="48"/>
  <c r="K23" i="48"/>
  <c r="A23" i="48" s="1"/>
  <c r="O21" i="48"/>
  <c r="E21" i="48" s="1"/>
  <c r="N21" i="48"/>
  <c r="M21" i="48"/>
  <c r="L21" i="48"/>
  <c r="K21" i="48"/>
  <c r="A21" i="48" s="1"/>
  <c r="O20" i="48"/>
  <c r="E20" i="48" s="1"/>
  <c r="N20" i="48"/>
  <c r="M20" i="48"/>
  <c r="L20" i="48"/>
  <c r="K20" i="48"/>
  <c r="A20" i="48" s="1"/>
  <c r="O19" i="48"/>
  <c r="E19" i="48" s="1"/>
  <c r="N19" i="48"/>
  <c r="M19" i="48"/>
  <c r="L19" i="48"/>
  <c r="K19" i="48"/>
  <c r="A19" i="48" s="1"/>
  <c r="O18" i="48"/>
  <c r="E18" i="48" s="1"/>
  <c r="N18" i="48"/>
  <c r="M18" i="48"/>
  <c r="L18" i="48"/>
  <c r="K18" i="48"/>
  <c r="A18" i="48" s="1"/>
  <c r="O17" i="48"/>
  <c r="E17" i="48" s="1"/>
  <c r="N17" i="48"/>
  <c r="M17" i="48"/>
  <c r="L17" i="48"/>
  <c r="K17" i="48"/>
  <c r="A17" i="48" s="1"/>
  <c r="O16" i="48"/>
  <c r="E16" i="48" s="1"/>
  <c r="N16" i="48"/>
  <c r="M16" i="48"/>
  <c r="L16" i="48"/>
  <c r="K16" i="48"/>
  <c r="A16" i="48" s="1"/>
  <c r="O14" i="48"/>
  <c r="E14" i="48" s="1"/>
  <c r="N14" i="48"/>
  <c r="M14" i="48"/>
  <c r="L14" i="48"/>
  <c r="K14" i="48"/>
  <c r="A14" i="48" s="1"/>
  <c r="O13" i="48"/>
  <c r="E13" i="48" s="1"/>
  <c r="N13" i="48"/>
  <c r="M13" i="48"/>
  <c r="L13" i="48"/>
  <c r="K13" i="48"/>
  <c r="A13" i="48" s="1"/>
  <c r="O12" i="48"/>
  <c r="E12" i="48" s="1"/>
  <c r="N12" i="48"/>
  <c r="M12" i="48"/>
  <c r="L12" i="48"/>
  <c r="K12" i="48"/>
  <c r="A12" i="48" s="1"/>
  <c r="Q11" i="48"/>
  <c r="P7" i="31" s="1"/>
  <c r="O11" i="48"/>
  <c r="E11" i="48" s="1"/>
  <c r="N11" i="48"/>
  <c r="M11" i="48"/>
  <c r="L11" i="48"/>
  <c r="K11" i="48"/>
  <c r="A11" i="48" s="1"/>
  <c r="O10" i="48"/>
  <c r="E10" i="48" s="1"/>
  <c r="N10" i="48"/>
  <c r="M10" i="48"/>
  <c r="L10" i="48"/>
  <c r="K10" i="48"/>
  <c r="A10" i="48" s="1"/>
  <c r="O9" i="48"/>
  <c r="E9" i="48" s="1"/>
  <c r="N9" i="48"/>
  <c r="M9" i="48"/>
  <c r="L9" i="48"/>
  <c r="K9" i="48"/>
  <c r="A9" i="48" s="1"/>
  <c r="O7" i="48"/>
  <c r="E7" i="48" s="1"/>
  <c r="N7" i="48"/>
  <c r="M7" i="48"/>
  <c r="L7" i="48"/>
  <c r="K7" i="48"/>
  <c r="A7" i="48" s="1"/>
  <c r="O6" i="48"/>
  <c r="E6" i="48" s="1"/>
  <c r="N6" i="48"/>
  <c r="M6" i="48"/>
  <c r="L6" i="48"/>
  <c r="K6" i="48"/>
  <c r="A6" i="48" s="1"/>
  <c r="O5" i="48"/>
  <c r="E5" i="48" s="1"/>
  <c r="N5" i="48"/>
  <c r="M5" i="48"/>
  <c r="L5" i="48"/>
  <c r="K5" i="48"/>
  <c r="A5" i="48" s="1"/>
  <c r="O4" i="48"/>
  <c r="E4" i="48" s="1"/>
  <c r="N4" i="48"/>
  <c r="M4" i="48"/>
  <c r="L4" i="48"/>
  <c r="K4" i="48"/>
  <c r="A4" i="48" s="1"/>
  <c r="O3" i="48"/>
  <c r="E3" i="48" s="1"/>
  <c r="N3" i="48"/>
  <c r="M3" i="48"/>
  <c r="L3" i="48"/>
  <c r="K3" i="48"/>
  <c r="A3" i="48" s="1"/>
  <c r="O2" i="48"/>
  <c r="E2" i="48" s="1"/>
  <c r="N2" i="48"/>
  <c r="M2" i="48"/>
  <c r="L2" i="48"/>
  <c r="K2" i="48"/>
  <c r="A2" i="48" s="1"/>
  <c r="O79" i="47"/>
  <c r="E79" i="47" s="1"/>
  <c r="N79" i="47"/>
  <c r="M79" i="47"/>
  <c r="L79" i="47"/>
  <c r="K79" i="47"/>
  <c r="A79" i="47" s="1"/>
  <c r="A78" i="47"/>
  <c r="O77" i="47"/>
  <c r="N77" i="47"/>
  <c r="M77" i="47"/>
  <c r="L77" i="47"/>
  <c r="K77" i="47"/>
  <c r="O76" i="47"/>
  <c r="E76" i="47" s="1"/>
  <c r="N76" i="47"/>
  <c r="M76" i="47"/>
  <c r="L76" i="47"/>
  <c r="K76" i="47"/>
  <c r="A76" i="47" s="1"/>
  <c r="O75" i="47"/>
  <c r="E75" i="47" s="1"/>
  <c r="N75" i="47"/>
  <c r="M75" i="47"/>
  <c r="L75" i="47"/>
  <c r="K75" i="47"/>
  <c r="A75" i="47" s="1"/>
  <c r="A74" i="47"/>
  <c r="O73" i="47"/>
  <c r="N73" i="47"/>
  <c r="M73" i="47"/>
  <c r="L73" i="47"/>
  <c r="K73" i="47"/>
  <c r="O72" i="47"/>
  <c r="E72" i="47" s="1"/>
  <c r="N72" i="47"/>
  <c r="M72" i="47"/>
  <c r="L72" i="47"/>
  <c r="K72" i="47"/>
  <c r="A72" i="47" s="1"/>
  <c r="O71" i="47"/>
  <c r="E71" i="47" s="1"/>
  <c r="N71" i="47"/>
  <c r="M71" i="47"/>
  <c r="L71" i="47"/>
  <c r="K71" i="47"/>
  <c r="A71" i="47" s="1"/>
  <c r="O70" i="47"/>
  <c r="E70" i="47" s="1"/>
  <c r="N70" i="47"/>
  <c r="M70" i="47"/>
  <c r="L70" i="47"/>
  <c r="K70" i="47"/>
  <c r="A70" i="47" s="1"/>
  <c r="O69" i="47"/>
  <c r="E69" i="47" s="1"/>
  <c r="N69" i="47"/>
  <c r="M69" i="47"/>
  <c r="L69" i="47"/>
  <c r="K69" i="47"/>
  <c r="A69" i="47" s="1"/>
  <c r="A68" i="47"/>
  <c r="O66" i="47"/>
  <c r="E66" i="47" s="1"/>
  <c r="N66" i="47"/>
  <c r="M66" i="47"/>
  <c r="L66" i="47"/>
  <c r="K66" i="47"/>
  <c r="A66" i="47" s="1"/>
  <c r="O65" i="47"/>
  <c r="E65" i="47" s="1"/>
  <c r="N65" i="47"/>
  <c r="M65" i="47"/>
  <c r="L65" i="47"/>
  <c r="K65" i="47"/>
  <c r="A65" i="47" s="1"/>
  <c r="O64" i="47"/>
  <c r="E64" i="47" s="1"/>
  <c r="N64" i="47"/>
  <c r="M64" i="47"/>
  <c r="L64" i="47"/>
  <c r="K64" i="47"/>
  <c r="A64" i="47" s="1"/>
  <c r="O63" i="47"/>
  <c r="E63" i="47" s="1"/>
  <c r="N63" i="47"/>
  <c r="M63" i="47"/>
  <c r="L63" i="47"/>
  <c r="K63" i="47"/>
  <c r="A63" i="47" s="1"/>
  <c r="O62" i="47"/>
  <c r="E62" i="47" s="1"/>
  <c r="N62" i="47"/>
  <c r="M62" i="47"/>
  <c r="L62" i="47"/>
  <c r="K62" i="47"/>
  <c r="A62" i="47" s="1"/>
  <c r="O61" i="47"/>
  <c r="E61" i="47" s="1"/>
  <c r="N61" i="47"/>
  <c r="M61" i="47"/>
  <c r="L61" i="47"/>
  <c r="K61" i="47"/>
  <c r="A61" i="47" s="1"/>
  <c r="O60" i="47"/>
  <c r="E60" i="47" s="1"/>
  <c r="N60" i="47"/>
  <c r="M60" i="47"/>
  <c r="L60" i="47"/>
  <c r="K60" i="47"/>
  <c r="A60" i="47" s="1"/>
  <c r="O59" i="47"/>
  <c r="E59" i="47" s="1"/>
  <c r="N59" i="47"/>
  <c r="M59" i="47"/>
  <c r="L59" i="47"/>
  <c r="K59" i="47"/>
  <c r="A59" i="47" s="1"/>
  <c r="A58" i="47"/>
  <c r="O56" i="47"/>
  <c r="E56" i="47" s="1"/>
  <c r="N56" i="47"/>
  <c r="M56" i="47"/>
  <c r="L56" i="47"/>
  <c r="K56" i="47"/>
  <c r="A56" i="47" s="1"/>
  <c r="O55" i="47"/>
  <c r="E55" i="47" s="1"/>
  <c r="N55" i="47"/>
  <c r="M55" i="47"/>
  <c r="L55" i="47"/>
  <c r="K55" i="47"/>
  <c r="A55" i="47" s="1"/>
  <c r="O54" i="47"/>
  <c r="E54" i="47" s="1"/>
  <c r="N54" i="47"/>
  <c r="M54" i="47"/>
  <c r="L54" i="47"/>
  <c r="K54" i="47"/>
  <c r="A54" i="47" s="1"/>
  <c r="O53" i="47"/>
  <c r="E53" i="47" s="1"/>
  <c r="N53" i="47"/>
  <c r="M53" i="47"/>
  <c r="L53" i="47"/>
  <c r="K53" i="47"/>
  <c r="A53" i="47" s="1"/>
  <c r="O52" i="47"/>
  <c r="E52" i="47" s="1"/>
  <c r="N52" i="47"/>
  <c r="M52" i="47"/>
  <c r="L52" i="47"/>
  <c r="K52" i="47"/>
  <c r="A52" i="47" s="1"/>
  <c r="O51" i="47"/>
  <c r="E51" i="47" s="1"/>
  <c r="N51" i="47"/>
  <c r="M51" i="47"/>
  <c r="L51" i="47"/>
  <c r="K51" i="47"/>
  <c r="A51" i="47" s="1"/>
  <c r="O49" i="47"/>
  <c r="E49" i="47" s="1"/>
  <c r="N49" i="47"/>
  <c r="M49" i="47"/>
  <c r="L49" i="47"/>
  <c r="K49" i="47"/>
  <c r="A49" i="47" s="1"/>
  <c r="O48" i="47"/>
  <c r="E48" i="47" s="1"/>
  <c r="N48" i="47"/>
  <c r="M48" i="47"/>
  <c r="L48" i="47"/>
  <c r="K48" i="47"/>
  <c r="A48" i="47" s="1"/>
  <c r="O47" i="47"/>
  <c r="E47" i="47" s="1"/>
  <c r="N47" i="47"/>
  <c r="M47" i="47"/>
  <c r="L47" i="47"/>
  <c r="K47" i="47"/>
  <c r="A47" i="47" s="1"/>
  <c r="O46" i="47"/>
  <c r="E46" i="47" s="1"/>
  <c r="N46" i="47"/>
  <c r="M46" i="47"/>
  <c r="L46" i="47"/>
  <c r="K46" i="47"/>
  <c r="A46" i="47" s="1"/>
  <c r="O45" i="47"/>
  <c r="E45" i="47" s="1"/>
  <c r="N45" i="47"/>
  <c r="M45" i="47"/>
  <c r="L45" i="47"/>
  <c r="K45" i="47"/>
  <c r="A45" i="47" s="1"/>
  <c r="O44" i="47"/>
  <c r="E44" i="47" s="1"/>
  <c r="N44" i="47"/>
  <c r="M44" i="47"/>
  <c r="L44" i="47"/>
  <c r="K44" i="47"/>
  <c r="A44" i="47" s="1"/>
  <c r="O42" i="47"/>
  <c r="E42" i="47" s="1"/>
  <c r="N42" i="47"/>
  <c r="M42" i="47"/>
  <c r="L42" i="47"/>
  <c r="K42" i="47"/>
  <c r="A42" i="47" s="1"/>
  <c r="O41" i="47"/>
  <c r="E41" i="47" s="1"/>
  <c r="N41" i="47"/>
  <c r="M41" i="47"/>
  <c r="L41" i="47"/>
  <c r="K41" i="47"/>
  <c r="A41" i="47" s="1"/>
  <c r="O40" i="47"/>
  <c r="E40" i="47" s="1"/>
  <c r="N40" i="47"/>
  <c r="M40" i="47"/>
  <c r="L40" i="47"/>
  <c r="K40" i="47"/>
  <c r="A40" i="47" s="1"/>
  <c r="O39" i="47"/>
  <c r="E39" i="47" s="1"/>
  <c r="N39" i="47"/>
  <c r="M39" i="47"/>
  <c r="L39" i="47"/>
  <c r="K39" i="47"/>
  <c r="A39" i="47" s="1"/>
  <c r="O38" i="47"/>
  <c r="E38" i="47" s="1"/>
  <c r="N38" i="47"/>
  <c r="M38" i="47"/>
  <c r="L38" i="47"/>
  <c r="K38" i="47"/>
  <c r="A38" i="47" s="1"/>
  <c r="O37" i="47"/>
  <c r="E37" i="47" s="1"/>
  <c r="N37" i="47"/>
  <c r="M37" i="47"/>
  <c r="L37" i="47"/>
  <c r="K37" i="47"/>
  <c r="A37" i="47" s="1"/>
  <c r="O35" i="47"/>
  <c r="E35" i="47" s="1"/>
  <c r="N35" i="47"/>
  <c r="M35" i="47"/>
  <c r="L35" i="47"/>
  <c r="K35" i="47"/>
  <c r="A35" i="47" s="1"/>
  <c r="O34" i="47"/>
  <c r="E34" i="47" s="1"/>
  <c r="N34" i="47"/>
  <c r="M34" i="47"/>
  <c r="L34" i="47"/>
  <c r="K34" i="47"/>
  <c r="A34" i="47" s="1"/>
  <c r="O33" i="47"/>
  <c r="E33" i="47" s="1"/>
  <c r="N33" i="47"/>
  <c r="M33" i="47"/>
  <c r="L33" i="47"/>
  <c r="K33" i="47"/>
  <c r="A33" i="47" s="1"/>
  <c r="O32" i="47"/>
  <c r="E32" i="47" s="1"/>
  <c r="N32" i="47"/>
  <c r="M32" i="47"/>
  <c r="L32" i="47"/>
  <c r="K32" i="47"/>
  <c r="A32" i="47" s="1"/>
  <c r="O31" i="47"/>
  <c r="E31" i="47" s="1"/>
  <c r="N31" i="47"/>
  <c r="M31" i="47"/>
  <c r="L31" i="47"/>
  <c r="K31" i="47"/>
  <c r="A31" i="47" s="1"/>
  <c r="O30" i="47"/>
  <c r="E30" i="47" s="1"/>
  <c r="N30" i="47"/>
  <c r="M30" i="47"/>
  <c r="L30" i="47"/>
  <c r="K30" i="47"/>
  <c r="A30" i="47" s="1"/>
  <c r="O28" i="47"/>
  <c r="E28" i="47" s="1"/>
  <c r="N28" i="47"/>
  <c r="M28" i="47"/>
  <c r="L28" i="47"/>
  <c r="K28" i="47"/>
  <c r="A28" i="47" s="1"/>
  <c r="O27" i="47"/>
  <c r="E27" i="47" s="1"/>
  <c r="N27" i="47"/>
  <c r="M27" i="47"/>
  <c r="L27" i="47"/>
  <c r="K27" i="47"/>
  <c r="A27" i="47" s="1"/>
  <c r="O26" i="47"/>
  <c r="E26" i="47" s="1"/>
  <c r="N26" i="47"/>
  <c r="M26" i="47"/>
  <c r="L26" i="47"/>
  <c r="K26" i="47"/>
  <c r="A26" i="47" s="1"/>
  <c r="O25" i="47"/>
  <c r="E25" i="47" s="1"/>
  <c r="N25" i="47"/>
  <c r="M25" i="47"/>
  <c r="L25" i="47"/>
  <c r="K25" i="47"/>
  <c r="A25" i="47" s="1"/>
  <c r="O24" i="47"/>
  <c r="E24" i="47" s="1"/>
  <c r="N24" i="47"/>
  <c r="M24" i="47"/>
  <c r="L24" i="47"/>
  <c r="K24" i="47"/>
  <c r="A24" i="47" s="1"/>
  <c r="O23" i="47"/>
  <c r="E23" i="47" s="1"/>
  <c r="N23" i="47"/>
  <c r="M23" i="47"/>
  <c r="L23" i="47"/>
  <c r="K23" i="47"/>
  <c r="A23" i="47" s="1"/>
  <c r="O21" i="47"/>
  <c r="E21" i="47" s="1"/>
  <c r="N21" i="47"/>
  <c r="M21" i="47"/>
  <c r="L21" i="47"/>
  <c r="K21" i="47"/>
  <c r="A21" i="47" s="1"/>
  <c r="O20" i="47"/>
  <c r="E20" i="47" s="1"/>
  <c r="N20" i="47"/>
  <c r="M20" i="47"/>
  <c r="L20" i="47"/>
  <c r="K20" i="47"/>
  <c r="A20" i="47" s="1"/>
  <c r="O19" i="47"/>
  <c r="E19" i="47" s="1"/>
  <c r="N19" i="47"/>
  <c r="M19" i="47"/>
  <c r="L19" i="47"/>
  <c r="K19" i="47"/>
  <c r="A19" i="47" s="1"/>
  <c r="O18" i="47"/>
  <c r="E18" i="47" s="1"/>
  <c r="N18" i="47"/>
  <c r="M18" i="47"/>
  <c r="L18" i="47"/>
  <c r="K18" i="47"/>
  <c r="A18" i="47" s="1"/>
  <c r="O17" i="47"/>
  <c r="E17" i="47" s="1"/>
  <c r="N17" i="47"/>
  <c r="M17" i="47"/>
  <c r="L17" i="47"/>
  <c r="K17" i="47"/>
  <c r="A17" i="47" s="1"/>
  <c r="O16" i="47"/>
  <c r="E16" i="47" s="1"/>
  <c r="N16" i="47"/>
  <c r="M16" i="47"/>
  <c r="L16" i="47"/>
  <c r="K16" i="47"/>
  <c r="A16" i="47" s="1"/>
  <c r="O14" i="47"/>
  <c r="E14" i="47" s="1"/>
  <c r="N14" i="47"/>
  <c r="M14" i="47"/>
  <c r="L14" i="47"/>
  <c r="K14" i="47"/>
  <c r="A14" i="47" s="1"/>
  <c r="O13" i="47"/>
  <c r="E13" i="47" s="1"/>
  <c r="N13" i="47"/>
  <c r="M13" i="47"/>
  <c r="L13" i="47"/>
  <c r="K13" i="47"/>
  <c r="A13" i="47" s="1"/>
  <c r="O12" i="47"/>
  <c r="E12" i="47" s="1"/>
  <c r="N12" i="47"/>
  <c r="M12" i="47"/>
  <c r="L12" i="47"/>
  <c r="K12" i="47"/>
  <c r="A12" i="47" s="1"/>
  <c r="Q11" i="47"/>
  <c r="P6" i="31" s="1"/>
  <c r="O11" i="47"/>
  <c r="E11" i="47" s="1"/>
  <c r="N11" i="47"/>
  <c r="M11" i="47"/>
  <c r="L11" i="47"/>
  <c r="K11" i="47"/>
  <c r="A11" i="47" s="1"/>
  <c r="O10" i="47"/>
  <c r="E10" i="47" s="1"/>
  <c r="N10" i="47"/>
  <c r="M10" i="47"/>
  <c r="L10" i="47"/>
  <c r="K10" i="47"/>
  <c r="A10" i="47" s="1"/>
  <c r="O9" i="47"/>
  <c r="E9" i="47" s="1"/>
  <c r="N9" i="47"/>
  <c r="M9" i="47"/>
  <c r="L9" i="47"/>
  <c r="K9" i="47"/>
  <c r="A9" i="47" s="1"/>
  <c r="O7" i="47"/>
  <c r="E7" i="47" s="1"/>
  <c r="N7" i="47"/>
  <c r="M7" i="47"/>
  <c r="L7" i="47"/>
  <c r="K7" i="47"/>
  <c r="A7" i="47" s="1"/>
  <c r="O6" i="47"/>
  <c r="E6" i="47" s="1"/>
  <c r="N6" i="47"/>
  <c r="M6" i="47"/>
  <c r="L6" i="47"/>
  <c r="K6" i="47"/>
  <c r="A6" i="47" s="1"/>
  <c r="O5" i="47"/>
  <c r="E5" i="47" s="1"/>
  <c r="N5" i="47"/>
  <c r="M5" i="47"/>
  <c r="L5" i="47"/>
  <c r="K5" i="47"/>
  <c r="A5" i="47" s="1"/>
  <c r="O4" i="47"/>
  <c r="E4" i="47" s="1"/>
  <c r="N4" i="47"/>
  <c r="M4" i="47"/>
  <c r="L4" i="47"/>
  <c r="K4" i="47"/>
  <c r="A4" i="47" s="1"/>
  <c r="O3" i="47"/>
  <c r="E3" i="47" s="1"/>
  <c r="N3" i="47"/>
  <c r="M3" i="47"/>
  <c r="L3" i="47"/>
  <c r="K3" i="47"/>
  <c r="A3" i="47" s="1"/>
  <c r="O2" i="47"/>
  <c r="E2" i="47" s="1"/>
  <c r="N2" i="47"/>
  <c r="M2" i="47"/>
  <c r="L2" i="47"/>
  <c r="K2" i="47"/>
  <c r="A2" i="47" s="1"/>
  <c r="O79" i="46"/>
  <c r="E79" i="46" s="1"/>
  <c r="N79" i="46"/>
  <c r="M79" i="46"/>
  <c r="L79" i="46"/>
  <c r="K79" i="46"/>
  <c r="A79" i="46" s="1"/>
  <c r="A78" i="46"/>
  <c r="O77" i="46"/>
  <c r="N77" i="46"/>
  <c r="M77" i="46"/>
  <c r="L77" i="46"/>
  <c r="K77" i="46"/>
  <c r="O76" i="46"/>
  <c r="E76" i="46" s="1"/>
  <c r="N76" i="46"/>
  <c r="M76" i="46"/>
  <c r="L76" i="46"/>
  <c r="K76" i="46"/>
  <c r="A76" i="46" s="1"/>
  <c r="O75" i="46"/>
  <c r="E75" i="46" s="1"/>
  <c r="N75" i="46"/>
  <c r="M75" i="46"/>
  <c r="L75" i="46"/>
  <c r="K75" i="46"/>
  <c r="A75" i="46" s="1"/>
  <c r="A74" i="46"/>
  <c r="O73" i="46"/>
  <c r="N73" i="46"/>
  <c r="M73" i="46"/>
  <c r="L73" i="46"/>
  <c r="K73" i="46"/>
  <c r="O72" i="46"/>
  <c r="E72" i="46" s="1"/>
  <c r="N72" i="46"/>
  <c r="M72" i="46"/>
  <c r="L72" i="46"/>
  <c r="K72" i="46"/>
  <c r="A72" i="46" s="1"/>
  <c r="O71" i="46"/>
  <c r="E71" i="46" s="1"/>
  <c r="N71" i="46"/>
  <c r="M71" i="46"/>
  <c r="L71" i="46"/>
  <c r="K71" i="46"/>
  <c r="A71" i="46" s="1"/>
  <c r="O70" i="46"/>
  <c r="E70" i="46" s="1"/>
  <c r="N70" i="46"/>
  <c r="M70" i="46"/>
  <c r="L70" i="46"/>
  <c r="K70" i="46"/>
  <c r="A70" i="46" s="1"/>
  <c r="O69" i="46"/>
  <c r="E69" i="46" s="1"/>
  <c r="N69" i="46"/>
  <c r="M69" i="46"/>
  <c r="L69" i="46"/>
  <c r="K69" i="46"/>
  <c r="A69" i="46" s="1"/>
  <c r="A68" i="46"/>
  <c r="O66" i="46"/>
  <c r="E66" i="46" s="1"/>
  <c r="N66" i="46"/>
  <c r="M66" i="46"/>
  <c r="L66" i="46"/>
  <c r="K66" i="46"/>
  <c r="A66" i="46" s="1"/>
  <c r="O65" i="46"/>
  <c r="E65" i="46" s="1"/>
  <c r="N65" i="46"/>
  <c r="M65" i="46"/>
  <c r="L65" i="46"/>
  <c r="K65" i="46"/>
  <c r="A65" i="46" s="1"/>
  <c r="O64" i="46"/>
  <c r="E64" i="46" s="1"/>
  <c r="N64" i="46"/>
  <c r="M64" i="46"/>
  <c r="L64" i="46"/>
  <c r="K64" i="46"/>
  <c r="A64" i="46" s="1"/>
  <c r="O63" i="46"/>
  <c r="E63" i="46" s="1"/>
  <c r="N63" i="46"/>
  <c r="M63" i="46"/>
  <c r="L63" i="46"/>
  <c r="K63" i="46"/>
  <c r="A63" i="46" s="1"/>
  <c r="O62" i="46"/>
  <c r="E62" i="46" s="1"/>
  <c r="N62" i="46"/>
  <c r="M62" i="46"/>
  <c r="L62" i="46"/>
  <c r="K62" i="46"/>
  <c r="A62" i="46" s="1"/>
  <c r="O61" i="46"/>
  <c r="E61" i="46" s="1"/>
  <c r="N61" i="46"/>
  <c r="M61" i="46"/>
  <c r="L61" i="46"/>
  <c r="K61" i="46"/>
  <c r="A61" i="46" s="1"/>
  <c r="O60" i="46"/>
  <c r="E60" i="46" s="1"/>
  <c r="N60" i="46"/>
  <c r="M60" i="46"/>
  <c r="L60" i="46"/>
  <c r="K60" i="46"/>
  <c r="A60" i="46" s="1"/>
  <c r="O59" i="46"/>
  <c r="E59" i="46" s="1"/>
  <c r="N59" i="46"/>
  <c r="M59" i="46"/>
  <c r="L59" i="46"/>
  <c r="K59" i="46"/>
  <c r="A59" i="46" s="1"/>
  <c r="A58" i="46"/>
  <c r="O56" i="46"/>
  <c r="E56" i="46" s="1"/>
  <c r="N56" i="46"/>
  <c r="M56" i="46"/>
  <c r="L56" i="46"/>
  <c r="K56" i="46"/>
  <c r="A56" i="46" s="1"/>
  <c r="O55" i="46"/>
  <c r="E55" i="46" s="1"/>
  <c r="N55" i="46"/>
  <c r="M55" i="46"/>
  <c r="L55" i="46"/>
  <c r="K55" i="46"/>
  <c r="A55" i="46" s="1"/>
  <c r="O54" i="46"/>
  <c r="E54" i="46" s="1"/>
  <c r="N54" i="46"/>
  <c r="M54" i="46"/>
  <c r="L54" i="46"/>
  <c r="K54" i="46"/>
  <c r="A54" i="46" s="1"/>
  <c r="O53" i="46"/>
  <c r="E53" i="46" s="1"/>
  <c r="N53" i="46"/>
  <c r="M53" i="46"/>
  <c r="L53" i="46"/>
  <c r="K53" i="46"/>
  <c r="A53" i="46" s="1"/>
  <c r="O52" i="46"/>
  <c r="E52" i="46" s="1"/>
  <c r="N52" i="46"/>
  <c r="M52" i="46"/>
  <c r="L52" i="46"/>
  <c r="K52" i="46"/>
  <c r="A52" i="46" s="1"/>
  <c r="O51" i="46"/>
  <c r="E51" i="46" s="1"/>
  <c r="N51" i="46"/>
  <c r="M51" i="46"/>
  <c r="L51" i="46"/>
  <c r="K51" i="46"/>
  <c r="A51" i="46" s="1"/>
  <c r="O49" i="46"/>
  <c r="E49" i="46" s="1"/>
  <c r="N49" i="46"/>
  <c r="M49" i="46"/>
  <c r="L49" i="46"/>
  <c r="K49" i="46"/>
  <c r="A49" i="46" s="1"/>
  <c r="O48" i="46"/>
  <c r="E48" i="46" s="1"/>
  <c r="N48" i="46"/>
  <c r="M48" i="46"/>
  <c r="L48" i="46"/>
  <c r="K48" i="46"/>
  <c r="A48" i="46" s="1"/>
  <c r="O47" i="46"/>
  <c r="E47" i="46" s="1"/>
  <c r="N47" i="46"/>
  <c r="M47" i="46"/>
  <c r="L47" i="46"/>
  <c r="K47" i="46"/>
  <c r="A47" i="46" s="1"/>
  <c r="O46" i="46"/>
  <c r="E46" i="46" s="1"/>
  <c r="N46" i="46"/>
  <c r="M46" i="46"/>
  <c r="L46" i="46"/>
  <c r="K46" i="46"/>
  <c r="A46" i="46" s="1"/>
  <c r="O45" i="46"/>
  <c r="E45" i="46" s="1"/>
  <c r="N45" i="46"/>
  <c r="M45" i="46"/>
  <c r="L45" i="46"/>
  <c r="K45" i="46"/>
  <c r="A45" i="46" s="1"/>
  <c r="O44" i="46"/>
  <c r="E44" i="46" s="1"/>
  <c r="N44" i="46"/>
  <c r="M44" i="46"/>
  <c r="L44" i="46"/>
  <c r="K44" i="46"/>
  <c r="A44" i="46" s="1"/>
  <c r="O42" i="46"/>
  <c r="E42" i="46" s="1"/>
  <c r="N42" i="46"/>
  <c r="M42" i="46"/>
  <c r="L42" i="46"/>
  <c r="K42" i="46"/>
  <c r="A42" i="46" s="1"/>
  <c r="O41" i="46"/>
  <c r="E41" i="46" s="1"/>
  <c r="N41" i="46"/>
  <c r="M41" i="46"/>
  <c r="L41" i="46"/>
  <c r="K41" i="46"/>
  <c r="A41" i="46" s="1"/>
  <c r="O40" i="46"/>
  <c r="E40" i="46" s="1"/>
  <c r="N40" i="46"/>
  <c r="M40" i="46"/>
  <c r="L40" i="46"/>
  <c r="K40" i="46"/>
  <c r="A40" i="46" s="1"/>
  <c r="O39" i="46"/>
  <c r="E39" i="46" s="1"/>
  <c r="N39" i="46"/>
  <c r="M39" i="46"/>
  <c r="L39" i="46"/>
  <c r="K39" i="46"/>
  <c r="A39" i="46" s="1"/>
  <c r="O38" i="46"/>
  <c r="E38" i="46" s="1"/>
  <c r="N38" i="46"/>
  <c r="M38" i="46"/>
  <c r="L38" i="46"/>
  <c r="K38" i="46"/>
  <c r="A38" i="46" s="1"/>
  <c r="O37" i="46"/>
  <c r="E37" i="46" s="1"/>
  <c r="N37" i="46"/>
  <c r="M37" i="46"/>
  <c r="L37" i="46"/>
  <c r="K37" i="46"/>
  <c r="A37" i="46" s="1"/>
  <c r="O35" i="46"/>
  <c r="E35" i="46" s="1"/>
  <c r="N35" i="46"/>
  <c r="M35" i="46"/>
  <c r="L35" i="46"/>
  <c r="K35" i="46"/>
  <c r="A35" i="46" s="1"/>
  <c r="O34" i="46"/>
  <c r="E34" i="46" s="1"/>
  <c r="N34" i="46"/>
  <c r="M34" i="46"/>
  <c r="L34" i="46"/>
  <c r="K34" i="46"/>
  <c r="A34" i="46" s="1"/>
  <c r="O33" i="46"/>
  <c r="E33" i="46" s="1"/>
  <c r="N33" i="46"/>
  <c r="M33" i="46"/>
  <c r="L33" i="46"/>
  <c r="K33" i="46"/>
  <c r="A33" i="46" s="1"/>
  <c r="O32" i="46"/>
  <c r="E32" i="46" s="1"/>
  <c r="N32" i="46"/>
  <c r="M32" i="46"/>
  <c r="L32" i="46"/>
  <c r="K32" i="46"/>
  <c r="A32" i="46" s="1"/>
  <c r="O31" i="46"/>
  <c r="E31" i="46" s="1"/>
  <c r="N31" i="46"/>
  <c r="M31" i="46"/>
  <c r="L31" i="46"/>
  <c r="K31" i="46"/>
  <c r="A31" i="46" s="1"/>
  <c r="O30" i="46"/>
  <c r="E30" i="46" s="1"/>
  <c r="N30" i="46"/>
  <c r="M30" i="46"/>
  <c r="L30" i="46"/>
  <c r="K30" i="46"/>
  <c r="A30" i="46" s="1"/>
  <c r="O28" i="46"/>
  <c r="E28" i="46" s="1"/>
  <c r="N28" i="46"/>
  <c r="M28" i="46"/>
  <c r="L28" i="46"/>
  <c r="K28" i="46"/>
  <c r="A28" i="46" s="1"/>
  <c r="O27" i="46"/>
  <c r="E27" i="46" s="1"/>
  <c r="N27" i="46"/>
  <c r="M27" i="46"/>
  <c r="L27" i="46"/>
  <c r="K27" i="46"/>
  <c r="A27" i="46" s="1"/>
  <c r="O26" i="46"/>
  <c r="E26" i="46" s="1"/>
  <c r="N26" i="46"/>
  <c r="M26" i="46"/>
  <c r="L26" i="46"/>
  <c r="K26" i="46"/>
  <c r="A26" i="46" s="1"/>
  <c r="O25" i="46"/>
  <c r="E25" i="46" s="1"/>
  <c r="N25" i="46"/>
  <c r="M25" i="46"/>
  <c r="L25" i="46"/>
  <c r="K25" i="46"/>
  <c r="A25" i="46" s="1"/>
  <c r="O24" i="46"/>
  <c r="E24" i="46" s="1"/>
  <c r="N24" i="46"/>
  <c r="M24" i="46"/>
  <c r="L24" i="46"/>
  <c r="K24" i="46"/>
  <c r="A24" i="46" s="1"/>
  <c r="O23" i="46"/>
  <c r="E23" i="46" s="1"/>
  <c r="N23" i="46"/>
  <c r="M23" i="46"/>
  <c r="L23" i="46"/>
  <c r="K23" i="46"/>
  <c r="A23" i="46" s="1"/>
  <c r="O21" i="46"/>
  <c r="E21" i="46" s="1"/>
  <c r="N21" i="46"/>
  <c r="M21" i="46"/>
  <c r="L21" i="46"/>
  <c r="K21" i="46"/>
  <c r="A21" i="46" s="1"/>
  <c r="O20" i="46"/>
  <c r="E20" i="46" s="1"/>
  <c r="N20" i="46"/>
  <c r="M20" i="46"/>
  <c r="L20" i="46"/>
  <c r="K20" i="46"/>
  <c r="A20" i="46" s="1"/>
  <c r="O19" i="46"/>
  <c r="E19" i="46" s="1"/>
  <c r="N19" i="46"/>
  <c r="M19" i="46"/>
  <c r="L19" i="46"/>
  <c r="K19" i="46"/>
  <c r="A19" i="46" s="1"/>
  <c r="O18" i="46"/>
  <c r="E18" i="46" s="1"/>
  <c r="N18" i="46"/>
  <c r="M18" i="46"/>
  <c r="L18" i="46"/>
  <c r="K18" i="46"/>
  <c r="A18" i="46" s="1"/>
  <c r="O17" i="46"/>
  <c r="E17" i="46" s="1"/>
  <c r="N17" i="46"/>
  <c r="M17" i="46"/>
  <c r="L17" i="46"/>
  <c r="K17" i="46"/>
  <c r="A17" i="46" s="1"/>
  <c r="O16" i="46"/>
  <c r="E16" i="46" s="1"/>
  <c r="N16" i="46"/>
  <c r="M16" i="46"/>
  <c r="L16" i="46"/>
  <c r="K16" i="46"/>
  <c r="A16" i="46" s="1"/>
  <c r="O14" i="46"/>
  <c r="E14" i="46" s="1"/>
  <c r="N14" i="46"/>
  <c r="M14" i="46"/>
  <c r="L14" i="46"/>
  <c r="K14" i="46"/>
  <c r="A14" i="46" s="1"/>
  <c r="O13" i="46"/>
  <c r="E13" i="46" s="1"/>
  <c r="N13" i="46"/>
  <c r="M13" i="46"/>
  <c r="L13" i="46"/>
  <c r="K13" i="46"/>
  <c r="A13" i="46" s="1"/>
  <c r="O12" i="46"/>
  <c r="E12" i="46" s="1"/>
  <c r="N12" i="46"/>
  <c r="M12" i="46"/>
  <c r="L12" i="46"/>
  <c r="K12" i="46"/>
  <c r="A12" i="46" s="1"/>
  <c r="Q11" i="46"/>
  <c r="P8" i="31" s="1"/>
  <c r="O11" i="46"/>
  <c r="E11" i="46" s="1"/>
  <c r="N11" i="46"/>
  <c r="M11" i="46"/>
  <c r="L11" i="46"/>
  <c r="K11" i="46"/>
  <c r="A11" i="46" s="1"/>
  <c r="O10" i="46"/>
  <c r="E10" i="46" s="1"/>
  <c r="N10" i="46"/>
  <c r="M10" i="46"/>
  <c r="L10" i="46"/>
  <c r="K10" i="46"/>
  <c r="A10" i="46" s="1"/>
  <c r="O9" i="46"/>
  <c r="E9" i="46" s="1"/>
  <c r="N9" i="46"/>
  <c r="M9" i="46"/>
  <c r="L9" i="46"/>
  <c r="K9" i="46"/>
  <c r="A9" i="46" s="1"/>
  <c r="O7" i="46"/>
  <c r="E7" i="46" s="1"/>
  <c r="N7" i="46"/>
  <c r="M7" i="46"/>
  <c r="L7" i="46"/>
  <c r="K7" i="46"/>
  <c r="A7" i="46" s="1"/>
  <c r="O6" i="46"/>
  <c r="E6" i="46" s="1"/>
  <c r="N6" i="46"/>
  <c r="M6" i="46"/>
  <c r="L6" i="46"/>
  <c r="K6" i="46"/>
  <c r="A6" i="46" s="1"/>
  <c r="O5" i="46"/>
  <c r="E5" i="46" s="1"/>
  <c r="N5" i="46"/>
  <c r="M5" i="46"/>
  <c r="L5" i="46"/>
  <c r="K5" i="46"/>
  <c r="A5" i="46" s="1"/>
  <c r="O4" i="46"/>
  <c r="E4" i="46" s="1"/>
  <c r="N4" i="46"/>
  <c r="M4" i="46"/>
  <c r="L4" i="46"/>
  <c r="K4" i="46"/>
  <c r="A4" i="46" s="1"/>
  <c r="O3" i="46"/>
  <c r="E3" i="46" s="1"/>
  <c r="N3" i="46"/>
  <c r="M3" i="46"/>
  <c r="L3" i="46"/>
  <c r="K3" i="46"/>
  <c r="A3" i="46" s="1"/>
  <c r="O2" i="46"/>
  <c r="E2" i="46" s="1"/>
  <c r="N2" i="46"/>
  <c r="M2" i="46"/>
  <c r="L2" i="46"/>
  <c r="K2" i="46"/>
  <c r="A2" i="46" s="1"/>
  <c r="J80" i="3"/>
  <c r="J78" i="3"/>
  <c r="J77" i="3"/>
  <c r="J74" i="3"/>
  <c r="J73" i="3"/>
  <c r="J68" i="3"/>
  <c r="J50" i="3"/>
  <c r="J43" i="3"/>
  <c r="J36" i="3"/>
  <c r="J22" i="3"/>
  <c r="J8" i="3"/>
  <c r="O79" i="45"/>
  <c r="E79" i="45" s="1"/>
  <c r="N79" i="45"/>
  <c r="M79" i="45"/>
  <c r="L79" i="45"/>
  <c r="K79" i="45"/>
  <c r="A79" i="45" s="1"/>
  <c r="A78" i="45"/>
  <c r="O77" i="45"/>
  <c r="N77" i="45"/>
  <c r="M77" i="45"/>
  <c r="L77" i="45"/>
  <c r="K77" i="45"/>
  <c r="O76" i="45"/>
  <c r="E76" i="45" s="1"/>
  <c r="N76" i="45"/>
  <c r="M76" i="45"/>
  <c r="L76" i="45"/>
  <c r="K76" i="45"/>
  <c r="A76" i="45" s="1"/>
  <c r="O75" i="45"/>
  <c r="E75" i="45" s="1"/>
  <c r="N75" i="45"/>
  <c r="M75" i="45"/>
  <c r="L75" i="45"/>
  <c r="K75" i="45"/>
  <c r="A75" i="45" s="1"/>
  <c r="A74" i="45"/>
  <c r="O73" i="45"/>
  <c r="N73" i="45"/>
  <c r="M73" i="45"/>
  <c r="L73" i="45"/>
  <c r="K73" i="45"/>
  <c r="O72" i="45"/>
  <c r="E72" i="45" s="1"/>
  <c r="N72" i="45"/>
  <c r="M72" i="45"/>
  <c r="L72" i="45"/>
  <c r="K72" i="45"/>
  <c r="A72" i="45" s="1"/>
  <c r="O71" i="45"/>
  <c r="E71" i="45" s="1"/>
  <c r="N71" i="45"/>
  <c r="M71" i="45"/>
  <c r="L71" i="45"/>
  <c r="K71" i="45"/>
  <c r="A71" i="45" s="1"/>
  <c r="O70" i="45"/>
  <c r="E70" i="45" s="1"/>
  <c r="N70" i="45"/>
  <c r="M70" i="45"/>
  <c r="L70" i="45"/>
  <c r="K70" i="45"/>
  <c r="A70" i="45" s="1"/>
  <c r="O69" i="45"/>
  <c r="E69" i="45" s="1"/>
  <c r="N69" i="45"/>
  <c r="M69" i="45"/>
  <c r="L69" i="45"/>
  <c r="K69" i="45"/>
  <c r="A69" i="45" s="1"/>
  <c r="A68" i="45"/>
  <c r="O66" i="45"/>
  <c r="E66" i="45" s="1"/>
  <c r="N66" i="45"/>
  <c r="M66" i="45"/>
  <c r="L66" i="45"/>
  <c r="K66" i="45"/>
  <c r="A66" i="45" s="1"/>
  <c r="O65" i="45"/>
  <c r="E65" i="45" s="1"/>
  <c r="N65" i="45"/>
  <c r="M65" i="45"/>
  <c r="L65" i="45"/>
  <c r="K65" i="45"/>
  <c r="A65" i="45" s="1"/>
  <c r="O64" i="45"/>
  <c r="E64" i="45" s="1"/>
  <c r="N64" i="45"/>
  <c r="M64" i="45"/>
  <c r="L64" i="45"/>
  <c r="K64" i="45"/>
  <c r="A64" i="45" s="1"/>
  <c r="O63" i="45"/>
  <c r="E63" i="45" s="1"/>
  <c r="N63" i="45"/>
  <c r="M63" i="45"/>
  <c r="L63" i="45"/>
  <c r="K63" i="45"/>
  <c r="A63" i="45" s="1"/>
  <c r="O62" i="45"/>
  <c r="E62" i="45" s="1"/>
  <c r="N62" i="45"/>
  <c r="M62" i="45"/>
  <c r="L62" i="45"/>
  <c r="K62" i="45"/>
  <c r="A62" i="45" s="1"/>
  <c r="O61" i="45"/>
  <c r="E61" i="45" s="1"/>
  <c r="N61" i="45"/>
  <c r="M61" i="45"/>
  <c r="L61" i="45"/>
  <c r="K61" i="45"/>
  <c r="A61" i="45" s="1"/>
  <c r="O60" i="45"/>
  <c r="E60" i="45" s="1"/>
  <c r="N60" i="45"/>
  <c r="M60" i="45"/>
  <c r="L60" i="45"/>
  <c r="K60" i="45"/>
  <c r="A60" i="45" s="1"/>
  <c r="O59" i="45"/>
  <c r="E59" i="45" s="1"/>
  <c r="N59" i="45"/>
  <c r="M59" i="45"/>
  <c r="L59" i="45"/>
  <c r="K59" i="45"/>
  <c r="A59" i="45" s="1"/>
  <c r="A58" i="45"/>
  <c r="O56" i="45"/>
  <c r="E56" i="45" s="1"/>
  <c r="N56" i="45"/>
  <c r="M56" i="45"/>
  <c r="L56" i="45"/>
  <c r="K56" i="45"/>
  <c r="A56" i="45" s="1"/>
  <c r="O55" i="45"/>
  <c r="E55" i="45" s="1"/>
  <c r="N55" i="45"/>
  <c r="M55" i="45"/>
  <c r="L55" i="45"/>
  <c r="K55" i="45"/>
  <c r="A55" i="45" s="1"/>
  <c r="O54" i="45"/>
  <c r="E54" i="45" s="1"/>
  <c r="N54" i="45"/>
  <c r="M54" i="45"/>
  <c r="L54" i="45"/>
  <c r="K54" i="45"/>
  <c r="A54" i="45" s="1"/>
  <c r="O53" i="45"/>
  <c r="E53" i="45" s="1"/>
  <c r="N53" i="45"/>
  <c r="M53" i="45"/>
  <c r="L53" i="45"/>
  <c r="K53" i="45"/>
  <c r="A53" i="45" s="1"/>
  <c r="O52" i="45"/>
  <c r="E52" i="45" s="1"/>
  <c r="N52" i="45"/>
  <c r="M52" i="45"/>
  <c r="L52" i="45"/>
  <c r="K52" i="45"/>
  <c r="A52" i="45" s="1"/>
  <c r="O51" i="45"/>
  <c r="E51" i="45" s="1"/>
  <c r="N51" i="45"/>
  <c r="M51" i="45"/>
  <c r="L51" i="45"/>
  <c r="K51" i="45"/>
  <c r="A51" i="45" s="1"/>
  <c r="O49" i="45"/>
  <c r="E49" i="45" s="1"/>
  <c r="N49" i="45"/>
  <c r="M49" i="45"/>
  <c r="L49" i="45"/>
  <c r="K49" i="45"/>
  <c r="A49" i="45" s="1"/>
  <c r="O48" i="45"/>
  <c r="E48" i="45" s="1"/>
  <c r="N48" i="45"/>
  <c r="M48" i="45"/>
  <c r="L48" i="45"/>
  <c r="K48" i="45"/>
  <c r="A48" i="45" s="1"/>
  <c r="O47" i="45"/>
  <c r="E47" i="45" s="1"/>
  <c r="N47" i="45"/>
  <c r="M47" i="45"/>
  <c r="L47" i="45"/>
  <c r="K47" i="45"/>
  <c r="A47" i="45" s="1"/>
  <c r="O46" i="45"/>
  <c r="E46" i="45" s="1"/>
  <c r="N46" i="45"/>
  <c r="M46" i="45"/>
  <c r="L46" i="45"/>
  <c r="K46" i="45"/>
  <c r="A46" i="45" s="1"/>
  <c r="O45" i="45"/>
  <c r="E45" i="45" s="1"/>
  <c r="N45" i="45"/>
  <c r="M45" i="45"/>
  <c r="L45" i="45"/>
  <c r="K45" i="45"/>
  <c r="A45" i="45" s="1"/>
  <c r="O44" i="45"/>
  <c r="E44" i="45" s="1"/>
  <c r="N44" i="45"/>
  <c r="M44" i="45"/>
  <c r="L44" i="45"/>
  <c r="K44" i="45"/>
  <c r="A44" i="45" s="1"/>
  <c r="O42" i="45"/>
  <c r="E42" i="45" s="1"/>
  <c r="N42" i="45"/>
  <c r="M42" i="45"/>
  <c r="L42" i="45"/>
  <c r="K42" i="45"/>
  <c r="A42" i="45" s="1"/>
  <c r="O41" i="45"/>
  <c r="E41" i="45" s="1"/>
  <c r="N41" i="45"/>
  <c r="M41" i="45"/>
  <c r="L41" i="45"/>
  <c r="K41" i="45"/>
  <c r="A41" i="45" s="1"/>
  <c r="O40" i="45"/>
  <c r="E40" i="45" s="1"/>
  <c r="N40" i="45"/>
  <c r="M40" i="45"/>
  <c r="L40" i="45"/>
  <c r="K40" i="45"/>
  <c r="A40" i="45" s="1"/>
  <c r="O39" i="45"/>
  <c r="E39" i="45" s="1"/>
  <c r="N39" i="45"/>
  <c r="M39" i="45"/>
  <c r="L39" i="45"/>
  <c r="K39" i="45"/>
  <c r="A39" i="45" s="1"/>
  <c r="O38" i="45"/>
  <c r="E38" i="45" s="1"/>
  <c r="N38" i="45"/>
  <c r="M38" i="45"/>
  <c r="L38" i="45"/>
  <c r="K38" i="45"/>
  <c r="A38" i="45" s="1"/>
  <c r="O37" i="45"/>
  <c r="E37" i="45" s="1"/>
  <c r="N37" i="45"/>
  <c r="M37" i="45"/>
  <c r="L37" i="45"/>
  <c r="K37" i="45"/>
  <c r="A37" i="45" s="1"/>
  <c r="O35" i="45"/>
  <c r="E35" i="45" s="1"/>
  <c r="N35" i="45"/>
  <c r="M35" i="45"/>
  <c r="L35" i="45"/>
  <c r="K35" i="45"/>
  <c r="A35" i="45" s="1"/>
  <c r="O34" i="45"/>
  <c r="E34" i="45" s="1"/>
  <c r="N34" i="45"/>
  <c r="M34" i="45"/>
  <c r="L34" i="45"/>
  <c r="K34" i="45"/>
  <c r="A34" i="45" s="1"/>
  <c r="O33" i="45"/>
  <c r="E33" i="45" s="1"/>
  <c r="N33" i="45"/>
  <c r="M33" i="45"/>
  <c r="L33" i="45"/>
  <c r="K33" i="45"/>
  <c r="A33" i="45" s="1"/>
  <c r="O32" i="45"/>
  <c r="E32" i="45" s="1"/>
  <c r="N32" i="45"/>
  <c r="M32" i="45"/>
  <c r="L32" i="45"/>
  <c r="K32" i="45"/>
  <c r="A32" i="45" s="1"/>
  <c r="O31" i="45"/>
  <c r="E31" i="45" s="1"/>
  <c r="N31" i="45"/>
  <c r="M31" i="45"/>
  <c r="L31" i="45"/>
  <c r="K31" i="45"/>
  <c r="A31" i="45" s="1"/>
  <c r="O30" i="45"/>
  <c r="E30" i="45" s="1"/>
  <c r="N30" i="45"/>
  <c r="M30" i="45"/>
  <c r="L30" i="45"/>
  <c r="K30" i="45"/>
  <c r="A30" i="45" s="1"/>
  <c r="O28" i="45"/>
  <c r="E28" i="45" s="1"/>
  <c r="N28" i="45"/>
  <c r="M28" i="45"/>
  <c r="L28" i="45"/>
  <c r="K28" i="45"/>
  <c r="A28" i="45" s="1"/>
  <c r="O27" i="45"/>
  <c r="E27" i="45" s="1"/>
  <c r="N27" i="45"/>
  <c r="M27" i="45"/>
  <c r="L27" i="45"/>
  <c r="K27" i="45"/>
  <c r="A27" i="45" s="1"/>
  <c r="O26" i="45"/>
  <c r="E26" i="45" s="1"/>
  <c r="N26" i="45"/>
  <c r="M26" i="45"/>
  <c r="L26" i="45"/>
  <c r="K26" i="45"/>
  <c r="A26" i="45" s="1"/>
  <c r="O25" i="45"/>
  <c r="E25" i="45" s="1"/>
  <c r="N25" i="45"/>
  <c r="M25" i="45"/>
  <c r="L25" i="45"/>
  <c r="K25" i="45"/>
  <c r="A25" i="45" s="1"/>
  <c r="O24" i="45"/>
  <c r="E24" i="45" s="1"/>
  <c r="N24" i="45"/>
  <c r="M24" i="45"/>
  <c r="L24" i="45"/>
  <c r="K24" i="45"/>
  <c r="A24" i="45" s="1"/>
  <c r="O23" i="45"/>
  <c r="E23" i="45" s="1"/>
  <c r="N23" i="45"/>
  <c r="M23" i="45"/>
  <c r="L23" i="45"/>
  <c r="K23" i="45"/>
  <c r="A23" i="45" s="1"/>
  <c r="O21" i="45"/>
  <c r="E21" i="45" s="1"/>
  <c r="N21" i="45"/>
  <c r="M21" i="45"/>
  <c r="L21" i="45"/>
  <c r="K21" i="45"/>
  <c r="A21" i="45" s="1"/>
  <c r="O20" i="45"/>
  <c r="E20" i="45" s="1"/>
  <c r="N20" i="45"/>
  <c r="M20" i="45"/>
  <c r="L20" i="45"/>
  <c r="K20" i="45"/>
  <c r="A20" i="45" s="1"/>
  <c r="O19" i="45"/>
  <c r="E19" i="45" s="1"/>
  <c r="N19" i="45"/>
  <c r="M19" i="45"/>
  <c r="L19" i="45"/>
  <c r="K19" i="45"/>
  <c r="A19" i="45" s="1"/>
  <c r="O18" i="45"/>
  <c r="E18" i="45" s="1"/>
  <c r="N18" i="45"/>
  <c r="M18" i="45"/>
  <c r="L18" i="45"/>
  <c r="K18" i="45"/>
  <c r="A18" i="45" s="1"/>
  <c r="O17" i="45"/>
  <c r="E17" i="45" s="1"/>
  <c r="N17" i="45"/>
  <c r="M17" i="45"/>
  <c r="L17" i="45"/>
  <c r="K17" i="45"/>
  <c r="A17" i="45" s="1"/>
  <c r="O16" i="45"/>
  <c r="E16" i="45" s="1"/>
  <c r="N16" i="45"/>
  <c r="M16" i="45"/>
  <c r="L16" i="45"/>
  <c r="K16" i="45"/>
  <c r="A16" i="45" s="1"/>
  <c r="O14" i="45"/>
  <c r="E14" i="45" s="1"/>
  <c r="N14" i="45"/>
  <c r="M14" i="45"/>
  <c r="L14" i="45"/>
  <c r="K14" i="45"/>
  <c r="A14" i="45" s="1"/>
  <c r="O13" i="45"/>
  <c r="E13" i="45" s="1"/>
  <c r="N13" i="45"/>
  <c r="M13" i="45"/>
  <c r="L13" i="45"/>
  <c r="K13" i="45"/>
  <c r="A13" i="45" s="1"/>
  <c r="O12" i="45"/>
  <c r="E12" i="45" s="1"/>
  <c r="N12" i="45"/>
  <c r="M12" i="45"/>
  <c r="L12" i="45"/>
  <c r="K12" i="45"/>
  <c r="A12" i="45" s="1"/>
  <c r="Q11" i="45"/>
  <c r="L20" i="31" s="1"/>
  <c r="O11" i="45"/>
  <c r="E11" i="45" s="1"/>
  <c r="N11" i="45"/>
  <c r="M11" i="45"/>
  <c r="L11" i="45"/>
  <c r="K11" i="45"/>
  <c r="A11" i="45" s="1"/>
  <c r="O10" i="45"/>
  <c r="E10" i="45" s="1"/>
  <c r="N10" i="45"/>
  <c r="M10" i="45"/>
  <c r="L10" i="45"/>
  <c r="K10" i="45"/>
  <c r="A10" i="45" s="1"/>
  <c r="O9" i="45"/>
  <c r="E9" i="45" s="1"/>
  <c r="N9" i="45"/>
  <c r="M9" i="45"/>
  <c r="L9" i="45"/>
  <c r="K9" i="45"/>
  <c r="A9" i="45" s="1"/>
  <c r="O7" i="45"/>
  <c r="E7" i="45" s="1"/>
  <c r="N7" i="45"/>
  <c r="M7" i="45"/>
  <c r="L7" i="45"/>
  <c r="K7" i="45"/>
  <c r="A7" i="45" s="1"/>
  <c r="O6" i="45"/>
  <c r="E6" i="45" s="1"/>
  <c r="N6" i="45"/>
  <c r="M6" i="45"/>
  <c r="L6" i="45"/>
  <c r="K6" i="45"/>
  <c r="A6" i="45" s="1"/>
  <c r="O5" i="45"/>
  <c r="E5" i="45" s="1"/>
  <c r="N5" i="45"/>
  <c r="M5" i="45"/>
  <c r="L5" i="45"/>
  <c r="K5" i="45"/>
  <c r="A5" i="45" s="1"/>
  <c r="O4" i="45"/>
  <c r="E4" i="45" s="1"/>
  <c r="N4" i="45"/>
  <c r="M4" i="45"/>
  <c r="L4" i="45"/>
  <c r="K4" i="45"/>
  <c r="A4" i="45" s="1"/>
  <c r="O3" i="45"/>
  <c r="E3" i="45" s="1"/>
  <c r="N3" i="45"/>
  <c r="M3" i="45"/>
  <c r="L3" i="45"/>
  <c r="K3" i="45"/>
  <c r="A3" i="45" s="1"/>
  <c r="O2" i="45"/>
  <c r="E2" i="45" s="1"/>
  <c r="N2" i="45"/>
  <c r="M2" i="45"/>
  <c r="L2" i="45"/>
  <c r="K2" i="45"/>
  <c r="A2" i="45" s="1"/>
  <c r="O79" i="44"/>
  <c r="E79" i="44" s="1"/>
  <c r="N79" i="44"/>
  <c r="M79" i="44"/>
  <c r="L79" i="44"/>
  <c r="K79" i="44"/>
  <c r="A79" i="44" s="1"/>
  <c r="A78" i="44"/>
  <c r="O77" i="44"/>
  <c r="N77" i="44"/>
  <c r="M77" i="44"/>
  <c r="L77" i="44"/>
  <c r="K77" i="44"/>
  <c r="O76" i="44"/>
  <c r="E76" i="44" s="1"/>
  <c r="N76" i="44"/>
  <c r="M76" i="44"/>
  <c r="L76" i="44"/>
  <c r="K76" i="44"/>
  <c r="A76" i="44" s="1"/>
  <c r="O75" i="44"/>
  <c r="E75" i="44" s="1"/>
  <c r="N75" i="44"/>
  <c r="M75" i="44"/>
  <c r="L75" i="44"/>
  <c r="K75" i="44"/>
  <c r="A75" i="44" s="1"/>
  <c r="A74" i="44"/>
  <c r="O73" i="44"/>
  <c r="N73" i="44"/>
  <c r="M73" i="44"/>
  <c r="L73" i="44"/>
  <c r="K73" i="44"/>
  <c r="O72" i="44"/>
  <c r="E72" i="44" s="1"/>
  <c r="N72" i="44"/>
  <c r="M72" i="44"/>
  <c r="L72" i="44"/>
  <c r="K72" i="44"/>
  <c r="A72" i="44" s="1"/>
  <c r="O71" i="44"/>
  <c r="E71" i="44" s="1"/>
  <c r="N71" i="44"/>
  <c r="M71" i="44"/>
  <c r="L71" i="44"/>
  <c r="K71" i="44"/>
  <c r="A71" i="44" s="1"/>
  <c r="O70" i="44"/>
  <c r="E70" i="44" s="1"/>
  <c r="N70" i="44"/>
  <c r="M70" i="44"/>
  <c r="L70" i="44"/>
  <c r="K70" i="44"/>
  <c r="A70" i="44" s="1"/>
  <c r="O69" i="44"/>
  <c r="E69" i="44" s="1"/>
  <c r="N69" i="44"/>
  <c r="M69" i="44"/>
  <c r="L69" i="44"/>
  <c r="K69" i="44"/>
  <c r="A69" i="44" s="1"/>
  <c r="A68" i="44"/>
  <c r="O66" i="44"/>
  <c r="E66" i="44" s="1"/>
  <c r="N66" i="44"/>
  <c r="M66" i="44"/>
  <c r="L66" i="44"/>
  <c r="K66" i="44"/>
  <c r="A66" i="44" s="1"/>
  <c r="O65" i="44"/>
  <c r="E65" i="44" s="1"/>
  <c r="N65" i="44"/>
  <c r="M65" i="44"/>
  <c r="L65" i="44"/>
  <c r="K65" i="44"/>
  <c r="A65" i="44" s="1"/>
  <c r="O64" i="44"/>
  <c r="E64" i="44" s="1"/>
  <c r="N64" i="44"/>
  <c r="M64" i="44"/>
  <c r="L64" i="44"/>
  <c r="K64" i="44"/>
  <c r="A64" i="44" s="1"/>
  <c r="O63" i="44"/>
  <c r="E63" i="44" s="1"/>
  <c r="N63" i="44"/>
  <c r="M63" i="44"/>
  <c r="L63" i="44"/>
  <c r="K63" i="44"/>
  <c r="A63" i="44" s="1"/>
  <c r="O62" i="44"/>
  <c r="E62" i="44" s="1"/>
  <c r="N62" i="44"/>
  <c r="M62" i="44"/>
  <c r="L62" i="44"/>
  <c r="K62" i="44"/>
  <c r="A62" i="44" s="1"/>
  <c r="O61" i="44"/>
  <c r="E61" i="44" s="1"/>
  <c r="N61" i="44"/>
  <c r="M61" i="44"/>
  <c r="L61" i="44"/>
  <c r="K61" i="44"/>
  <c r="A61" i="44" s="1"/>
  <c r="O60" i="44"/>
  <c r="E60" i="44" s="1"/>
  <c r="N60" i="44"/>
  <c r="M60" i="44"/>
  <c r="L60" i="44"/>
  <c r="K60" i="44"/>
  <c r="A60" i="44" s="1"/>
  <c r="O59" i="44"/>
  <c r="E59" i="44" s="1"/>
  <c r="N59" i="44"/>
  <c r="M59" i="44"/>
  <c r="L59" i="44"/>
  <c r="K59" i="44"/>
  <c r="A59" i="44" s="1"/>
  <c r="A58" i="44"/>
  <c r="O56" i="44"/>
  <c r="E56" i="44" s="1"/>
  <c r="N56" i="44"/>
  <c r="M56" i="44"/>
  <c r="L56" i="44"/>
  <c r="K56" i="44"/>
  <c r="A56" i="44" s="1"/>
  <c r="O55" i="44"/>
  <c r="E55" i="44" s="1"/>
  <c r="N55" i="44"/>
  <c r="M55" i="44"/>
  <c r="L55" i="44"/>
  <c r="K55" i="44"/>
  <c r="A55" i="44" s="1"/>
  <c r="O54" i="44"/>
  <c r="E54" i="44" s="1"/>
  <c r="N54" i="44"/>
  <c r="M54" i="44"/>
  <c r="L54" i="44"/>
  <c r="K54" i="44"/>
  <c r="A54" i="44" s="1"/>
  <c r="O53" i="44"/>
  <c r="E53" i="44" s="1"/>
  <c r="N53" i="44"/>
  <c r="M53" i="44"/>
  <c r="L53" i="44"/>
  <c r="K53" i="44"/>
  <c r="A53" i="44" s="1"/>
  <c r="O52" i="44"/>
  <c r="E52" i="44" s="1"/>
  <c r="N52" i="44"/>
  <c r="M52" i="44"/>
  <c r="L52" i="44"/>
  <c r="K52" i="44"/>
  <c r="A52" i="44" s="1"/>
  <c r="O51" i="44"/>
  <c r="E51" i="44" s="1"/>
  <c r="N51" i="44"/>
  <c r="M51" i="44"/>
  <c r="L51" i="44"/>
  <c r="K51" i="44"/>
  <c r="A51" i="44" s="1"/>
  <c r="O49" i="44"/>
  <c r="E49" i="44" s="1"/>
  <c r="N49" i="44"/>
  <c r="M49" i="44"/>
  <c r="L49" i="44"/>
  <c r="K49" i="44"/>
  <c r="A49" i="44" s="1"/>
  <c r="O48" i="44"/>
  <c r="E48" i="44" s="1"/>
  <c r="N48" i="44"/>
  <c r="M48" i="44"/>
  <c r="L48" i="44"/>
  <c r="K48" i="44"/>
  <c r="A48" i="44" s="1"/>
  <c r="O47" i="44"/>
  <c r="E47" i="44" s="1"/>
  <c r="N47" i="44"/>
  <c r="M47" i="44"/>
  <c r="L47" i="44"/>
  <c r="K47" i="44"/>
  <c r="A47" i="44" s="1"/>
  <c r="O46" i="44"/>
  <c r="E46" i="44" s="1"/>
  <c r="N46" i="44"/>
  <c r="M46" i="44"/>
  <c r="L46" i="44"/>
  <c r="K46" i="44"/>
  <c r="A46" i="44" s="1"/>
  <c r="O45" i="44"/>
  <c r="E45" i="44" s="1"/>
  <c r="N45" i="44"/>
  <c r="M45" i="44"/>
  <c r="L45" i="44"/>
  <c r="K45" i="44"/>
  <c r="A45" i="44" s="1"/>
  <c r="O44" i="44"/>
  <c r="E44" i="44" s="1"/>
  <c r="N44" i="44"/>
  <c r="M44" i="44"/>
  <c r="L44" i="44"/>
  <c r="K44" i="44"/>
  <c r="A44" i="44" s="1"/>
  <c r="O42" i="44"/>
  <c r="E42" i="44" s="1"/>
  <c r="N42" i="44"/>
  <c r="M42" i="44"/>
  <c r="L42" i="44"/>
  <c r="K42" i="44"/>
  <c r="A42" i="44" s="1"/>
  <c r="O41" i="44"/>
  <c r="E41" i="44" s="1"/>
  <c r="N41" i="44"/>
  <c r="M41" i="44"/>
  <c r="L41" i="44"/>
  <c r="K41" i="44"/>
  <c r="A41" i="44" s="1"/>
  <c r="O40" i="44"/>
  <c r="E40" i="44" s="1"/>
  <c r="N40" i="44"/>
  <c r="M40" i="44"/>
  <c r="L40" i="44"/>
  <c r="K40" i="44"/>
  <c r="A40" i="44" s="1"/>
  <c r="O39" i="44"/>
  <c r="E39" i="44" s="1"/>
  <c r="N39" i="44"/>
  <c r="M39" i="44"/>
  <c r="L39" i="44"/>
  <c r="K39" i="44"/>
  <c r="A39" i="44" s="1"/>
  <c r="O38" i="44"/>
  <c r="E38" i="44" s="1"/>
  <c r="N38" i="44"/>
  <c r="M38" i="44"/>
  <c r="L38" i="44"/>
  <c r="K38" i="44"/>
  <c r="A38" i="44" s="1"/>
  <c r="O37" i="44"/>
  <c r="E37" i="44" s="1"/>
  <c r="N37" i="44"/>
  <c r="M37" i="44"/>
  <c r="L37" i="44"/>
  <c r="K37" i="44"/>
  <c r="A37" i="44" s="1"/>
  <c r="O35" i="44"/>
  <c r="E35" i="44" s="1"/>
  <c r="N35" i="44"/>
  <c r="M35" i="44"/>
  <c r="L35" i="44"/>
  <c r="K35" i="44"/>
  <c r="A35" i="44" s="1"/>
  <c r="O34" i="44"/>
  <c r="E34" i="44" s="1"/>
  <c r="N34" i="44"/>
  <c r="M34" i="44"/>
  <c r="L34" i="44"/>
  <c r="K34" i="44"/>
  <c r="A34" i="44" s="1"/>
  <c r="O33" i="44"/>
  <c r="E33" i="44" s="1"/>
  <c r="N33" i="44"/>
  <c r="M33" i="44"/>
  <c r="L33" i="44"/>
  <c r="K33" i="44"/>
  <c r="A33" i="44" s="1"/>
  <c r="O32" i="44"/>
  <c r="E32" i="44" s="1"/>
  <c r="N32" i="44"/>
  <c r="M32" i="44"/>
  <c r="L32" i="44"/>
  <c r="K32" i="44"/>
  <c r="A32" i="44" s="1"/>
  <c r="O31" i="44"/>
  <c r="E31" i="44" s="1"/>
  <c r="N31" i="44"/>
  <c r="M31" i="44"/>
  <c r="L31" i="44"/>
  <c r="K31" i="44"/>
  <c r="A31" i="44" s="1"/>
  <c r="O30" i="44"/>
  <c r="E30" i="44" s="1"/>
  <c r="N30" i="44"/>
  <c r="M30" i="44"/>
  <c r="L30" i="44"/>
  <c r="K30" i="44"/>
  <c r="A30" i="44" s="1"/>
  <c r="O28" i="44"/>
  <c r="E28" i="44" s="1"/>
  <c r="N28" i="44"/>
  <c r="M28" i="44"/>
  <c r="L28" i="44"/>
  <c r="K28" i="44"/>
  <c r="A28" i="44" s="1"/>
  <c r="O27" i="44"/>
  <c r="E27" i="44" s="1"/>
  <c r="N27" i="44"/>
  <c r="M27" i="44"/>
  <c r="L27" i="44"/>
  <c r="K27" i="44"/>
  <c r="A27" i="44" s="1"/>
  <c r="O26" i="44"/>
  <c r="E26" i="44" s="1"/>
  <c r="N26" i="44"/>
  <c r="M26" i="44"/>
  <c r="L26" i="44"/>
  <c r="K26" i="44"/>
  <c r="A26" i="44" s="1"/>
  <c r="O25" i="44"/>
  <c r="E25" i="44" s="1"/>
  <c r="N25" i="44"/>
  <c r="M25" i="44"/>
  <c r="L25" i="44"/>
  <c r="K25" i="44"/>
  <c r="A25" i="44" s="1"/>
  <c r="O24" i="44"/>
  <c r="E24" i="44" s="1"/>
  <c r="N24" i="44"/>
  <c r="M24" i="44"/>
  <c r="L24" i="44"/>
  <c r="K24" i="44"/>
  <c r="A24" i="44" s="1"/>
  <c r="O23" i="44"/>
  <c r="E23" i="44" s="1"/>
  <c r="N23" i="44"/>
  <c r="M23" i="44"/>
  <c r="L23" i="44"/>
  <c r="K23" i="44"/>
  <c r="A23" i="44" s="1"/>
  <c r="O21" i="44"/>
  <c r="E21" i="44" s="1"/>
  <c r="N21" i="44"/>
  <c r="M21" i="44"/>
  <c r="L21" i="44"/>
  <c r="K21" i="44"/>
  <c r="A21" i="44" s="1"/>
  <c r="O20" i="44"/>
  <c r="E20" i="44" s="1"/>
  <c r="N20" i="44"/>
  <c r="M20" i="44"/>
  <c r="L20" i="44"/>
  <c r="K20" i="44"/>
  <c r="A20" i="44" s="1"/>
  <c r="O19" i="44"/>
  <c r="E19" i="44" s="1"/>
  <c r="N19" i="44"/>
  <c r="M19" i="44"/>
  <c r="L19" i="44"/>
  <c r="K19" i="44"/>
  <c r="A19" i="44" s="1"/>
  <c r="O18" i="44"/>
  <c r="E18" i="44" s="1"/>
  <c r="N18" i="44"/>
  <c r="M18" i="44"/>
  <c r="L18" i="44"/>
  <c r="K18" i="44"/>
  <c r="A18" i="44" s="1"/>
  <c r="O17" i="44"/>
  <c r="E17" i="44" s="1"/>
  <c r="N17" i="44"/>
  <c r="M17" i="44"/>
  <c r="L17" i="44"/>
  <c r="K17" i="44"/>
  <c r="A17" i="44" s="1"/>
  <c r="O16" i="44"/>
  <c r="E16" i="44" s="1"/>
  <c r="N16" i="44"/>
  <c r="M16" i="44"/>
  <c r="L16" i="44"/>
  <c r="K16" i="44"/>
  <c r="A16" i="44" s="1"/>
  <c r="O14" i="44"/>
  <c r="E14" i="44" s="1"/>
  <c r="N14" i="44"/>
  <c r="M14" i="44"/>
  <c r="L14" i="44"/>
  <c r="K14" i="44"/>
  <c r="A14" i="44" s="1"/>
  <c r="O13" i="44"/>
  <c r="E13" i="44" s="1"/>
  <c r="N13" i="44"/>
  <c r="M13" i="44"/>
  <c r="L13" i="44"/>
  <c r="K13" i="44"/>
  <c r="A13" i="44" s="1"/>
  <c r="O12" i="44"/>
  <c r="E12" i="44" s="1"/>
  <c r="N12" i="44"/>
  <c r="M12" i="44"/>
  <c r="L12" i="44"/>
  <c r="K12" i="44"/>
  <c r="A12" i="44" s="1"/>
  <c r="Q11" i="44"/>
  <c r="P5" i="31" s="1"/>
  <c r="O11" i="44"/>
  <c r="E11" i="44" s="1"/>
  <c r="N11" i="44"/>
  <c r="M11" i="44"/>
  <c r="L11" i="44"/>
  <c r="K11" i="44"/>
  <c r="A11" i="44" s="1"/>
  <c r="O10" i="44"/>
  <c r="E10" i="44" s="1"/>
  <c r="N10" i="44"/>
  <c r="M10" i="44"/>
  <c r="L10" i="44"/>
  <c r="K10" i="44"/>
  <c r="A10" i="44" s="1"/>
  <c r="O9" i="44"/>
  <c r="E9" i="44" s="1"/>
  <c r="N9" i="44"/>
  <c r="M9" i="44"/>
  <c r="L9" i="44"/>
  <c r="K9" i="44"/>
  <c r="A9" i="44" s="1"/>
  <c r="O7" i="44"/>
  <c r="E7" i="44" s="1"/>
  <c r="N7" i="44"/>
  <c r="M7" i="44"/>
  <c r="L7" i="44"/>
  <c r="K7" i="44"/>
  <c r="A7" i="44" s="1"/>
  <c r="O6" i="44"/>
  <c r="E6" i="44" s="1"/>
  <c r="N6" i="44"/>
  <c r="M6" i="44"/>
  <c r="L6" i="44"/>
  <c r="K6" i="44"/>
  <c r="A6" i="44" s="1"/>
  <c r="O5" i="44"/>
  <c r="E5" i="44" s="1"/>
  <c r="N5" i="44"/>
  <c r="M5" i="44"/>
  <c r="L5" i="44"/>
  <c r="K5" i="44"/>
  <c r="A5" i="44" s="1"/>
  <c r="O4" i="44"/>
  <c r="E4" i="44" s="1"/>
  <c r="N4" i="44"/>
  <c r="M4" i="44"/>
  <c r="L4" i="44"/>
  <c r="K4" i="44"/>
  <c r="A4" i="44" s="1"/>
  <c r="O3" i="44"/>
  <c r="E3" i="44" s="1"/>
  <c r="N3" i="44"/>
  <c r="M3" i="44"/>
  <c r="L3" i="44"/>
  <c r="K3" i="44"/>
  <c r="A3" i="44" s="1"/>
  <c r="O2" i="44"/>
  <c r="E2" i="44" s="1"/>
  <c r="N2" i="44"/>
  <c r="M2" i="44"/>
  <c r="L2" i="44"/>
  <c r="K2" i="44"/>
  <c r="A2" i="44" s="1"/>
  <c r="A58" i="3"/>
  <c r="Q11" i="3"/>
  <c r="L15" i="31" s="1"/>
  <c r="A78" i="3"/>
  <c r="A74" i="3"/>
  <c r="K70" i="3"/>
  <c r="A70" i="3" s="1"/>
  <c r="L70" i="3"/>
  <c r="M70" i="3"/>
  <c r="N70" i="3"/>
  <c r="O70" i="3"/>
  <c r="E70" i="3" s="1"/>
  <c r="K71" i="3"/>
  <c r="A71" i="3" s="1"/>
  <c r="L71" i="3"/>
  <c r="M71" i="3"/>
  <c r="N71" i="3"/>
  <c r="O71" i="3"/>
  <c r="E71" i="3" s="1"/>
  <c r="K72" i="3"/>
  <c r="A72" i="3" s="1"/>
  <c r="L72" i="3"/>
  <c r="M72" i="3"/>
  <c r="N72" i="3"/>
  <c r="O72" i="3"/>
  <c r="E72" i="3" s="1"/>
  <c r="K73" i="3"/>
  <c r="L73" i="3"/>
  <c r="M73" i="3"/>
  <c r="N73" i="3"/>
  <c r="O73" i="3"/>
  <c r="K75" i="3"/>
  <c r="A75" i="3" s="1"/>
  <c r="L75" i="3"/>
  <c r="M75" i="3"/>
  <c r="N75" i="3"/>
  <c r="O75" i="3"/>
  <c r="E75" i="3" s="1"/>
  <c r="K76" i="3"/>
  <c r="A76" i="3" s="1"/>
  <c r="L76" i="3"/>
  <c r="M76" i="3"/>
  <c r="N76" i="3"/>
  <c r="O76" i="3"/>
  <c r="E76" i="3" s="1"/>
  <c r="K77" i="3"/>
  <c r="L77" i="3"/>
  <c r="M77" i="3"/>
  <c r="N77" i="3"/>
  <c r="O77" i="3"/>
  <c r="K79" i="3"/>
  <c r="A79" i="3" s="1"/>
  <c r="L79" i="3"/>
  <c r="M79" i="3"/>
  <c r="N79" i="3"/>
  <c r="O79" i="3"/>
  <c r="E79" i="3" s="1"/>
  <c r="L69" i="3"/>
  <c r="M69" i="3"/>
  <c r="N69" i="3"/>
  <c r="O69" i="3"/>
  <c r="E69" i="3" s="1"/>
  <c r="K69" i="3"/>
  <c r="A69" i="3" s="1"/>
  <c r="L60" i="3"/>
  <c r="M60" i="3"/>
  <c r="N60" i="3"/>
  <c r="L61" i="3"/>
  <c r="M61" i="3"/>
  <c r="N61" i="3"/>
  <c r="L62" i="3"/>
  <c r="M62" i="3"/>
  <c r="N62" i="3"/>
  <c r="L63" i="3"/>
  <c r="M63" i="3"/>
  <c r="N63" i="3"/>
  <c r="L64" i="3"/>
  <c r="M64" i="3"/>
  <c r="N64" i="3"/>
  <c r="L65" i="3"/>
  <c r="M65" i="3"/>
  <c r="N65" i="3"/>
  <c r="L66" i="3"/>
  <c r="M66" i="3"/>
  <c r="N66" i="3"/>
  <c r="M59" i="3"/>
  <c r="N59" i="3"/>
  <c r="L59" i="3"/>
  <c r="A68" i="3"/>
  <c r="K60" i="3"/>
  <c r="A60" i="3" s="1"/>
  <c r="O60" i="3"/>
  <c r="E60" i="3" s="1"/>
  <c r="K61" i="3"/>
  <c r="A61" i="3" s="1"/>
  <c r="O61" i="3"/>
  <c r="E61" i="3" s="1"/>
  <c r="K62" i="3"/>
  <c r="A62" i="3" s="1"/>
  <c r="O62" i="3"/>
  <c r="E62" i="3" s="1"/>
  <c r="K63" i="3"/>
  <c r="A63" i="3" s="1"/>
  <c r="O63" i="3"/>
  <c r="E63" i="3" s="1"/>
  <c r="K64" i="3"/>
  <c r="A64" i="3" s="1"/>
  <c r="O64" i="3"/>
  <c r="E64" i="3" s="1"/>
  <c r="K65" i="3"/>
  <c r="A65" i="3" s="1"/>
  <c r="O65" i="3"/>
  <c r="E65" i="3" s="1"/>
  <c r="K66" i="3"/>
  <c r="A66" i="3" s="1"/>
  <c r="O66" i="3"/>
  <c r="E66" i="3" s="1"/>
  <c r="O59" i="3"/>
  <c r="E59" i="3" s="1"/>
  <c r="K59" i="3"/>
  <c r="A59" i="3" s="1"/>
  <c r="N4" i="3"/>
  <c r="K10" i="3"/>
  <c r="A10" i="3" s="1"/>
  <c r="L10" i="3"/>
  <c r="M10" i="3"/>
  <c r="N10" i="3"/>
  <c r="O10" i="3"/>
  <c r="E10" i="3" s="1"/>
  <c r="K11" i="3"/>
  <c r="A11" i="3" s="1"/>
  <c r="L11" i="3"/>
  <c r="M11" i="3"/>
  <c r="N11" i="3"/>
  <c r="O11" i="3"/>
  <c r="E11" i="3" s="1"/>
  <c r="K12" i="3"/>
  <c r="A12" i="3" s="1"/>
  <c r="L12" i="3"/>
  <c r="M12" i="3"/>
  <c r="N12" i="3"/>
  <c r="O12" i="3"/>
  <c r="E12" i="3" s="1"/>
  <c r="K13" i="3"/>
  <c r="A13" i="3" s="1"/>
  <c r="L13" i="3"/>
  <c r="M13" i="3"/>
  <c r="N13" i="3"/>
  <c r="O13" i="3"/>
  <c r="E13" i="3" s="1"/>
  <c r="K14" i="3"/>
  <c r="A14" i="3" s="1"/>
  <c r="L14" i="3"/>
  <c r="M14" i="3"/>
  <c r="N14" i="3"/>
  <c r="O14" i="3"/>
  <c r="E14" i="3" s="1"/>
  <c r="L9" i="3"/>
  <c r="M9" i="3"/>
  <c r="N9" i="3"/>
  <c r="O9" i="3"/>
  <c r="E9" i="3" s="1"/>
  <c r="J78" i="65" l="1"/>
  <c r="J78" i="56"/>
  <c r="J78" i="44"/>
  <c r="J78" i="53"/>
  <c r="J78" i="61"/>
  <c r="J78" i="48"/>
  <c r="J78" i="54"/>
  <c r="J78" i="64"/>
  <c r="J78" i="63"/>
  <c r="J78" i="49"/>
  <c r="J78" i="50"/>
  <c r="J78" i="60"/>
  <c r="J78" i="47"/>
  <c r="J78" i="66"/>
  <c r="J78" i="52"/>
  <c r="J78" i="62"/>
  <c r="J78" i="46"/>
  <c r="J78" i="55"/>
  <c r="J78" i="51"/>
  <c r="J78" i="45"/>
  <c r="J8" i="50"/>
  <c r="J8" i="60"/>
  <c r="J8" i="47"/>
  <c r="J8" i="66"/>
  <c r="J8" i="52"/>
  <c r="J8" i="62"/>
  <c r="J8" i="46"/>
  <c r="J8" i="55"/>
  <c r="J8" i="51"/>
  <c r="J8" i="65"/>
  <c r="J8" i="56"/>
  <c r="J8" i="44"/>
  <c r="J8" i="53"/>
  <c r="J8" i="61"/>
  <c r="J8" i="48"/>
  <c r="J8" i="54"/>
  <c r="J8" i="45"/>
  <c r="J8" i="64"/>
  <c r="J8" i="63"/>
  <c r="J8" i="49"/>
  <c r="J22" i="60"/>
  <c r="J22" i="47"/>
  <c r="J22" i="66"/>
  <c r="J22" i="52"/>
  <c r="J22" i="62"/>
  <c r="J22" i="46"/>
  <c r="J22" i="55"/>
  <c r="J22" i="51"/>
  <c r="J22" i="65"/>
  <c r="J22" i="56"/>
  <c r="J22" i="44"/>
  <c r="J22" i="53"/>
  <c r="J22" i="61"/>
  <c r="J22" i="48"/>
  <c r="J22" i="45"/>
  <c r="J22" i="54"/>
  <c r="J22" i="64"/>
  <c r="J22" i="63"/>
  <c r="J22" i="49"/>
  <c r="J22" i="50"/>
  <c r="J77" i="51"/>
  <c r="J77" i="65"/>
  <c r="J77" i="56"/>
  <c r="J77" i="44"/>
  <c r="J77" i="53"/>
  <c r="J77" i="61"/>
  <c r="J77" i="48"/>
  <c r="J77" i="54"/>
  <c r="J77" i="64"/>
  <c r="J77" i="63"/>
  <c r="J77" i="49"/>
  <c r="J77" i="50"/>
  <c r="J77" i="60"/>
  <c r="J77" i="47"/>
  <c r="J77" i="66"/>
  <c r="J77" i="52"/>
  <c r="J77" i="62"/>
  <c r="J77" i="46"/>
  <c r="J77" i="45"/>
  <c r="J77" i="55"/>
  <c r="J80" i="61"/>
  <c r="J80" i="48"/>
  <c r="J80" i="54"/>
  <c r="J80" i="45"/>
  <c r="J80" i="64"/>
  <c r="J80" i="63"/>
  <c r="J80" i="49"/>
  <c r="J80" i="50"/>
  <c r="J80" i="60"/>
  <c r="J80" i="47"/>
  <c r="J80" i="66"/>
  <c r="J80" i="52"/>
  <c r="J80" i="62"/>
  <c r="J80" i="46"/>
  <c r="J80" i="55"/>
  <c r="J80" i="51"/>
  <c r="J80" i="65"/>
  <c r="J80" i="56"/>
  <c r="J80" i="44"/>
  <c r="J80" i="53"/>
  <c r="J36" i="66"/>
  <c r="J36" i="52"/>
  <c r="J36" i="62"/>
  <c r="J36" i="46"/>
  <c r="J36" i="55"/>
  <c r="J36" i="51"/>
  <c r="J36" i="65"/>
  <c r="J36" i="56"/>
  <c r="J36" i="44"/>
  <c r="J36" i="53"/>
  <c r="J36" i="61"/>
  <c r="J36" i="48"/>
  <c r="J36" i="54"/>
  <c r="J36" i="64"/>
  <c r="J36" i="63"/>
  <c r="J36" i="45"/>
  <c r="J36" i="49"/>
  <c r="J36" i="50"/>
  <c r="J36" i="60"/>
  <c r="J36" i="47"/>
  <c r="J43" i="54"/>
  <c r="J43" i="64"/>
  <c r="J43" i="63"/>
  <c r="J43" i="49"/>
  <c r="J43" i="50"/>
  <c r="J43" i="45"/>
  <c r="J43" i="60"/>
  <c r="J43" i="47"/>
  <c r="J43" i="66"/>
  <c r="J43" i="52"/>
  <c r="J43" i="62"/>
  <c r="J43" i="46"/>
  <c r="J43" i="55"/>
  <c r="J43" i="51"/>
  <c r="J43" i="65"/>
  <c r="J43" i="56"/>
  <c r="J43" i="44"/>
  <c r="J43" i="53"/>
  <c r="J43" i="61"/>
  <c r="J43" i="48"/>
  <c r="J50" i="55"/>
  <c r="J50" i="51"/>
  <c r="J50" i="65"/>
  <c r="J50" i="56"/>
  <c r="J50" i="44"/>
  <c r="J50" i="53"/>
  <c r="J50" i="61"/>
  <c r="J50" i="48"/>
  <c r="J50" i="54"/>
  <c r="J50" i="64"/>
  <c r="J50" i="63"/>
  <c r="J50" i="49"/>
  <c r="J50" i="50"/>
  <c r="J50" i="60"/>
  <c r="J50" i="47"/>
  <c r="J50" i="66"/>
  <c r="J50" i="52"/>
  <c r="J50" i="45"/>
  <c r="J50" i="62"/>
  <c r="J50" i="46"/>
  <c r="J68" i="61"/>
  <c r="J68" i="48"/>
  <c r="J68" i="54"/>
  <c r="J68" i="45"/>
  <c r="J68" i="64"/>
  <c r="J68" i="63"/>
  <c r="J68" i="49"/>
  <c r="J68" i="50"/>
  <c r="J68" i="60"/>
  <c r="J68" i="47"/>
  <c r="J68" i="66"/>
  <c r="J68" i="52"/>
  <c r="J68" i="62"/>
  <c r="J68" i="46"/>
  <c r="J68" i="55"/>
  <c r="J68" i="51"/>
  <c r="J68" i="65"/>
  <c r="J68" i="56"/>
  <c r="J68" i="44"/>
  <c r="J68" i="53"/>
  <c r="J73" i="60"/>
  <c r="J73" i="47"/>
  <c r="J73" i="66"/>
  <c r="J73" i="52"/>
  <c r="J73" i="62"/>
  <c r="J73" i="46"/>
  <c r="J73" i="55"/>
  <c r="J73" i="51"/>
  <c r="J73" i="65"/>
  <c r="J73" i="56"/>
  <c r="J73" i="44"/>
  <c r="J73" i="53"/>
  <c r="J73" i="45"/>
  <c r="J73" i="61"/>
  <c r="J73" i="48"/>
  <c r="J73" i="54"/>
  <c r="J73" i="64"/>
  <c r="J73" i="63"/>
  <c r="J73" i="49"/>
  <c r="J73" i="50"/>
  <c r="J74" i="66"/>
  <c r="J74" i="52"/>
  <c r="J74" i="62"/>
  <c r="J74" i="46"/>
  <c r="J74" i="55"/>
  <c r="J74" i="51"/>
  <c r="J74" i="65"/>
  <c r="J74" i="56"/>
  <c r="J74" i="44"/>
  <c r="J74" i="53"/>
  <c r="J74" i="61"/>
  <c r="J74" i="48"/>
  <c r="J74" i="54"/>
  <c r="J74" i="45"/>
  <c r="J74" i="64"/>
  <c r="J74" i="63"/>
  <c r="J74" i="49"/>
  <c r="J74" i="50"/>
  <c r="J74" i="60"/>
  <c r="J74" i="47"/>
  <c r="Y32" i="31"/>
  <c r="Y34" i="31" s="1"/>
  <c r="L3" i="31"/>
  <c r="L17" i="31"/>
  <c r="L14" i="31"/>
  <c r="L19" i="31"/>
  <c r="L13" i="31"/>
  <c r="L7" i="31"/>
  <c r="L8" i="31"/>
  <c r="L16" i="31"/>
  <c r="L12" i="31"/>
  <c r="L10" i="31"/>
  <c r="L23" i="31"/>
  <c r="L6" i="31"/>
  <c r="L9" i="31"/>
  <c r="L22" i="31"/>
  <c r="L11" i="31"/>
  <c r="L5" i="31"/>
  <c r="L18" i="31"/>
  <c r="L21" i="31"/>
  <c r="L4" i="31"/>
  <c r="P3" i="31"/>
  <c r="C19" i="31"/>
  <c r="F19" i="31" s="1"/>
  <c r="C3" i="31"/>
  <c r="I3" i="31" s="1"/>
  <c r="C14" i="31"/>
  <c r="H14" i="31" s="1"/>
  <c r="C11" i="31"/>
  <c r="F11" i="31" s="1"/>
  <c r="C15" i="31"/>
  <c r="G15" i="31" s="1"/>
  <c r="C16" i="31"/>
  <c r="H16" i="31" s="1"/>
  <c r="C9" i="31"/>
  <c r="G9" i="31" s="1"/>
  <c r="C23" i="31"/>
  <c r="D23" i="31" s="1"/>
  <c r="C22" i="31"/>
  <c r="E22" i="31" s="1"/>
  <c r="C18" i="31"/>
  <c r="I18" i="31" s="1"/>
  <c r="C17" i="31"/>
  <c r="G17" i="31" s="1"/>
  <c r="C10" i="31"/>
  <c r="G10" i="31" s="1"/>
  <c r="C13" i="31"/>
  <c r="I13" i="31" s="1"/>
  <c r="C12" i="31"/>
  <c r="I12" i="31" s="1"/>
  <c r="C20" i="31"/>
  <c r="G20" i="31" s="1"/>
  <c r="C7" i="31"/>
  <c r="I7" i="31" s="1"/>
  <c r="C6" i="31"/>
  <c r="I6" i="31" s="1"/>
  <c r="C5" i="31"/>
  <c r="I5" i="31" s="1"/>
  <c r="C4" i="31"/>
  <c r="E4" i="31" s="1"/>
  <c r="C21" i="31"/>
  <c r="P4" i="31"/>
  <c r="I8" i="31"/>
  <c r="G8" i="31"/>
  <c r="E8" i="31"/>
  <c r="H8" i="31"/>
  <c r="F8" i="31"/>
  <c r="K17" i="3"/>
  <c r="A17" i="3" s="1"/>
  <c r="L17" i="3"/>
  <c r="M17" i="3"/>
  <c r="N17" i="3"/>
  <c r="O17" i="3"/>
  <c r="E17" i="3" s="1"/>
  <c r="K18" i="3"/>
  <c r="A18" i="3" s="1"/>
  <c r="L18" i="3"/>
  <c r="M18" i="3"/>
  <c r="N18" i="3"/>
  <c r="O18" i="3"/>
  <c r="E18" i="3" s="1"/>
  <c r="K19" i="3"/>
  <c r="A19" i="3" s="1"/>
  <c r="L19" i="3"/>
  <c r="M19" i="3"/>
  <c r="N19" i="3"/>
  <c r="O19" i="3"/>
  <c r="E19" i="3" s="1"/>
  <c r="K20" i="3"/>
  <c r="A20" i="3" s="1"/>
  <c r="L20" i="3"/>
  <c r="M20" i="3"/>
  <c r="N20" i="3"/>
  <c r="O20" i="3"/>
  <c r="E20" i="3" s="1"/>
  <c r="K21" i="3"/>
  <c r="A21" i="3" s="1"/>
  <c r="L21" i="3"/>
  <c r="M21" i="3"/>
  <c r="N21" i="3"/>
  <c r="O21" i="3"/>
  <c r="E21" i="3" s="1"/>
  <c r="L16" i="3"/>
  <c r="M16" i="3"/>
  <c r="N16" i="3"/>
  <c r="O16" i="3"/>
  <c r="E16" i="3" s="1"/>
  <c r="K16" i="3"/>
  <c r="A16" i="3" s="1"/>
  <c r="D21" i="31" l="1"/>
  <c r="I19" i="31"/>
  <c r="E19" i="31"/>
  <c r="H19" i="31"/>
  <c r="G19" i="31"/>
  <c r="H20" i="31"/>
  <c r="E3" i="31"/>
  <c r="G3" i="31"/>
  <c r="F20" i="31"/>
  <c r="E16" i="31"/>
  <c r="E11" i="31"/>
  <c r="G14" i="31"/>
  <c r="H11" i="31"/>
  <c r="G11" i="31"/>
  <c r="I11" i="31"/>
  <c r="E14" i="31"/>
  <c r="I14" i="31"/>
  <c r="I15" i="31"/>
  <c r="I20" i="31"/>
  <c r="F14" i="31"/>
  <c r="F15" i="31"/>
  <c r="H15" i="31"/>
  <c r="H3" i="31"/>
  <c r="F3" i="31"/>
  <c r="G16" i="31"/>
  <c r="I16" i="31"/>
  <c r="F9" i="31"/>
  <c r="H9" i="31"/>
  <c r="F16" i="31"/>
  <c r="E15" i="31"/>
  <c r="E10" i="31"/>
  <c r="I9" i="31"/>
  <c r="E9" i="31"/>
  <c r="G12" i="31"/>
  <c r="G22" i="31"/>
  <c r="G18" i="31"/>
  <c r="H22" i="31"/>
  <c r="F22" i="31"/>
  <c r="G4" i="31"/>
  <c r="I17" i="31"/>
  <c r="E23" i="31"/>
  <c r="E18" i="31"/>
  <c r="F4" i="31"/>
  <c r="F18" i="31"/>
  <c r="G13" i="31"/>
  <c r="I4" i="31"/>
  <c r="E13" i="31"/>
  <c r="H4" i="31"/>
  <c r="H18" i="31"/>
  <c r="I22" i="31"/>
  <c r="F17" i="31"/>
  <c r="D22" i="31"/>
  <c r="H23" i="31"/>
  <c r="E20" i="31"/>
  <c r="F23" i="31"/>
  <c r="G5" i="31"/>
  <c r="G23" i="31"/>
  <c r="I23" i="31"/>
  <c r="F5" i="31"/>
  <c r="H5" i="31"/>
  <c r="F6" i="31"/>
  <c r="E5" i="31"/>
  <c r="H6" i="31"/>
  <c r="I10" i="31"/>
  <c r="F10" i="31"/>
  <c r="H10" i="31"/>
  <c r="F12" i="31"/>
  <c r="H12" i="31"/>
  <c r="F13" i="31"/>
  <c r="E12" i="31"/>
  <c r="H13" i="31"/>
  <c r="H17" i="31"/>
  <c r="E17" i="31"/>
  <c r="F7" i="31"/>
  <c r="H7" i="31"/>
  <c r="E21" i="31"/>
  <c r="I21" i="31"/>
  <c r="H21" i="31"/>
  <c r="F21" i="31"/>
  <c r="G21" i="31"/>
  <c r="E6" i="31"/>
  <c r="E7" i="31"/>
  <c r="G6" i="31"/>
  <c r="G7" i="31"/>
  <c r="D15" i="31"/>
  <c r="D17" i="31"/>
  <c r="D16" i="31"/>
  <c r="D20" i="31"/>
  <c r="D19" i="31"/>
  <c r="D18" i="31"/>
  <c r="D14" i="31"/>
  <c r="D10" i="31"/>
  <c r="K3" i="3"/>
  <c r="A3" i="3" s="1"/>
  <c r="K4" i="3"/>
  <c r="A4" i="3" s="1"/>
  <c r="K5" i="3"/>
  <c r="A5" i="3" s="1"/>
  <c r="K6" i="3"/>
  <c r="A6" i="3" s="1"/>
  <c r="K7" i="3"/>
  <c r="A7" i="3" s="1"/>
  <c r="K24" i="3"/>
  <c r="A24" i="3" s="1"/>
  <c r="K25" i="3"/>
  <c r="A25" i="3" s="1"/>
  <c r="K26" i="3"/>
  <c r="A26" i="3" s="1"/>
  <c r="K27" i="3"/>
  <c r="A27" i="3" s="1"/>
  <c r="K28" i="3"/>
  <c r="A28" i="3" s="1"/>
  <c r="O24" i="3"/>
  <c r="E24" i="3" s="1"/>
  <c r="O25" i="3"/>
  <c r="E25" i="3" s="1"/>
  <c r="O26" i="3"/>
  <c r="E26" i="3" s="1"/>
  <c r="O27" i="3"/>
  <c r="E27" i="3" s="1"/>
  <c r="O28" i="3"/>
  <c r="E28" i="3" s="1"/>
  <c r="K52" i="3"/>
  <c r="A52" i="3" s="1"/>
  <c r="L52" i="3"/>
  <c r="M52" i="3"/>
  <c r="N52" i="3"/>
  <c r="O52" i="3"/>
  <c r="E52" i="3" s="1"/>
  <c r="K53" i="3"/>
  <c r="A53" i="3" s="1"/>
  <c r="L53" i="3"/>
  <c r="M53" i="3"/>
  <c r="N53" i="3"/>
  <c r="O53" i="3"/>
  <c r="E53" i="3" s="1"/>
  <c r="K54" i="3"/>
  <c r="A54" i="3" s="1"/>
  <c r="L54" i="3"/>
  <c r="M54" i="3"/>
  <c r="N54" i="3"/>
  <c r="O54" i="3"/>
  <c r="E54" i="3" s="1"/>
  <c r="K55" i="3"/>
  <c r="A55" i="3" s="1"/>
  <c r="L55" i="3"/>
  <c r="M55" i="3"/>
  <c r="N55" i="3"/>
  <c r="O55" i="3"/>
  <c r="E55" i="3" s="1"/>
  <c r="K56" i="3"/>
  <c r="A56" i="3" s="1"/>
  <c r="L56" i="3"/>
  <c r="M56" i="3"/>
  <c r="N56" i="3"/>
  <c r="O56" i="3"/>
  <c r="E56" i="3" s="1"/>
  <c r="K45" i="3"/>
  <c r="A45" i="3" s="1"/>
  <c r="L45" i="3"/>
  <c r="M45" i="3"/>
  <c r="N45" i="3"/>
  <c r="O45" i="3"/>
  <c r="E45" i="3" s="1"/>
  <c r="K46" i="3"/>
  <c r="A46" i="3" s="1"/>
  <c r="L46" i="3"/>
  <c r="M46" i="3"/>
  <c r="N46" i="3"/>
  <c r="O46" i="3"/>
  <c r="E46" i="3" s="1"/>
  <c r="K47" i="3"/>
  <c r="A47" i="3" s="1"/>
  <c r="L47" i="3"/>
  <c r="M47" i="3"/>
  <c r="N47" i="3"/>
  <c r="O47" i="3"/>
  <c r="E47" i="3" s="1"/>
  <c r="K48" i="3"/>
  <c r="A48" i="3" s="1"/>
  <c r="L48" i="3"/>
  <c r="M48" i="3"/>
  <c r="N48" i="3"/>
  <c r="O48" i="3"/>
  <c r="E48" i="3" s="1"/>
  <c r="K49" i="3"/>
  <c r="A49" i="3" s="1"/>
  <c r="L49" i="3"/>
  <c r="M49" i="3"/>
  <c r="N49" i="3"/>
  <c r="O49" i="3"/>
  <c r="E49" i="3" s="1"/>
  <c r="K38" i="3"/>
  <c r="A38" i="3" s="1"/>
  <c r="L38" i="3"/>
  <c r="M38" i="3"/>
  <c r="N38" i="3"/>
  <c r="O38" i="3"/>
  <c r="E38" i="3" s="1"/>
  <c r="K39" i="3"/>
  <c r="A39" i="3" s="1"/>
  <c r="L39" i="3"/>
  <c r="M39" i="3"/>
  <c r="N39" i="3"/>
  <c r="O39" i="3"/>
  <c r="E39" i="3" s="1"/>
  <c r="K40" i="3"/>
  <c r="A40" i="3" s="1"/>
  <c r="L40" i="3"/>
  <c r="M40" i="3"/>
  <c r="N40" i="3"/>
  <c r="O40" i="3"/>
  <c r="E40" i="3" s="1"/>
  <c r="K41" i="3"/>
  <c r="A41" i="3" s="1"/>
  <c r="L41" i="3"/>
  <c r="M41" i="3"/>
  <c r="N41" i="3"/>
  <c r="O41" i="3"/>
  <c r="E41" i="3" s="1"/>
  <c r="K42" i="3"/>
  <c r="A42" i="3" s="1"/>
  <c r="L42" i="3"/>
  <c r="M42" i="3"/>
  <c r="N42" i="3"/>
  <c r="O42" i="3"/>
  <c r="E42" i="3" s="1"/>
  <c r="K31" i="3"/>
  <c r="A31" i="3" s="1"/>
  <c r="L31" i="3"/>
  <c r="M31" i="3"/>
  <c r="N31" i="3"/>
  <c r="O31" i="3"/>
  <c r="E31" i="3" s="1"/>
  <c r="K32" i="3"/>
  <c r="A32" i="3" s="1"/>
  <c r="L32" i="3"/>
  <c r="M32" i="3"/>
  <c r="N32" i="3"/>
  <c r="O32" i="3"/>
  <c r="E32" i="3" s="1"/>
  <c r="K33" i="3"/>
  <c r="A33" i="3" s="1"/>
  <c r="L33" i="3"/>
  <c r="M33" i="3"/>
  <c r="N33" i="3"/>
  <c r="O33" i="3"/>
  <c r="E33" i="3" s="1"/>
  <c r="K34" i="3"/>
  <c r="A34" i="3" s="1"/>
  <c r="L34" i="3"/>
  <c r="M34" i="3"/>
  <c r="N34" i="3"/>
  <c r="O34" i="3"/>
  <c r="E34" i="3" s="1"/>
  <c r="K35" i="3"/>
  <c r="A35" i="3" s="1"/>
  <c r="L35" i="3"/>
  <c r="M35" i="3"/>
  <c r="N35" i="3"/>
  <c r="O35" i="3"/>
  <c r="E35" i="3" s="1"/>
  <c r="M51" i="3"/>
  <c r="N51" i="3"/>
  <c r="O51" i="3"/>
  <c r="E51" i="3" s="1"/>
  <c r="K51" i="3"/>
  <c r="A51" i="3" s="1"/>
  <c r="K44" i="3"/>
  <c r="A44" i="3" s="1"/>
  <c r="M44" i="3"/>
  <c r="N44" i="3"/>
  <c r="O44" i="3"/>
  <c r="E44" i="3" s="1"/>
  <c r="M37" i="3"/>
  <c r="N37" i="3"/>
  <c r="O37" i="3"/>
  <c r="E37" i="3" s="1"/>
  <c r="K37" i="3"/>
  <c r="A37" i="3" s="1"/>
  <c r="M30" i="3"/>
  <c r="N30" i="3"/>
  <c r="O30" i="3"/>
  <c r="E30" i="3" s="1"/>
  <c r="K30" i="3"/>
  <c r="A30" i="3" s="1"/>
  <c r="L51" i="3"/>
  <c r="L44" i="3"/>
  <c r="L37" i="3"/>
  <c r="L30" i="3"/>
  <c r="O23" i="3"/>
  <c r="E23" i="3" s="1"/>
  <c r="K23" i="3"/>
  <c r="A23" i="3" s="1"/>
  <c r="K9" i="3"/>
  <c r="A9" i="3" s="1"/>
  <c r="N3" i="3"/>
  <c r="O3" i="3"/>
  <c r="E3" i="3" s="1"/>
  <c r="O4" i="3"/>
  <c r="E4" i="3" s="1"/>
  <c r="N5" i="3"/>
  <c r="O5" i="3"/>
  <c r="E5" i="3" s="1"/>
  <c r="N6" i="3"/>
  <c r="O6" i="3"/>
  <c r="E6" i="3" s="1"/>
  <c r="N7" i="3"/>
  <c r="O7" i="3"/>
  <c r="E7" i="3" s="1"/>
  <c r="O2" i="3"/>
  <c r="E2" i="3" s="1"/>
  <c r="K2" i="3"/>
  <c r="A2" i="3" s="1"/>
  <c r="L24" i="3"/>
  <c r="M24" i="3"/>
  <c r="N24" i="3"/>
  <c r="L25" i="3"/>
  <c r="M25" i="3"/>
  <c r="N25" i="3"/>
  <c r="L26" i="3"/>
  <c r="M26" i="3"/>
  <c r="N26" i="3"/>
  <c r="L27" i="3"/>
  <c r="M27" i="3"/>
  <c r="N27" i="3"/>
  <c r="L28" i="3"/>
  <c r="M28" i="3"/>
  <c r="N28" i="3"/>
  <c r="M23" i="3"/>
  <c r="N23" i="3"/>
  <c r="L23" i="3"/>
  <c r="L7" i="3"/>
  <c r="M7" i="3"/>
  <c r="M2" i="3"/>
  <c r="N2" i="3"/>
  <c r="M3" i="3"/>
  <c r="M4" i="3"/>
  <c r="M5" i="3"/>
  <c r="M6" i="3"/>
  <c r="L3" i="3"/>
  <c r="L4" i="3"/>
  <c r="L5" i="3"/>
  <c r="L6" i="3"/>
  <c r="L2" i="3"/>
  <c r="V12" i="1"/>
  <c r="R3" i="1" l="1"/>
  <c r="R16" i="1"/>
  <c r="R12" i="1"/>
  <c r="R8" i="1"/>
  <c r="D3" i="31"/>
  <c r="D4" i="31"/>
  <c r="D12" i="31"/>
  <c r="D13" i="31"/>
  <c r="D11" i="31"/>
  <c r="D7" i="31"/>
  <c r="D9" i="31"/>
  <c r="D6" i="31"/>
  <c r="D8" i="31"/>
  <c r="D5" i="31"/>
</calcChain>
</file>

<file path=xl/sharedStrings.xml><?xml version="1.0" encoding="utf-8"?>
<sst xmlns="http://schemas.openxmlformats.org/spreadsheetml/2006/main" count="3815" uniqueCount="289">
  <si>
    <t>Grupo A</t>
  </si>
  <si>
    <t>Grupo B</t>
  </si>
  <si>
    <t>Grupo C</t>
  </si>
  <si>
    <t>Grupo D</t>
  </si>
  <si>
    <t>Alemanha</t>
  </si>
  <si>
    <t>Argentina</t>
  </si>
  <si>
    <t>Austrália</t>
  </si>
  <si>
    <t>Bélgica</t>
  </si>
  <si>
    <t>Brasil</t>
  </si>
  <si>
    <t>Croácia</t>
  </si>
  <si>
    <t>Espanha</t>
  </si>
  <si>
    <t>França</t>
  </si>
  <si>
    <t>Holanda</t>
  </si>
  <si>
    <t>Inglaterra</t>
  </si>
  <si>
    <t>Japão</t>
  </si>
  <si>
    <t>Marrocos</t>
  </si>
  <si>
    <t>Polônia</t>
  </si>
  <si>
    <t>Portugal</t>
  </si>
  <si>
    <t>Senegal</t>
  </si>
  <si>
    <t>Suíça</t>
  </si>
  <si>
    <t>x</t>
  </si>
  <si>
    <t>Grupo E</t>
  </si>
  <si>
    <t>Grupo F</t>
  </si>
  <si>
    <t>Grupo G</t>
  </si>
  <si>
    <t>Grupo H</t>
  </si>
  <si>
    <t>ARTILHEIRO:</t>
  </si>
  <si>
    <t>CAMPEÃO:</t>
  </si>
  <si>
    <t>Total de Participantes</t>
  </si>
  <si>
    <t>Valor R$ de cada aposta</t>
  </si>
  <si>
    <t>Valor Arrecadado</t>
  </si>
  <si>
    <t>2º Colocado (30%)</t>
  </si>
  <si>
    <t>3º Colocado (20%)</t>
  </si>
  <si>
    <t>TOTAL DE PONTOS</t>
  </si>
  <si>
    <t>X</t>
  </si>
  <si>
    <t>EUA</t>
  </si>
  <si>
    <t>GRUPO A</t>
  </si>
  <si>
    <t>GRUPO H</t>
  </si>
  <si>
    <t>GRUPO G</t>
  </si>
  <si>
    <t>GRUPO F</t>
  </si>
  <si>
    <t>GRUPO E</t>
  </si>
  <si>
    <t>GRUPO D</t>
  </si>
  <si>
    <t>GRUPO C</t>
  </si>
  <si>
    <t>GRUPO B</t>
  </si>
  <si>
    <t>Total de Pontos</t>
  </si>
  <si>
    <t>Ivan Alex_2</t>
  </si>
  <si>
    <t>Macélio</t>
  </si>
  <si>
    <t>Luis</t>
  </si>
  <si>
    <t>Gabriel</t>
  </si>
  <si>
    <t>Juninho_1</t>
  </si>
  <si>
    <t>Juninho_2</t>
  </si>
  <si>
    <t>Luana</t>
  </si>
  <si>
    <t>Mácio</t>
  </si>
  <si>
    <t>Alex</t>
  </si>
  <si>
    <t>Jean</t>
  </si>
  <si>
    <t>Robert</t>
  </si>
  <si>
    <t>Roberto</t>
  </si>
  <si>
    <t>Andréia</t>
  </si>
  <si>
    <t>Joseir_1</t>
  </si>
  <si>
    <t>Joseir_2</t>
  </si>
  <si>
    <t>Ivani</t>
  </si>
  <si>
    <t>Julio</t>
  </si>
  <si>
    <t>Talita</t>
  </si>
  <si>
    <t>Anderson</t>
  </si>
  <si>
    <t>Cléofaz</t>
  </si>
  <si>
    <t>Ivan Alex_1</t>
  </si>
  <si>
    <t>Bruno Flores</t>
  </si>
  <si>
    <t xml:space="preserve">Josimar </t>
  </si>
  <si>
    <t>1º</t>
  </si>
  <si>
    <t>2º</t>
  </si>
  <si>
    <t>3º</t>
  </si>
  <si>
    <t>4º</t>
  </si>
  <si>
    <t>11º</t>
  </si>
  <si>
    <t>12º</t>
  </si>
  <si>
    <t>13º</t>
  </si>
  <si>
    <t>14º</t>
  </si>
  <si>
    <t>15º</t>
  </si>
  <si>
    <t>16º</t>
  </si>
  <si>
    <t>17º</t>
  </si>
  <si>
    <t>18º</t>
  </si>
  <si>
    <t>NOME</t>
  </si>
  <si>
    <t>Acertos do Placar</t>
  </si>
  <si>
    <t>Cempeão</t>
  </si>
  <si>
    <t>Artilheiro</t>
  </si>
  <si>
    <t>Neymar</t>
  </si>
  <si>
    <t>Mbappé</t>
  </si>
  <si>
    <t>Harry Kane</t>
  </si>
  <si>
    <t>Messi</t>
  </si>
  <si>
    <t>C. Ronaldo</t>
  </si>
  <si>
    <t>Vinicius Jr.</t>
  </si>
  <si>
    <t>Richarlison</t>
  </si>
  <si>
    <t>Richarlisson</t>
  </si>
  <si>
    <t>Raphinha</t>
  </si>
  <si>
    <t>Pedro</t>
  </si>
  <si>
    <t>Harry Cane</t>
  </si>
  <si>
    <t>M. Depay</t>
  </si>
  <si>
    <t>Quartas de Final</t>
  </si>
  <si>
    <t>Semi Final</t>
  </si>
  <si>
    <t>Terceiro Lugar</t>
  </si>
  <si>
    <t>Final</t>
  </si>
  <si>
    <t>IVAN_1</t>
  </si>
  <si>
    <t>IVAN_2</t>
  </si>
  <si>
    <t>BRUNO</t>
  </si>
  <si>
    <t>LUIS</t>
  </si>
  <si>
    <t>GABRIEL</t>
  </si>
  <si>
    <t>JUNINHO_1</t>
  </si>
  <si>
    <t>JUNINHO_2</t>
  </si>
  <si>
    <t>LUANA</t>
  </si>
  <si>
    <t>MACÉLIO</t>
  </si>
  <si>
    <t>IVANI</t>
  </si>
  <si>
    <t>MÁCIO</t>
  </si>
  <si>
    <t>ALEX</t>
  </si>
  <si>
    <t>JEAN</t>
  </si>
  <si>
    <t>ROBERT</t>
  </si>
  <si>
    <t>ROBERTO</t>
  </si>
  <si>
    <t>ANDRÉIA</t>
  </si>
  <si>
    <t>JOSEIR_2</t>
  </si>
  <si>
    <t>JOSEIR_1</t>
  </si>
  <si>
    <t>JOSIMAR</t>
  </si>
  <si>
    <t>JULIO</t>
  </si>
  <si>
    <t>TALITA</t>
  </si>
  <si>
    <t>ANDERSON</t>
  </si>
  <si>
    <t>CLÉOFAZ</t>
  </si>
  <si>
    <t>EstadosUnidos</t>
  </si>
  <si>
    <t>Coréia</t>
  </si>
  <si>
    <t>Estados</t>
  </si>
  <si>
    <t>Unidos</t>
  </si>
  <si>
    <t>Oitavas de Final</t>
  </si>
  <si>
    <t xml:space="preserve"> - Oitavas de Final</t>
  </si>
  <si>
    <t xml:space="preserve"> - Quartas de Final</t>
  </si>
  <si>
    <t>Campeão</t>
  </si>
  <si>
    <t>2º Campeão</t>
  </si>
  <si>
    <t>1º Artilheiro</t>
  </si>
  <si>
    <t>2º Artilheiro</t>
  </si>
  <si>
    <t xml:space="preserve"> - Semi Final</t>
  </si>
  <si>
    <t xml:space="preserve"> - Final</t>
  </si>
  <si>
    <t>Faltam apostar</t>
  </si>
  <si>
    <t>Nome</t>
  </si>
  <si>
    <t>1º Campeão</t>
  </si>
  <si>
    <t>Macélio - Terceiro Lugar</t>
  </si>
  <si>
    <t>Macélio - Final</t>
  </si>
  <si>
    <t>Ivan Alex_1 - Terceiro Lugar</t>
  </si>
  <si>
    <t>Ivan Alex_1 - Final</t>
  </si>
  <si>
    <t>Bruno Flores - Terceiro Lugar</t>
  </si>
  <si>
    <t>Bruno Flores - Final</t>
  </si>
  <si>
    <t>Ivan Alex_2 - Terceiro Lugar</t>
  </si>
  <si>
    <t>Ivan Alex_2 - Final</t>
  </si>
  <si>
    <t>Gabriel - Terceiro Lugar</t>
  </si>
  <si>
    <t>Gabriel - Final</t>
  </si>
  <si>
    <t>Luana - Terceiro Lugar</t>
  </si>
  <si>
    <t>Luana - Final</t>
  </si>
  <si>
    <t>Mácio - Terceiro Lugar</t>
  </si>
  <si>
    <t>Mácio - Final</t>
  </si>
  <si>
    <t>Alex - Terceiro Lugar</t>
  </si>
  <si>
    <t>Alex - Final</t>
  </si>
  <si>
    <t>Jean - Terceiro Lugar</t>
  </si>
  <si>
    <t>Jean - Final</t>
  </si>
  <si>
    <t>Roberto - Terceiro Lugar</t>
  </si>
  <si>
    <t>Roberto - Final</t>
  </si>
  <si>
    <t>Andréia - Terceiro Lugar</t>
  </si>
  <si>
    <t>Andréia - Final</t>
  </si>
  <si>
    <t>Joseir_1 - Terceiro Lugar</t>
  </si>
  <si>
    <t>Joseir_1 - Final</t>
  </si>
  <si>
    <t>Joseir_2 - Terceiro Lugar</t>
  </si>
  <si>
    <t>Joseir_2 - Final</t>
  </si>
  <si>
    <t>Ivani - Terceiro Lugar</t>
  </si>
  <si>
    <t>Ivani - Final</t>
  </si>
  <si>
    <t>Josimar  - Terceiro Lugar</t>
  </si>
  <si>
    <t>Josimar  - Final</t>
  </si>
  <si>
    <t>Julio - Terceiro Lugar</t>
  </si>
  <si>
    <t>Julio - Final</t>
  </si>
  <si>
    <t>Talita - Terceiro Lugar</t>
  </si>
  <si>
    <t>Talita - Final</t>
  </si>
  <si>
    <t>Anderson - Terceiro Lugar</t>
  </si>
  <si>
    <t>Anderson - Final</t>
  </si>
  <si>
    <t>NaN</t>
  </si>
  <si>
    <t>Juninho_1 - Terceiro Lugar</t>
  </si>
  <si>
    <t>Juninho_1 - Final</t>
  </si>
  <si>
    <t>Juninho_2 - Terceiro Lugar</t>
  </si>
  <si>
    <t>Juninho_2 - Final</t>
  </si>
  <si>
    <t>Cléofaz - Terceiro Lugar</t>
  </si>
  <si>
    <t>Cléofaz - Final</t>
  </si>
  <si>
    <t>Luis - Terceiro Lugar</t>
  </si>
  <si>
    <t>Luis - Final</t>
  </si>
  <si>
    <t>Al Ahly</t>
  </si>
  <si>
    <t>Inter Miami</t>
  </si>
  <si>
    <t>Palmeiras</t>
  </si>
  <si>
    <t>Porto</t>
  </si>
  <si>
    <t>PSG</t>
  </si>
  <si>
    <t>Atlético de Madrid</t>
  </si>
  <si>
    <t>Botafogo</t>
  </si>
  <si>
    <t>Seattle Sounders</t>
  </si>
  <si>
    <t>Bayern de Munique</t>
  </si>
  <si>
    <t>Auckland City</t>
  </si>
  <si>
    <t>Boca Juniors</t>
  </si>
  <si>
    <t>Benfica</t>
  </si>
  <si>
    <t>Chelsea</t>
  </si>
  <si>
    <t>Los Angeles FC</t>
  </si>
  <si>
    <t>Flamengo</t>
  </si>
  <si>
    <t>Espérance</t>
  </si>
  <si>
    <t>River Plate</t>
  </si>
  <si>
    <t>Urawa Reds</t>
  </si>
  <si>
    <t>Monterrey</t>
  </si>
  <si>
    <t>Inter de Milão</t>
  </si>
  <si>
    <t>Fluminense</t>
  </si>
  <si>
    <t>Borussia Dortmund</t>
  </si>
  <si>
    <t>Ulsan HD</t>
  </si>
  <si>
    <t>Mamelodi Sundowns</t>
  </si>
  <si>
    <t>Manchester City</t>
  </si>
  <si>
    <t>Wydad Casablanca</t>
  </si>
  <si>
    <t>Al-Ain</t>
  </si>
  <si>
    <t>Juventus</t>
  </si>
  <si>
    <t>Real Madrid</t>
  </si>
  <si>
    <t>Al-Hilal</t>
  </si>
  <si>
    <t>Pachuca</t>
  </si>
  <si>
    <t>RB Salzburg</t>
  </si>
  <si>
    <t>1º Colocado (40%)</t>
  </si>
  <si>
    <t>4º Colocado (10%)</t>
  </si>
  <si>
    <t>MUNDIAL DE CLUBES DA FIFA-2025</t>
  </si>
  <si>
    <t>Borussisa Dortmund</t>
  </si>
  <si>
    <t>Ivan Alex</t>
  </si>
  <si>
    <t>N</t>
  </si>
  <si>
    <t>Jean Carlos</t>
  </si>
  <si>
    <t>Sérginho</t>
  </si>
  <si>
    <t>Macélio Henrique</t>
  </si>
  <si>
    <t>Julio Santos</t>
  </si>
  <si>
    <t>Naldinho</t>
  </si>
  <si>
    <t>Juninho</t>
  </si>
  <si>
    <t>Joseir</t>
  </si>
  <si>
    <t>Manoel</t>
  </si>
  <si>
    <t>Marcel</t>
  </si>
  <si>
    <t>Julio Oliveira</t>
  </si>
  <si>
    <t>Ivan</t>
  </si>
  <si>
    <t>Mateus Aires</t>
  </si>
  <si>
    <t>Miguel</t>
  </si>
  <si>
    <t>Mateus Henrique</t>
  </si>
  <si>
    <t>Classificação Geral do Bolão do Mundial de Clubes da FIFA-2025</t>
  </si>
  <si>
    <t>Bruno</t>
  </si>
  <si>
    <t>Vini Jr.</t>
  </si>
  <si>
    <t>Haaland</t>
  </si>
  <si>
    <t>Dembélé</t>
  </si>
  <si>
    <t>Lautaro Martínez</t>
  </si>
  <si>
    <t>Guirassy</t>
  </si>
  <si>
    <t>Doué</t>
  </si>
  <si>
    <t>Muller</t>
  </si>
  <si>
    <t>Méssi</t>
  </si>
  <si>
    <t>Foden</t>
  </si>
  <si>
    <t>Francesco</t>
  </si>
  <si>
    <t>Chicão</t>
  </si>
  <si>
    <t>-</t>
  </si>
  <si>
    <t>20º</t>
  </si>
  <si>
    <t>21º</t>
  </si>
  <si>
    <t>PALPITES DA PARTIDA ATUAL</t>
  </si>
  <si>
    <t>19º</t>
  </si>
  <si>
    <t>TIMES</t>
  </si>
  <si>
    <t>10º</t>
  </si>
  <si>
    <t>9º</t>
  </si>
  <si>
    <t>8º</t>
  </si>
  <si>
    <t>7º</t>
  </si>
  <si>
    <t>6º</t>
  </si>
  <si>
    <t>5º</t>
  </si>
  <si>
    <t>ACERTO DO PLACAR (25pontos)</t>
  </si>
  <si>
    <t>ACERTO DO GANHADOR + GOL(s) DE 1 DOS TIMES 
(15 pontos)</t>
  </si>
  <si>
    <t>ACERTO APENAS DO GANHADOR/EMPATE (10 pontos)</t>
  </si>
  <si>
    <t>ACERTO APENAS DE GOL(s) DE 1 DOS TIMES (5 pontos)</t>
  </si>
  <si>
    <t>NÃO ACERTOU NADA (0 ponto)</t>
  </si>
  <si>
    <t>PARTIDA ATUAL</t>
  </si>
  <si>
    <t>ponto(s)</t>
  </si>
  <si>
    <t>1.Ivan</t>
  </si>
  <si>
    <t>2.Sérginho</t>
  </si>
  <si>
    <t>3.Jean</t>
  </si>
  <si>
    <t>4.Macélio Henrique</t>
  </si>
  <si>
    <t>5.Macélio</t>
  </si>
  <si>
    <t>6.Mateus Aires</t>
  </si>
  <si>
    <t>7.Bruno</t>
  </si>
  <si>
    <t>8.Naldinho</t>
  </si>
  <si>
    <t>9.Julio Santos</t>
  </si>
  <si>
    <t>10.Joseir</t>
  </si>
  <si>
    <t>11.Juninho</t>
  </si>
  <si>
    <t>12.Ivani</t>
  </si>
  <si>
    <t>13.Manoel</t>
  </si>
  <si>
    <t>14.Mateus Henrique</t>
  </si>
  <si>
    <t>15.Gabriel</t>
  </si>
  <si>
    <t>16.Marcel</t>
  </si>
  <si>
    <t>17.Luana</t>
  </si>
  <si>
    <t>18.Julio Oliveira</t>
  </si>
  <si>
    <t>19.Miguel</t>
  </si>
  <si>
    <t>20.Francesco</t>
  </si>
  <si>
    <t>21.Chicão</t>
  </si>
  <si>
    <t>Bayer de Munique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</si>
</sst>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</numFmts>
  <fonts count="53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8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2"/>
      <color rgb="FFFFFF00"/>
      <name val="Calibri"/>
      <family val="2"/>
      <scheme val="minor"/>
    </font>
    <font>
      <sz val="12"/>
      <color rgb="FF00B05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1"/>
      <name val="ADLaM Display"/>
    </font>
    <font>
      <sz val="14"/>
      <color theme="1"/>
      <name val="ADLaM Display"/>
    </font>
    <font>
      <sz val="12"/>
      <color theme="1"/>
      <name val="ADLaM Display"/>
    </font>
    <font>
      <sz val="11"/>
      <color theme="0"/>
      <name val="ADLaM Display"/>
    </font>
    <font>
      <sz val="11"/>
      <color theme="0" tint="-0.14999847407452621"/>
      <name val="ADLaM Display"/>
    </font>
    <font>
      <sz val="12"/>
      <color theme="0"/>
      <name val="ADLaM Display"/>
    </font>
    <font>
      <sz val="11"/>
      <color rgb="FF0070C0"/>
      <name val="ADLaM Display"/>
    </font>
    <font>
      <sz val="16"/>
      <color theme="0"/>
      <name val="ADLaM Display"/>
    </font>
    <font>
      <sz val="11"/>
      <color rgb="FFFF0000"/>
      <name val="ADLaM Display"/>
    </font>
    <font>
      <sz val="10"/>
      <color rgb="FFFF9999"/>
      <name val="ADLaM Display"/>
    </font>
    <font>
      <sz val="10"/>
      <color theme="4" tint="-0.499984740745262"/>
      <name val="ADLaM Display"/>
    </font>
    <font>
      <sz val="11"/>
      <color theme="1"/>
      <name val="Calibri"/>
      <family val="2"/>
      <scheme val="minor"/>
    </font>
    <font>
      <sz val="10"/>
      <color theme="0" tint="-0.249977111117893"/>
      <name val="ADLaM Display"/>
    </font>
    <font>
      <sz val="11"/>
      <color theme="1"/>
      <name val="Amasis MT Pro"/>
      <family val="1"/>
    </font>
    <font>
      <sz val="14"/>
      <color theme="1"/>
      <name val="Amasis MT Pro"/>
      <family val="1"/>
    </font>
    <font>
      <sz val="12"/>
      <color theme="1"/>
      <name val="Amasis MT Pro"/>
      <family val="1"/>
    </font>
    <font>
      <b/>
      <sz val="11"/>
      <color theme="0"/>
      <name val="Amasis MT Pro"/>
      <family val="1"/>
    </font>
    <font>
      <b/>
      <sz val="14"/>
      <color theme="0"/>
      <name val="Amasis MT Pro"/>
      <family val="1"/>
    </font>
    <font>
      <sz val="11"/>
      <color theme="0" tint="-4.9989318521683403E-2"/>
      <name val="ADLaM Display"/>
    </font>
    <font>
      <b/>
      <sz val="11"/>
      <color theme="0" tint="-4.9989318521683403E-2"/>
      <name val="Calibri"/>
      <family val="2"/>
      <scheme val="minor"/>
    </font>
    <font>
      <sz val="9"/>
      <color rgb="FFFF9999"/>
      <name val="ADLaM Display"/>
    </font>
    <font>
      <sz val="11"/>
      <color theme="1" tint="0.249977111117893"/>
      <name val="ADLaM Display"/>
    </font>
    <font>
      <sz val="9"/>
      <color theme="1"/>
      <name val="Calibri"/>
      <family val="2"/>
      <scheme val="minor"/>
    </font>
    <font>
      <b/>
      <sz val="14"/>
      <name val="Bahnschrift SemiLight"/>
      <family val="2"/>
    </font>
    <font>
      <b/>
      <sz val="11"/>
      <color theme="5" tint="-0.249977111117893"/>
      <name val="Bahnschrift SemiLight"/>
      <family val="2"/>
    </font>
    <font>
      <sz val="10"/>
      <color theme="5" tint="-0.249977111117893"/>
      <name val="Bahnschrift SemiLight"/>
      <family val="2"/>
    </font>
    <font>
      <sz val="14"/>
      <color theme="5" tint="-0.249977111117893"/>
      <name val="Bahnschrift SemiLight"/>
      <family val="2"/>
    </font>
    <font>
      <b/>
      <sz val="10"/>
      <color theme="5" tint="-0.249977111117893"/>
      <name val="Bahnschrift SemiLight"/>
      <family val="2"/>
    </font>
    <font>
      <b/>
      <sz val="11"/>
      <color theme="1"/>
      <name val="Bahnschrift SemiLight"/>
      <family val="2"/>
    </font>
    <font>
      <sz val="10"/>
      <color theme="1"/>
      <name val="Bahnschrift SemiLight"/>
      <family val="2"/>
    </font>
    <font>
      <sz val="14"/>
      <color theme="1"/>
      <name val="Bahnschrift SemiLight"/>
      <family val="2"/>
    </font>
    <font>
      <b/>
      <sz val="10"/>
      <color theme="1"/>
      <name val="Bahnschrift SemiLight"/>
      <family val="2"/>
    </font>
  </fonts>
  <fills count="22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3" tint="0.79998168889431442"/>
        <bgColor indexed="64"/>
      </patternFill>
    </fill>
  </fills>
  <borders count="34">
    <border>
      <left/>
      <right/>
      <top/>
      <bottom/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theme="1" tint="0.34998626667073579"/>
      </left>
      <right style="thin">
        <color auto="1"/>
      </right>
      <top style="thick">
        <color theme="1" tint="0.3499862666707357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theme="1" tint="0.34998626667073579"/>
      </top>
      <bottom style="thin">
        <color auto="1"/>
      </bottom>
      <diagonal/>
    </border>
    <border>
      <left style="thin">
        <color auto="1"/>
      </left>
      <right style="thick">
        <color theme="1" tint="0.34998626667073579"/>
      </right>
      <top style="thick">
        <color theme="1" tint="0.34998626667073579"/>
      </top>
      <bottom style="thin">
        <color auto="1"/>
      </bottom>
      <diagonal/>
    </border>
    <border>
      <left style="thick">
        <color theme="1" tint="0.34998626667073579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theme="1" tint="0.34998626667073579"/>
      </right>
      <top style="thin">
        <color auto="1"/>
      </top>
      <bottom style="thin">
        <color auto="1"/>
      </bottom>
      <diagonal/>
    </border>
    <border>
      <left style="thick">
        <color theme="1" tint="0.34998626667073579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ck">
        <color theme="1" tint="0.34998626667073579"/>
      </right>
      <top style="thin">
        <color auto="1"/>
      </top>
      <bottom/>
      <diagonal/>
    </border>
    <border>
      <left style="thick">
        <color theme="1" tint="0.34998626667073579"/>
      </left>
      <right style="thin">
        <color auto="1"/>
      </right>
      <top style="thin">
        <color auto="1"/>
      </top>
      <bottom style="thick">
        <color theme="1" tint="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theme="1" tint="0.34998626667073579"/>
      </bottom>
      <diagonal/>
    </border>
    <border>
      <left style="thin">
        <color auto="1"/>
      </left>
      <right style="thick">
        <color theme="1" tint="0.34998626667073579"/>
      </right>
      <top style="thin">
        <color auto="1"/>
      </top>
      <bottom style="thick">
        <color theme="1" tint="0.34998626667073579"/>
      </bottom>
      <diagonal/>
    </border>
  </borders>
  <cellStyleXfs count="2">
    <xf numFmtId="0" fontId="0" fillId="0" borderId="0"/>
    <xf numFmtId="44" fontId="32" fillId="0" borderId="0" applyFont="0" applyFill="0" applyBorder="0" applyAlignment="0" applyProtection="0"/>
  </cellStyleXfs>
  <cellXfs count="219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1" fillId="0" borderId="7" xfId="0" applyFont="1" applyBorder="1" applyAlignment="1">
      <alignment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right" vertical="center"/>
    </xf>
    <xf numFmtId="0" fontId="1" fillId="0" borderId="9" xfId="0" applyFont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11" fillId="0" borderId="0" xfId="0" applyFont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13" fillId="0" borderId="0" xfId="0" applyFont="1" applyAlignment="1">
      <alignment vertical="center"/>
    </xf>
    <xf numFmtId="0" fontId="16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horizontal="right" vertical="center"/>
    </xf>
    <xf numFmtId="0" fontId="7" fillId="15" borderId="0" xfId="0" applyFont="1" applyFill="1" applyAlignment="1">
      <alignment horizontal="right" vertical="center"/>
    </xf>
    <xf numFmtId="0" fontId="0" fillId="15" borderId="0" xfId="0" applyFill="1" applyAlignment="1">
      <alignment horizontal="center" vertical="center"/>
    </xf>
    <xf numFmtId="0" fontId="0" fillId="15" borderId="0" xfId="0" applyFill="1" applyAlignment="1">
      <alignment horizontal="left" vertical="center"/>
    </xf>
    <xf numFmtId="0" fontId="0" fillId="15" borderId="0" xfId="0" applyFill="1" applyAlignment="1">
      <alignment vertical="center"/>
    </xf>
    <xf numFmtId="0" fontId="0" fillId="15" borderId="0" xfId="0" applyFill="1" applyAlignment="1">
      <alignment horizontal="right" vertical="center"/>
    </xf>
    <xf numFmtId="0" fontId="0" fillId="15" borderId="5" xfId="0" applyFill="1" applyBorder="1" applyAlignment="1">
      <alignment horizontal="right" vertical="center"/>
    </xf>
    <xf numFmtId="0" fontId="0" fillId="15" borderId="5" xfId="0" applyFill="1" applyBorder="1" applyAlignment="1">
      <alignment horizontal="center" vertical="center"/>
    </xf>
    <xf numFmtId="0" fontId="0" fillId="15" borderId="5" xfId="0" applyFill="1" applyBorder="1" applyAlignment="1">
      <alignment horizontal="left" vertical="center"/>
    </xf>
    <xf numFmtId="0" fontId="0" fillId="15" borderId="5" xfId="0" applyFill="1" applyBorder="1" applyAlignment="1">
      <alignment vertical="center"/>
    </xf>
    <xf numFmtId="0" fontId="19" fillId="2" borderId="5" xfId="0" applyFont="1" applyFill="1" applyBorder="1" applyAlignment="1">
      <alignment horizontal="center" vertical="center" wrapText="1"/>
    </xf>
    <xf numFmtId="0" fontId="0" fillId="0" borderId="5" xfId="0" applyBorder="1" applyAlignment="1">
      <alignment vertical="center"/>
    </xf>
    <xf numFmtId="0" fontId="0" fillId="14" borderId="5" xfId="0" applyFill="1" applyBorder="1" applyAlignment="1">
      <alignment vertical="center"/>
    </xf>
    <xf numFmtId="0" fontId="9" fillId="14" borderId="5" xfId="0" applyFont="1" applyFill="1" applyBorder="1" applyAlignment="1">
      <alignment horizontal="left" vertical="center"/>
    </xf>
    <xf numFmtId="0" fontId="9" fillId="14" borderId="5" xfId="0" applyFont="1" applyFill="1" applyBorder="1" applyAlignment="1">
      <alignment vertical="center"/>
    </xf>
    <xf numFmtId="0" fontId="0" fillId="14" borderId="5" xfId="0" applyFill="1" applyBorder="1" applyAlignment="1">
      <alignment horizontal="left" vertical="center"/>
    </xf>
    <xf numFmtId="0" fontId="7" fillId="4" borderId="5" xfId="0" applyFont="1" applyFill="1" applyBorder="1" applyAlignment="1">
      <alignment horizontal="left" vertical="center"/>
    </xf>
    <xf numFmtId="0" fontId="7" fillId="4" borderId="5" xfId="0" applyFont="1" applyFill="1" applyBorder="1" applyAlignment="1">
      <alignment vertical="center"/>
    </xf>
    <xf numFmtId="0" fontId="12" fillId="14" borderId="5" xfId="0" applyFont="1" applyFill="1" applyBorder="1" applyAlignment="1">
      <alignment horizontal="left" vertical="center"/>
    </xf>
    <xf numFmtId="0" fontId="12" fillId="14" borderId="5" xfId="0" applyFont="1" applyFill="1" applyBorder="1" applyAlignment="1">
      <alignment vertical="center"/>
    </xf>
    <xf numFmtId="0" fontId="0" fillId="0" borderId="4" xfId="0" applyBorder="1" applyAlignment="1">
      <alignment horizontal="right" vertical="center"/>
    </xf>
    <xf numFmtId="0" fontId="0" fillId="0" borderId="7" xfId="0" applyBorder="1" applyAlignment="1">
      <alignment horizontal="right" vertical="center"/>
    </xf>
    <xf numFmtId="0" fontId="0" fillId="0" borderId="5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5" xfId="0" applyBorder="1" applyAlignment="1">
      <alignment horizontal="right" vertical="center"/>
    </xf>
    <xf numFmtId="0" fontId="0" fillId="0" borderId="8" xfId="0" applyBorder="1" applyAlignment="1">
      <alignment horizontal="right" vertical="center"/>
    </xf>
    <xf numFmtId="0" fontId="14" fillId="0" borderId="5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15" borderId="4" xfId="0" applyFill="1" applyBorder="1" applyAlignment="1">
      <alignment horizontal="right" vertical="center"/>
    </xf>
    <xf numFmtId="0" fontId="14" fillId="15" borderId="5" xfId="0" applyFont="1" applyFill="1" applyBorder="1" applyAlignment="1">
      <alignment horizontal="center" vertical="center"/>
    </xf>
    <xf numFmtId="0" fontId="1" fillId="15" borderId="5" xfId="0" applyFont="1" applyFill="1" applyBorder="1" applyAlignment="1">
      <alignment horizontal="center" vertical="center"/>
    </xf>
    <xf numFmtId="0" fontId="21" fillId="0" borderId="0" xfId="0" applyFont="1" applyAlignment="1">
      <alignment vertical="center"/>
    </xf>
    <xf numFmtId="0" fontId="23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 wrapText="1"/>
    </xf>
    <xf numFmtId="0" fontId="25" fillId="0" borderId="0" xfId="0" applyFont="1" applyAlignment="1">
      <alignment horizontal="center" vertical="center" wrapText="1"/>
    </xf>
    <xf numFmtId="0" fontId="21" fillId="0" borderId="5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3" fillId="0" borderId="0" xfId="0" applyFont="1" applyAlignment="1">
      <alignment horizontal="right" vertical="center"/>
    </xf>
    <xf numFmtId="0" fontId="23" fillId="0" borderId="0" xfId="0" applyFont="1" applyAlignment="1">
      <alignment horizontal="left" vertical="center"/>
    </xf>
    <xf numFmtId="0" fontId="26" fillId="2" borderId="0" xfId="0" applyFont="1" applyFill="1" applyAlignment="1">
      <alignment horizontal="center" vertical="center"/>
    </xf>
    <xf numFmtId="0" fontId="27" fillId="11" borderId="5" xfId="0" applyFont="1" applyFill="1" applyBorder="1" applyAlignment="1">
      <alignment horizontal="center" vertical="center" wrapText="1"/>
    </xf>
    <xf numFmtId="0" fontId="0" fillId="17" borderId="0" xfId="0" applyFill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0" fillId="17" borderId="0" xfId="0" applyFill="1" applyAlignment="1">
      <alignment horizontal="right" vertical="center"/>
    </xf>
    <xf numFmtId="0" fontId="0" fillId="17" borderId="0" xfId="0" applyFill="1" applyAlignment="1">
      <alignment horizontal="left" vertical="center"/>
    </xf>
    <xf numFmtId="0" fontId="21" fillId="18" borderId="5" xfId="0" applyFont="1" applyFill="1" applyBorder="1" applyAlignment="1">
      <alignment horizontal="center" vertical="center"/>
    </xf>
    <xf numFmtId="0" fontId="21" fillId="19" borderId="5" xfId="0" applyFont="1" applyFill="1" applyBorder="1" applyAlignment="1">
      <alignment horizontal="center" vertical="center"/>
    </xf>
    <xf numFmtId="0" fontId="21" fillId="0" borderId="10" xfId="0" applyFont="1" applyBorder="1" applyAlignment="1">
      <alignment horizontal="center" vertical="center"/>
    </xf>
    <xf numFmtId="0" fontId="29" fillId="11" borderId="5" xfId="0" applyFont="1" applyFill="1" applyBorder="1" applyAlignment="1">
      <alignment horizontal="center" vertical="center" wrapText="1"/>
    </xf>
    <xf numFmtId="0" fontId="30" fillId="11" borderId="5" xfId="0" applyFont="1" applyFill="1" applyBorder="1" applyAlignment="1">
      <alignment horizontal="center" vertical="center" wrapText="1"/>
    </xf>
    <xf numFmtId="0" fontId="31" fillId="11" borderId="5" xfId="0" applyFont="1" applyFill="1" applyBorder="1" applyAlignment="1">
      <alignment horizontal="center" vertical="center" wrapText="1"/>
    </xf>
    <xf numFmtId="0" fontId="24" fillId="11" borderId="27" xfId="0" applyFont="1" applyFill="1" applyBorder="1" applyAlignment="1">
      <alignment horizontal="center" vertical="center" wrapText="1"/>
    </xf>
    <xf numFmtId="0" fontId="31" fillId="11" borderId="28" xfId="0" applyFont="1" applyFill="1" applyBorder="1" applyAlignment="1">
      <alignment horizontal="center" vertical="center" wrapText="1"/>
    </xf>
    <xf numFmtId="0" fontId="21" fillId="19" borderId="27" xfId="0" applyFont="1" applyFill="1" applyBorder="1" applyAlignment="1">
      <alignment horizontal="center" vertical="center"/>
    </xf>
    <xf numFmtId="0" fontId="21" fillId="19" borderId="28" xfId="0" applyFont="1" applyFill="1" applyBorder="1" applyAlignment="1">
      <alignment horizontal="center" vertical="center"/>
    </xf>
    <xf numFmtId="0" fontId="21" fillId="18" borderId="27" xfId="0" applyFont="1" applyFill="1" applyBorder="1" applyAlignment="1">
      <alignment horizontal="center" vertical="center"/>
    </xf>
    <xf numFmtId="0" fontId="21" fillId="18" borderId="28" xfId="0" applyFont="1" applyFill="1" applyBorder="1" applyAlignment="1">
      <alignment horizontal="center" vertical="center"/>
    </xf>
    <xf numFmtId="0" fontId="21" fillId="0" borderId="27" xfId="0" applyFont="1" applyBorder="1" applyAlignment="1">
      <alignment horizontal="center" vertical="center"/>
    </xf>
    <xf numFmtId="0" fontId="21" fillId="0" borderId="28" xfId="0" applyFont="1" applyBorder="1" applyAlignment="1">
      <alignment horizontal="center" vertical="center"/>
    </xf>
    <xf numFmtId="0" fontId="21" fillId="0" borderId="29" xfId="0" applyFont="1" applyBorder="1" applyAlignment="1">
      <alignment horizontal="center" vertical="center"/>
    </xf>
    <xf numFmtId="0" fontId="21" fillId="0" borderId="30" xfId="0" applyFont="1" applyBorder="1" applyAlignment="1">
      <alignment horizontal="center" vertical="center"/>
    </xf>
    <xf numFmtId="0" fontId="21" fillId="0" borderId="31" xfId="0" applyFont="1" applyBorder="1" applyAlignment="1">
      <alignment horizontal="center" vertical="center"/>
    </xf>
    <xf numFmtId="0" fontId="21" fillId="0" borderId="32" xfId="0" applyFont="1" applyBorder="1" applyAlignment="1">
      <alignment horizontal="center" vertical="center"/>
    </xf>
    <xf numFmtId="0" fontId="21" fillId="0" borderId="33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21" fillId="0" borderId="5" xfId="0" applyFont="1" applyBorder="1" applyAlignment="1">
      <alignment vertical="center"/>
    </xf>
    <xf numFmtId="44" fontId="21" fillId="0" borderId="0" xfId="1" applyFont="1" applyAlignment="1">
      <alignment vertical="center"/>
    </xf>
    <xf numFmtId="44" fontId="21" fillId="0" borderId="5" xfId="1" applyFont="1" applyBorder="1" applyAlignment="1">
      <alignment vertical="center"/>
    </xf>
    <xf numFmtId="44" fontId="21" fillId="0" borderId="0" xfId="1" applyFont="1" applyBorder="1" applyAlignment="1">
      <alignment vertical="center"/>
    </xf>
    <xf numFmtId="44" fontId="21" fillId="0" borderId="0" xfId="0" applyNumberFormat="1" applyFont="1" applyAlignment="1">
      <alignment vertical="center"/>
    </xf>
    <xf numFmtId="0" fontId="34" fillId="0" borderId="0" xfId="0" applyFont="1" applyAlignment="1">
      <alignment horizontal="right" vertical="center"/>
    </xf>
    <xf numFmtId="0" fontId="35" fillId="0" borderId="0" xfId="0" applyFont="1" applyAlignment="1">
      <alignment vertical="center"/>
    </xf>
    <xf numFmtId="0" fontId="36" fillId="0" borderId="0" xfId="0" applyFont="1" applyAlignment="1">
      <alignment vertical="center"/>
    </xf>
    <xf numFmtId="0" fontId="34" fillId="0" borderId="0" xfId="0" applyFont="1" applyAlignment="1">
      <alignment horizontal="left" vertical="center"/>
    </xf>
    <xf numFmtId="0" fontId="1" fillId="0" borderId="0" xfId="0" applyFont="1" applyAlignment="1">
      <alignment horizontal="right" vertical="center"/>
    </xf>
    <xf numFmtId="0" fontId="1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9" fillId="0" borderId="0" xfId="0" applyFont="1" applyAlignment="1">
      <alignment vertical="center"/>
    </xf>
    <xf numFmtId="0" fontId="39" fillId="0" borderId="0" xfId="0" applyFont="1" applyAlignment="1">
      <alignment horizontal="center" vertical="center"/>
    </xf>
    <xf numFmtId="0" fontId="40" fillId="0" borderId="0" xfId="0" applyFont="1" applyAlignment="1">
      <alignment vertical="center"/>
    </xf>
    <xf numFmtId="0" fontId="41" fillId="11" borderId="5" xfId="0" applyFont="1" applyFill="1" applyBorder="1" applyAlignment="1">
      <alignment horizontal="center" vertical="center" wrapText="1"/>
    </xf>
    <xf numFmtId="0" fontId="42" fillId="0" borderId="0" xfId="0" applyFont="1" applyAlignment="1">
      <alignment vertical="center"/>
    </xf>
    <xf numFmtId="0" fontId="0" fillId="3" borderId="0" xfId="0" applyFill="1" applyAlignment="1">
      <alignment horizontal="right" vertical="center"/>
    </xf>
    <xf numFmtId="0" fontId="0" fillId="3" borderId="0" xfId="0" applyFill="1" applyAlignment="1">
      <alignment horizontal="center" vertical="center"/>
    </xf>
    <xf numFmtId="0" fontId="0" fillId="3" borderId="0" xfId="0" applyFill="1" applyAlignment="1">
      <alignment horizontal="left" vertical="center"/>
    </xf>
    <xf numFmtId="0" fontId="43" fillId="0" borderId="0" xfId="0" applyFont="1" applyAlignment="1">
      <alignment vertical="center"/>
    </xf>
    <xf numFmtId="0" fontId="43" fillId="0" borderId="0" xfId="0" applyFont="1" applyAlignment="1">
      <alignment horizontal="center" vertical="center"/>
    </xf>
    <xf numFmtId="0" fontId="45" fillId="21" borderId="5" xfId="0" applyFont="1" applyFill="1" applyBorder="1" applyAlignment="1">
      <alignment vertical="center"/>
    </xf>
    <xf numFmtId="0" fontId="46" fillId="21" borderId="5" xfId="0" applyFont="1" applyFill="1" applyBorder="1" applyAlignment="1">
      <alignment horizontal="right" vertical="center"/>
    </xf>
    <xf numFmtId="0" fontId="47" fillId="21" borderId="5" xfId="0" applyFont="1" applyFill="1" applyBorder="1" applyAlignment="1">
      <alignment horizontal="center" vertical="center"/>
    </xf>
    <xf numFmtId="0" fontId="48" fillId="21" borderId="5" xfId="0" applyFont="1" applyFill="1" applyBorder="1" applyAlignment="1">
      <alignment horizontal="center" vertical="center"/>
    </xf>
    <xf numFmtId="0" fontId="46" fillId="21" borderId="5" xfId="0" applyFont="1" applyFill="1" applyBorder="1" applyAlignment="1">
      <alignment horizontal="left" vertical="center"/>
    </xf>
    <xf numFmtId="0" fontId="49" fillId="15" borderId="5" xfId="0" applyFont="1" applyFill="1" applyBorder="1" applyAlignment="1">
      <alignment vertical="center"/>
    </xf>
    <xf numFmtId="0" fontId="50" fillId="15" borderId="5" xfId="0" applyFont="1" applyFill="1" applyBorder="1" applyAlignment="1">
      <alignment horizontal="right" vertical="center"/>
    </xf>
    <xf numFmtId="0" fontId="51" fillId="15" borderId="5" xfId="0" applyFont="1" applyFill="1" applyBorder="1" applyAlignment="1">
      <alignment horizontal="center" vertical="center"/>
    </xf>
    <xf numFmtId="0" fontId="52" fillId="15" borderId="5" xfId="0" applyFont="1" applyFill="1" applyBorder="1" applyAlignment="1">
      <alignment horizontal="center" vertical="center"/>
    </xf>
    <xf numFmtId="0" fontId="50" fillId="15" borderId="5" xfId="0" applyFont="1" applyFill="1" applyBorder="1" applyAlignment="1">
      <alignment horizontal="left" vertical="center"/>
    </xf>
    <xf numFmtId="0" fontId="49" fillId="0" borderId="5" xfId="0" applyFont="1" applyBorder="1" applyAlignment="1">
      <alignment vertical="center"/>
    </xf>
    <xf numFmtId="0" fontId="50" fillId="0" borderId="5" xfId="0" applyFont="1" applyBorder="1" applyAlignment="1">
      <alignment horizontal="right" vertical="center"/>
    </xf>
    <xf numFmtId="0" fontId="51" fillId="0" borderId="5" xfId="0" applyFont="1" applyBorder="1" applyAlignment="1">
      <alignment horizontal="center" vertical="center"/>
    </xf>
    <xf numFmtId="0" fontId="52" fillId="0" borderId="5" xfId="0" applyFont="1" applyBorder="1" applyAlignment="1">
      <alignment horizontal="center" vertical="center"/>
    </xf>
    <xf numFmtId="0" fontId="50" fillId="0" borderId="5" xfId="0" applyFon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7" fillId="8" borderId="5" xfId="0" applyFont="1" applyFill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right" vertical="center"/>
    </xf>
    <xf numFmtId="0" fontId="23" fillId="0" borderId="0" xfId="0" applyFont="1" applyAlignment="1">
      <alignment horizontal="center" vertical="center"/>
    </xf>
    <xf numFmtId="0" fontId="28" fillId="14" borderId="24" xfId="0" applyFont="1" applyFill="1" applyBorder="1" applyAlignment="1">
      <alignment horizontal="center" vertical="center"/>
    </xf>
    <xf numFmtId="0" fontId="28" fillId="14" borderId="25" xfId="0" applyFont="1" applyFill="1" applyBorder="1" applyAlignment="1">
      <alignment horizontal="center" vertical="center"/>
    </xf>
    <xf numFmtId="0" fontId="28" fillId="14" borderId="26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44" fillId="20" borderId="0" xfId="0" applyFont="1" applyFill="1" applyAlignment="1">
      <alignment horizontal="center" vertical="center"/>
    </xf>
    <xf numFmtId="0" fontId="44" fillId="20" borderId="19" xfId="0" applyFont="1" applyFill="1" applyBorder="1" applyAlignment="1">
      <alignment horizontal="center" vertical="center"/>
    </xf>
    <xf numFmtId="0" fontId="18" fillId="3" borderId="4" xfId="0" applyFont="1" applyFill="1" applyBorder="1" applyAlignment="1">
      <alignment horizontal="center" vertical="center"/>
    </xf>
    <xf numFmtId="0" fontId="18" fillId="3" borderId="5" xfId="0" applyFont="1" applyFill="1" applyBorder="1" applyAlignment="1">
      <alignment horizontal="center" vertical="center"/>
    </xf>
    <xf numFmtId="0" fontId="17" fillId="9" borderId="4" xfId="0" applyFont="1" applyFill="1" applyBorder="1" applyAlignment="1">
      <alignment horizontal="center" vertical="center"/>
    </xf>
    <xf numFmtId="0" fontId="17" fillId="9" borderId="5" xfId="0" applyFont="1" applyFill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37" fillId="15" borderId="0" xfId="0" applyFont="1" applyFill="1" applyAlignment="1">
      <alignment horizontal="center" vertical="center"/>
    </xf>
    <xf numFmtId="0" fontId="15" fillId="11" borderId="0" xfId="0" applyFont="1" applyFill="1" applyAlignment="1">
      <alignment horizontal="right" vertical="center"/>
    </xf>
    <xf numFmtId="164" fontId="5" fillId="0" borderId="16" xfId="0" applyNumberFormat="1" applyFont="1" applyBorder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164" fontId="5" fillId="0" borderId="17" xfId="0" applyNumberFormat="1" applyFont="1" applyBorder="1" applyAlignment="1">
      <alignment horizontal="center" vertical="center"/>
    </xf>
    <xf numFmtId="164" fontId="5" fillId="0" borderId="18" xfId="0" applyNumberFormat="1" applyFont="1" applyBorder="1" applyAlignment="1">
      <alignment horizontal="center" vertical="center"/>
    </xf>
    <xf numFmtId="164" fontId="5" fillId="0" borderId="19" xfId="0" applyNumberFormat="1" applyFont="1" applyBorder="1" applyAlignment="1">
      <alignment horizontal="center" vertical="center"/>
    </xf>
    <xf numFmtId="164" fontId="5" fillId="0" borderId="20" xfId="0" applyNumberFormat="1" applyFont="1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38" fillId="18" borderId="19" xfId="0" applyFont="1" applyFill="1" applyBorder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64" fontId="1" fillId="0" borderId="17" xfId="0" applyNumberFormat="1" applyFont="1" applyBorder="1" applyAlignment="1">
      <alignment horizontal="center" vertical="center"/>
    </xf>
    <xf numFmtId="164" fontId="1" fillId="0" borderId="18" xfId="0" applyNumberFormat="1" applyFont="1" applyBorder="1" applyAlignment="1">
      <alignment horizontal="center" vertical="center"/>
    </xf>
    <xf numFmtId="164" fontId="1" fillId="0" borderId="19" xfId="0" applyNumberFormat="1" applyFont="1" applyBorder="1" applyAlignment="1">
      <alignment horizontal="center" vertical="center"/>
    </xf>
    <xf numFmtId="164" fontId="1" fillId="0" borderId="20" xfId="0" applyNumberFormat="1" applyFont="1" applyBorder="1" applyAlignment="1">
      <alignment horizontal="center" vertical="center"/>
    </xf>
    <xf numFmtId="0" fontId="1" fillId="5" borderId="13" xfId="0" applyFont="1" applyFill="1" applyBorder="1" applyAlignment="1">
      <alignment horizontal="center" vertical="center"/>
    </xf>
    <xf numFmtId="0" fontId="1" fillId="5" borderId="14" xfId="0" applyFont="1" applyFill="1" applyBorder="1" applyAlignment="1">
      <alignment horizontal="center" vertical="center"/>
    </xf>
    <xf numFmtId="0" fontId="1" fillId="5" borderId="15" xfId="0" applyFont="1" applyFill="1" applyBorder="1" applyAlignment="1">
      <alignment horizontal="center" vertical="center"/>
    </xf>
    <xf numFmtId="0" fontId="1" fillId="14" borderId="13" xfId="0" applyFont="1" applyFill="1" applyBorder="1" applyAlignment="1">
      <alignment horizontal="center" vertical="center"/>
    </xf>
    <xf numFmtId="0" fontId="1" fillId="14" borderId="14" xfId="0" applyFont="1" applyFill="1" applyBorder="1" applyAlignment="1">
      <alignment horizontal="center" vertical="center"/>
    </xf>
    <xf numFmtId="0" fontId="1" fillId="14" borderId="15" xfId="0" applyFont="1" applyFill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0" fontId="1" fillId="3" borderId="14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vertical="center"/>
    </xf>
    <xf numFmtId="0" fontId="1" fillId="8" borderId="13" xfId="0" applyFont="1" applyFill="1" applyBorder="1" applyAlignment="1">
      <alignment horizontal="center" vertical="center"/>
    </xf>
    <xf numFmtId="0" fontId="1" fillId="8" borderId="14" xfId="0" applyFont="1" applyFill="1" applyBorder="1" applyAlignment="1">
      <alignment horizontal="center" vertical="center"/>
    </xf>
    <xf numFmtId="0" fontId="1" fillId="8" borderId="15" xfId="0" applyFont="1" applyFill="1" applyBorder="1" applyAlignment="1">
      <alignment horizontal="center" vertical="center"/>
    </xf>
    <xf numFmtId="164" fontId="4" fillId="0" borderId="16" xfId="0" applyNumberFormat="1" applyFont="1" applyBorder="1" applyAlignment="1">
      <alignment horizontal="center" vertical="center"/>
    </xf>
    <xf numFmtId="164" fontId="4" fillId="0" borderId="17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164" fontId="4" fillId="0" borderId="20" xfId="0" applyNumberFormat="1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1" fillId="7" borderId="13" xfId="0" applyFont="1" applyFill="1" applyBorder="1" applyAlignment="1">
      <alignment horizontal="center" vertical="center"/>
    </xf>
    <xf numFmtId="0" fontId="1" fillId="7" borderId="14" xfId="0" applyFont="1" applyFill="1" applyBorder="1" applyAlignment="1">
      <alignment horizontal="center" vertical="center"/>
    </xf>
    <xf numFmtId="0" fontId="1" fillId="7" borderId="15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6" fillId="7" borderId="0" xfId="0" applyFont="1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7" fillId="11" borderId="0" xfId="0" applyFont="1" applyFill="1" applyAlignment="1">
      <alignment horizontal="right" vertical="center"/>
    </xf>
    <xf numFmtId="0" fontId="0" fillId="4" borderId="0" xfId="0" applyFill="1" applyAlignment="1">
      <alignment horizontal="left" vertical="center"/>
    </xf>
    <xf numFmtId="0" fontId="0" fillId="14" borderId="0" xfId="0" applyFill="1" applyAlignment="1">
      <alignment horizontal="left" vertical="center"/>
    </xf>
    <xf numFmtId="0" fontId="7" fillId="9" borderId="0" xfId="0" applyFont="1" applyFill="1" applyAlignment="1">
      <alignment horizontal="center" vertical="center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colors>
    <mruColors>
      <color rgb="FFFF6600"/>
      <color rgb="FFFF9999"/>
      <color rgb="FFFFD5D5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77326</xdr:colOff>
      <xdr:row>2</xdr:row>
      <xdr:rowOff>27624</xdr:rowOff>
    </xdr:from>
    <xdr:to>
      <xdr:col>13</xdr:col>
      <xdr:colOff>376623</xdr:colOff>
      <xdr:row>2</xdr:row>
      <xdr:rowOff>186374</xdr:rowOff>
    </xdr:to>
    <xdr:sp macro="[0]!IvanAlex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7B3FA26-1864-4F10-8EA9-0A9BAD88AEF6}"/>
            </a:ext>
          </a:extLst>
        </xdr:cNvPr>
        <xdr:cNvSpPr/>
      </xdr:nvSpPr>
      <xdr:spPr>
        <a:xfrm>
          <a:off x="12742292" y="1041872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3</xdr:row>
      <xdr:rowOff>23814</xdr:rowOff>
    </xdr:from>
    <xdr:to>
      <xdr:col>13</xdr:col>
      <xdr:colOff>376623</xdr:colOff>
      <xdr:row>3</xdr:row>
      <xdr:rowOff>182564</xdr:rowOff>
    </xdr:to>
    <xdr:sp macro="[0]!Serginh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106821B-BAAC-47E3-B41B-B667B4293A4F}"/>
            </a:ext>
          </a:extLst>
        </xdr:cNvPr>
        <xdr:cNvSpPr/>
      </xdr:nvSpPr>
      <xdr:spPr>
        <a:xfrm>
          <a:off x="12742292" y="1237759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4</xdr:row>
      <xdr:rowOff>20005</xdr:rowOff>
    </xdr:from>
    <xdr:to>
      <xdr:col>13</xdr:col>
      <xdr:colOff>376623</xdr:colOff>
      <xdr:row>4</xdr:row>
      <xdr:rowOff>178755</xdr:rowOff>
    </xdr:to>
    <xdr:sp macro="[0]!Jean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AAFD5EEC-0DE4-4FA0-B54C-AD5ED6A13C03}"/>
            </a:ext>
          </a:extLst>
        </xdr:cNvPr>
        <xdr:cNvSpPr/>
      </xdr:nvSpPr>
      <xdr:spPr>
        <a:xfrm>
          <a:off x="12742292" y="1433646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5</xdr:row>
      <xdr:rowOff>16195</xdr:rowOff>
    </xdr:from>
    <xdr:to>
      <xdr:col>13</xdr:col>
      <xdr:colOff>376623</xdr:colOff>
      <xdr:row>5</xdr:row>
      <xdr:rowOff>174945</xdr:rowOff>
    </xdr:to>
    <xdr:sp macro="[0]!MacelioHenrique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3F577CD3-6F90-43C6-8C06-A4174C0F0064}"/>
            </a:ext>
          </a:extLst>
        </xdr:cNvPr>
        <xdr:cNvSpPr/>
      </xdr:nvSpPr>
      <xdr:spPr>
        <a:xfrm>
          <a:off x="12742292" y="1629533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6</xdr:row>
      <xdr:rowOff>12386</xdr:rowOff>
    </xdr:from>
    <xdr:to>
      <xdr:col>13</xdr:col>
      <xdr:colOff>376623</xdr:colOff>
      <xdr:row>6</xdr:row>
      <xdr:rowOff>171136</xdr:rowOff>
    </xdr:to>
    <xdr:sp macro="[0]!Macelio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FAE28C2B-04DE-4E81-B482-76996B58DE77}"/>
            </a:ext>
          </a:extLst>
        </xdr:cNvPr>
        <xdr:cNvSpPr/>
      </xdr:nvSpPr>
      <xdr:spPr>
        <a:xfrm>
          <a:off x="12742292" y="1825420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7</xdr:row>
      <xdr:rowOff>8576</xdr:rowOff>
    </xdr:from>
    <xdr:to>
      <xdr:col>13</xdr:col>
      <xdr:colOff>376623</xdr:colOff>
      <xdr:row>7</xdr:row>
      <xdr:rowOff>167326</xdr:rowOff>
    </xdr:to>
    <xdr:sp macro="[0]!MateusAires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DA8B8352-4A1F-4888-80C8-F0C5F3205BEC}"/>
            </a:ext>
          </a:extLst>
        </xdr:cNvPr>
        <xdr:cNvSpPr/>
      </xdr:nvSpPr>
      <xdr:spPr>
        <a:xfrm>
          <a:off x="12742292" y="2021307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8</xdr:row>
      <xdr:rowOff>4766</xdr:rowOff>
    </xdr:from>
    <xdr:to>
      <xdr:col>13</xdr:col>
      <xdr:colOff>376623</xdr:colOff>
      <xdr:row>8</xdr:row>
      <xdr:rowOff>163516</xdr:rowOff>
    </xdr:to>
    <xdr:sp macro="[0]!Bruno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B95938CE-0F3F-4C7C-BF4F-9A228C6A44C4}"/>
            </a:ext>
          </a:extLst>
        </xdr:cNvPr>
        <xdr:cNvSpPr/>
      </xdr:nvSpPr>
      <xdr:spPr>
        <a:xfrm>
          <a:off x="12742292" y="2217194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9</xdr:row>
      <xdr:rowOff>957</xdr:rowOff>
    </xdr:from>
    <xdr:to>
      <xdr:col>13</xdr:col>
      <xdr:colOff>376623</xdr:colOff>
      <xdr:row>9</xdr:row>
      <xdr:rowOff>159707</xdr:rowOff>
    </xdr:to>
    <xdr:sp macro="[0]!Naldinho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7B334951-C9F0-467B-9FCC-D66DF95313E0}"/>
            </a:ext>
          </a:extLst>
        </xdr:cNvPr>
        <xdr:cNvSpPr/>
      </xdr:nvSpPr>
      <xdr:spPr>
        <a:xfrm>
          <a:off x="12742292" y="2413081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9</xdr:row>
      <xdr:rowOff>196844</xdr:rowOff>
    </xdr:from>
    <xdr:to>
      <xdr:col>13</xdr:col>
      <xdr:colOff>376623</xdr:colOff>
      <xdr:row>10</xdr:row>
      <xdr:rowOff>155897</xdr:rowOff>
    </xdr:to>
    <xdr:sp macro="[0]!JulioSantos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6EB6D360-3CF5-4024-813D-B2B53278EEDB}"/>
            </a:ext>
          </a:extLst>
        </xdr:cNvPr>
        <xdr:cNvSpPr/>
      </xdr:nvSpPr>
      <xdr:spPr>
        <a:xfrm>
          <a:off x="12742292" y="2608968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10</xdr:row>
      <xdr:rowOff>193034</xdr:rowOff>
    </xdr:from>
    <xdr:to>
      <xdr:col>13</xdr:col>
      <xdr:colOff>376623</xdr:colOff>
      <xdr:row>11</xdr:row>
      <xdr:rowOff>152088</xdr:rowOff>
    </xdr:to>
    <xdr:sp macro="[0]!Joseir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FF0147D1-1993-463C-AEA6-A5E566ED7603}"/>
            </a:ext>
          </a:extLst>
        </xdr:cNvPr>
        <xdr:cNvSpPr/>
      </xdr:nvSpPr>
      <xdr:spPr>
        <a:xfrm>
          <a:off x="12742292" y="2804855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11</xdr:row>
      <xdr:rowOff>189225</xdr:rowOff>
    </xdr:from>
    <xdr:to>
      <xdr:col>13</xdr:col>
      <xdr:colOff>376623</xdr:colOff>
      <xdr:row>12</xdr:row>
      <xdr:rowOff>148278</xdr:rowOff>
    </xdr:to>
    <xdr:sp macro="[0]!Juninho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A78639C8-055C-4B09-92FD-3410266BB304}"/>
            </a:ext>
          </a:extLst>
        </xdr:cNvPr>
        <xdr:cNvSpPr/>
      </xdr:nvSpPr>
      <xdr:spPr>
        <a:xfrm>
          <a:off x="12742292" y="3000742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12</xdr:row>
      <xdr:rowOff>185415</xdr:rowOff>
    </xdr:from>
    <xdr:to>
      <xdr:col>13</xdr:col>
      <xdr:colOff>376623</xdr:colOff>
      <xdr:row>13</xdr:row>
      <xdr:rowOff>144469</xdr:rowOff>
    </xdr:to>
    <xdr:sp macro="[0]!Ivani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8A37CB1A-8B60-4480-BD81-9FB5C133C7BD}"/>
            </a:ext>
          </a:extLst>
        </xdr:cNvPr>
        <xdr:cNvSpPr/>
      </xdr:nvSpPr>
      <xdr:spPr>
        <a:xfrm>
          <a:off x="12742292" y="3196629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13</xdr:row>
      <xdr:rowOff>181606</xdr:rowOff>
    </xdr:from>
    <xdr:to>
      <xdr:col>13</xdr:col>
      <xdr:colOff>376623</xdr:colOff>
      <xdr:row>14</xdr:row>
      <xdr:rowOff>140659</xdr:rowOff>
    </xdr:to>
    <xdr:sp macro="[0]!Manoel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E33B3356-5B53-4569-832D-ACF707DE570F}"/>
            </a:ext>
          </a:extLst>
        </xdr:cNvPr>
        <xdr:cNvSpPr/>
      </xdr:nvSpPr>
      <xdr:spPr>
        <a:xfrm>
          <a:off x="12742292" y="3392516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14</xdr:row>
      <xdr:rowOff>177796</xdr:rowOff>
    </xdr:from>
    <xdr:to>
      <xdr:col>13</xdr:col>
      <xdr:colOff>376623</xdr:colOff>
      <xdr:row>15</xdr:row>
      <xdr:rowOff>136850</xdr:rowOff>
    </xdr:to>
    <xdr:sp macro="[0]!MateusHenrique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8468D2A9-37F6-430D-9BC7-7CCF2739ECF6}"/>
            </a:ext>
          </a:extLst>
        </xdr:cNvPr>
        <xdr:cNvSpPr/>
      </xdr:nvSpPr>
      <xdr:spPr>
        <a:xfrm>
          <a:off x="12742292" y="3588403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15</xdr:row>
      <xdr:rowOff>173987</xdr:rowOff>
    </xdr:from>
    <xdr:to>
      <xdr:col>13</xdr:col>
      <xdr:colOff>376623</xdr:colOff>
      <xdr:row>16</xdr:row>
      <xdr:rowOff>133040</xdr:rowOff>
    </xdr:to>
    <xdr:sp macro="[0]!Gabriel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709EB56F-A829-45BA-9615-0F8E804C863A}"/>
            </a:ext>
          </a:extLst>
        </xdr:cNvPr>
        <xdr:cNvSpPr/>
      </xdr:nvSpPr>
      <xdr:spPr>
        <a:xfrm>
          <a:off x="12742292" y="3784290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16</xdr:row>
      <xdr:rowOff>170177</xdr:rowOff>
    </xdr:from>
    <xdr:to>
      <xdr:col>13</xdr:col>
      <xdr:colOff>376623</xdr:colOff>
      <xdr:row>17</xdr:row>
      <xdr:rowOff>129230</xdr:rowOff>
    </xdr:to>
    <xdr:sp macro="[0]!Marcel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6BA82D40-DAE5-4341-9672-86DD971C391D}"/>
            </a:ext>
          </a:extLst>
        </xdr:cNvPr>
        <xdr:cNvSpPr/>
      </xdr:nvSpPr>
      <xdr:spPr>
        <a:xfrm>
          <a:off x="12742292" y="3980177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17</xdr:row>
      <xdr:rowOff>166367</xdr:rowOff>
    </xdr:from>
    <xdr:to>
      <xdr:col>13</xdr:col>
      <xdr:colOff>376623</xdr:colOff>
      <xdr:row>18</xdr:row>
      <xdr:rowOff>125421</xdr:rowOff>
    </xdr:to>
    <xdr:sp macro="[0]!Luana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F0D5EB16-E1C0-44C3-A74B-C2C32C54D68B}"/>
            </a:ext>
          </a:extLst>
        </xdr:cNvPr>
        <xdr:cNvSpPr/>
      </xdr:nvSpPr>
      <xdr:spPr>
        <a:xfrm>
          <a:off x="12742292" y="4176064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18</xdr:row>
      <xdr:rowOff>162558</xdr:rowOff>
    </xdr:from>
    <xdr:to>
      <xdr:col>13</xdr:col>
      <xdr:colOff>376623</xdr:colOff>
      <xdr:row>19</xdr:row>
      <xdr:rowOff>126574</xdr:rowOff>
    </xdr:to>
    <xdr:sp macro="[0]!JulioOliveira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EEBB165B-EC6F-47FC-B386-135A2A0C16B7}"/>
            </a:ext>
          </a:extLst>
        </xdr:cNvPr>
        <xdr:cNvSpPr/>
      </xdr:nvSpPr>
      <xdr:spPr>
        <a:xfrm>
          <a:off x="12742292" y="4371951"/>
          <a:ext cx="299297" cy="163713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21</xdr:row>
      <xdr:rowOff>161048</xdr:rowOff>
    </xdr:from>
    <xdr:to>
      <xdr:col>13</xdr:col>
      <xdr:colOff>376038</xdr:colOff>
      <xdr:row>22</xdr:row>
      <xdr:rowOff>125064</xdr:rowOff>
    </xdr:to>
    <xdr:sp macro="[0]!Chicao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A0AC94F4-4BE2-4CC4-A419-D36C78A26AE7}"/>
            </a:ext>
          </a:extLst>
        </xdr:cNvPr>
        <xdr:cNvSpPr/>
      </xdr:nvSpPr>
      <xdr:spPr>
        <a:xfrm>
          <a:off x="12742292" y="4969531"/>
          <a:ext cx="298712" cy="163712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64747</xdr:colOff>
      <xdr:row>0</xdr:row>
      <xdr:rowOff>156261</xdr:rowOff>
    </xdr:from>
    <xdr:to>
      <xdr:col>14</xdr:col>
      <xdr:colOff>402166</xdr:colOff>
      <xdr:row>1</xdr:row>
      <xdr:rowOff>322793</xdr:rowOff>
    </xdr:to>
    <xdr:sp macro="[0]!update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38021DEB-EDB8-48E4-AB78-BAA29674B427}"/>
            </a:ext>
          </a:extLst>
        </xdr:cNvPr>
        <xdr:cNvSpPr/>
      </xdr:nvSpPr>
      <xdr:spPr>
        <a:xfrm>
          <a:off x="8732497" y="156261"/>
          <a:ext cx="1152336" cy="441699"/>
        </a:xfrm>
        <a:prstGeom prst="roundRect">
          <a:avLst/>
        </a:prstGeom>
        <a:solidFill>
          <a:srgbClr val="007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</a:rPr>
            <a:t>Update</a:t>
          </a:r>
          <a:endParaRPr lang="en-US" sz="105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445122</xdr:colOff>
      <xdr:row>0</xdr:row>
      <xdr:rowOff>156261</xdr:rowOff>
    </xdr:from>
    <xdr:to>
      <xdr:col>18</xdr:col>
      <xdr:colOff>264581</xdr:colOff>
      <xdr:row>1</xdr:row>
      <xdr:rowOff>328769</xdr:rowOff>
    </xdr:to>
    <xdr:sp macro="[0]!limparSimul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CD73E47-C6BE-4E53-85C2-C92FD1FA4834}"/>
            </a:ext>
          </a:extLst>
        </xdr:cNvPr>
        <xdr:cNvSpPr/>
      </xdr:nvSpPr>
      <xdr:spPr>
        <a:xfrm>
          <a:off x="9927789" y="156261"/>
          <a:ext cx="1777375" cy="44767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Limpar Simulação</a:t>
          </a:r>
        </a:p>
      </xdr:txBody>
    </xdr:sp>
    <xdr:clientData/>
  </xdr:twoCellAnchor>
  <xdr:twoCellAnchor>
    <xdr:from>
      <xdr:col>13</xdr:col>
      <xdr:colOff>77326</xdr:colOff>
      <xdr:row>19</xdr:row>
      <xdr:rowOff>163711</xdr:rowOff>
    </xdr:from>
    <xdr:to>
      <xdr:col>13</xdr:col>
      <xdr:colOff>376038</xdr:colOff>
      <xdr:row>20</xdr:row>
      <xdr:rowOff>127729</xdr:rowOff>
    </xdr:to>
    <xdr:sp macro="[0]!Miguel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5C844738-AF6C-49D4-85C0-E03B1A57735E}"/>
            </a:ext>
          </a:extLst>
        </xdr:cNvPr>
        <xdr:cNvSpPr/>
      </xdr:nvSpPr>
      <xdr:spPr>
        <a:xfrm>
          <a:off x="12742292" y="4572801"/>
          <a:ext cx="298712" cy="163714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20</xdr:row>
      <xdr:rowOff>164866</xdr:rowOff>
    </xdr:from>
    <xdr:to>
      <xdr:col>13</xdr:col>
      <xdr:colOff>376623</xdr:colOff>
      <xdr:row>21</xdr:row>
      <xdr:rowOff>123919</xdr:rowOff>
    </xdr:to>
    <xdr:sp macro="[0]!Francesco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FBAEE177-1858-4F21-8863-B18987F46D61}"/>
            </a:ext>
          </a:extLst>
        </xdr:cNvPr>
        <xdr:cNvSpPr/>
      </xdr:nvSpPr>
      <xdr:spPr>
        <a:xfrm>
          <a:off x="12742292" y="4773652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1371577</xdr:colOff>
      <xdr:row>23</xdr:row>
      <xdr:rowOff>49581</xdr:rowOff>
    </xdr:from>
    <xdr:to>
      <xdr:col>9</xdr:col>
      <xdr:colOff>26871</xdr:colOff>
      <xdr:row>24</xdr:row>
      <xdr:rowOff>182880</xdr:rowOff>
    </xdr:to>
    <xdr:sp macro="[0]!tabelaJog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CC705F48-E78A-43AD-B97A-2ACF15249509}"/>
            </a:ext>
          </a:extLst>
        </xdr:cNvPr>
        <xdr:cNvSpPr/>
      </xdr:nvSpPr>
      <xdr:spPr>
        <a:xfrm>
          <a:off x="9022057" y="5330241"/>
          <a:ext cx="1398494" cy="339039"/>
        </a:xfrm>
        <a:prstGeom prst="roundRect">
          <a:avLst/>
        </a:prstGeom>
        <a:solidFill>
          <a:srgbClr val="0070C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masis MT Pro" panose="02040504050005020304" pitchFamily="18" charset="0"/>
            </a:rPr>
            <a:t>Tabela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8965</xdr:colOff>
      <xdr:row>24</xdr:row>
      <xdr:rowOff>8965</xdr:rowOff>
    </xdr:from>
    <xdr:to>
      <xdr:col>16</xdr:col>
      <xdr:colOff>8964</xdr:colOff>
      <xdr:row>26</xdr:row>
      <xdr:rowOff>188259</xdr:rowOff>
    </xdr:to>
    <xdr:sp macro="[0]!palpitesAtual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20AF0FE-8B3F-32C8-FD0F-363F3DAE8AFE}"/>
            </a:ext>
          </a:extLst>
        </xdr:cNvPr>
        <xdr:cNvSpPr/>
      </xdr:nvSpPr>
      <xdr:spPr>
        <a:xfrm>
          <a:off x="8803341" y="5486400"/>
          <a:ext cx="1398494" cy="64545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masis MT Pro" panose="02040504050005020304" pitchFamily="18" charset="0"/>
            </a:rPr>
            <a:t>Palpites da Partida Atual</a:t>
          </a:r>
        </a:p>
      </xdr:txBody>
    </xdr:sp>
    <xdr:clientData/>
  </xdr:twoCellAnchor>
  <xdr:twoCellAnchor>
    <xdr:from>
      <xdr:col>13</xdr:col>
      <xdr:colOff>8964</xdr:colOff>
      <xdr:row>24</xdr:row>
      <xdr:rowOff>8965</xdr:rowOff>
    </xdr:from>
    <xdr:to>
      <xdr:col>14</xdr:col>
      <xdr:colOff>1281952</xdr:colOff>
      <xdr:row>26</xdr:row>
      <xdr:rowOff>188259</xdr:rowOff>
    </xdr:to>
    <xdr:sp macro="[0]!homeClassific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B4BF368D-3BBE-4037-98DF-2D3013373FA6}"/>
            </a:ext>
          </a:extLst>
        </xdr:cNvPr>
        <xdr:cNvSpPr/>
      </xdr:nvSpPr>
      <xdr:spPr>
        <a:xfrm>
          <a:off x="7279340" y="5486400"/>
          <a:ext cx="1398494" cy="645459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masis MT Pro" panose="02040504050005020304" pitchFamily="18" charset="0"/>
            </a:rPr>
            <a:t>Classificação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001D48C1-BD71-430C-9D73-7E7371E25C90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154299DC-C3C0-41EA-89B9-95E9E4CF7E59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E7FEB2B-7B89-4C21-AB62-B9ADCE9830A2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35565A8-07D9-4DA3-8CDC-D72A3226C4C0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4BC7A5A-EBBE-45CF-882E-36645ACB64FA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9B1E037-8B40-4A4F-B3BB-5BB00BF10026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A613E61-4C86-4D02-998C-EDD5EF674A1E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800F837-61EF-4FE7-BE75-FFD8EC12B60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0287EC3-DE85-46CB-883F-E7DEE386E552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AC9F0A2-1445-466B-ACDC-D023BB13D5C3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6EA38C2-38DC-4BBB-A4F7-848801C29016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F3ED521C-337E-402E-B34E-EE12D28C871E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9E71D0D-65DD-4DA4-802F-28507CADC0B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1D0E1EB-3B5D-4585-A98A-6D74E8A33C7C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90CDDA0-A55F-41EF-988C-DD05CACDB009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CE2478A-ED19-4B3C-A32A-0B436407502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71800EB-6ECD-489E-B331-9665ED50E560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D452C476-4D4E-437A-9072-E559AD2C825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F2E785E-5DF8-4F42-9957-EE56A694E24A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2BF63AA-B862-4795-AAEF-58AD326FA5F4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09AE147-88B2-469A-84EA-58D164E12268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4A90256-944C-4AD1-984D-9B7B65C4E80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744CC12-B122-4673-AF45-61AFC00AD42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D2246D3F-B8F7-499B-812C-A8F26D925AB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216763E-A084-445C-AF62-137B8F1FB8D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0A89478-3CC8-4BC7-9BF5-9E2486EA011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C00A6B0-7902-4F92-AE60-B9FD9470192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AADCF19-0BDC-4418-B7AC-704AE16C7C51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39AE414-88E4-4BED-B1BD-A4035313554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85EC3B9-5C98-449F-A942-AF9B9E7A4833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033F8A1-A878-4D50-80CD-80804897814E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137ECE4-0E3B-4AC9-91E5-0F25EACE6AD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10619B8-4A21-4D35-BE68-AC984D26985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0BC1861-7868-40FA-8DF8-7C7D0CAE51F1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A947C1F-ECC8-4710-8A48-3333E320F61C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05DFDB9-31A6-4D36-A81D-6213E8498694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42874ED-4936-43DD-AEBE-5616B77ABE9B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869EB8C-1DA9-432C-BDE0-90EC13E9B55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E4C580F-0996-4BF8-94DE-DD33F2A05F5B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0FBCC3D-5EF5-4A01-BE76-0C455CBC8F7B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F80F7A4-4497-44C7-8BBF-D2DD41A164C1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5972CBB-5C08-4D90-83F7-4604F06FAE99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B3CBC-772C-46C7-BF24-548FE6231066}">
  <sheetPr codeName="Planilha33"/>
  <dimension ref="B2:L123"/>
  <sheetViews>
    <sheetView workbookViewId="0">
      <selection activeCell="L2" sqref="L2"/>
    </sheetView>
  </sheetViews>
  <sheetFormatPr defaultColWidth="4" defaultRowHeight="14.4" x14ac:dyDescent="0.3"/>
  <sheetData>
    <row r="2" spans="2:12" x14ac:dyDescent="0.3">
      <c r="B2" s="132" t="s">
        <v>196</v>
      </c>
      <c r="C2" s="132"/>
      <c r="D2" s="132"/>
      <c r="E2" s="2">
        <v>1</v>
      </c>
      <c r="F2" s="2"/>
      <c r="G2" s="2">
        <v>1</v>
      </c>
      <c r="H2" s="132" t="s">
        <v>197</v>
      </c>
      <c r="I2" s="132"/>
      <c r="J2" s="132"/>
      <c r="L2" t="s">
        <v>287</v>
      </c>
    </row>
    <row r="3" spans="2:12" x14ac:dyDescent="0.3">
      <c r="B3" s="132" t="s">
        <v>201</v>
      </c>
      <c r="C3" s="132"/>
      <c r="D3" s="132"/>
      <c r="E3" s="2">
        <v>1</v>
      </c>
      <c r="F3" s="2"/>
      <c r="G3" s="2">
        <v>1</v>
      </c>
      <c r="H3" s="132" t="s">
        <v>202</v>
      </c>
      <c r="I3" s="132"/>
      <c r="J3" s="132"/>
    </row>
    <row r="4" spans="2:12" x14ac:dyDescent="0.3">
      <c r="B4" s="132" t="s">
        <v>212</v>
      </c>
      <c r="C4" s="132"/>
      <c r="D4" s="132"/>
      <c r="E4" s="2">
        <v>2</v>
      </c>
      <c r="F4" s="2"/>
      <c r="G4" s="2">
        <v>0</v>
      </c>
      <c r="H4" s="132" t="s">
        <v>213</v>
      </c>
      <c r="I4" s="132"/>
      <c r="J4" s="132"/>
    </row>
    <row r="6" spans="2:12" x14ac:dyDescent="0.3">
      <c r="B6" s="132" t="s">
        <v>188</v>
      </c>
      <c r="C6" s="132"/>
      <c r="D6" s="132"/>
      <c r="E6" s="2">
        <v>1</v>
      </c>
      <c r="F6" s="2"/>
      <c r="G6" s="2">
        <v>0</v>
      </c>
      <c r="H6" s="132" t="s">
        <v>189</v>
      </c>
      <c r="I6" s="132"/>
      <c r="J6" s="132"/>
      <c r="L6" t="s">
        <v>286</v>
      </c>
    </row>
    <row r="7" spans="2:12" x14ac:dyDescent="0.3">
      <c r="B7" s="132" t="s">
        <v>195</v>
      </c>
      <c r="C7" s="132"/>
      <c r="D7" s="132"/>
      <c r="E7" s="2">
        <v>2</v>
      </c>
      <c r="F7" s="2"/>
      <c r="G7" s="2">
        <v>0</v>
      </c>
      <c r="H7" s="132" t="s">
        <v>196</v>
      </c>
      <c r="I7" s="132"/>
      <c r="J7" s="132"/>
    </row>
    <row r="8" spans="2:12" x14ac:dyDescent="0.3">
      <c r="B8" s="132" t="s">
        <v>197</v>
      </c>
      <c r="C8" s="132"/>
      <c r="D8" s="132"/>
      <c r="E8" s="2">
        <v>2</v>
      </c>
      <c r="F8" s="2"/>
      <c r="G8" s="2">
        <v>0</v>
      </c>
      <c r="H8" s="132" t="s">
        <v>198</v>
      </c>
      <c r="I8" s="132"/>
      <c r="J8" s="132"/>
    </row>
    <row r="9" spans="2:12" x14ac:dyDescent="0.3">
      <c r="B9" s="132" t="s">
        <v>198</v>
      </c>
      <c r="C9" s="132"/>
      <c r="D9" s="132"/>
      <c r="E9" s="2">
        <v>0</v>
      </c>
      <c r="F9" s="2"/>
      <c r="G9" s="2">
        <v>3</v>
      </c>
      <c r="H9" s="132" t="s">
        <v>195</v>
      </c>
      <c r="I9" s="132"/>
      <c r="J9" s="132"/>
    </row>
    <row r="10" spans="2:12" x14ac:dyDescent="0.3">
      <c r="B10" s="132" t="s">
        <v>212</v>
      </c>
      <c r="C10" s="132"/>
      <c r="D10" s="132"/>
      <c r="E10" s="2">
        <v>2</v>
      </c>
      <c r="F10" s="2"/>
      <c r="G10" s="2">
        <v>0</v>
      </c>
      <c r="H10" s="132" t="s">
        <v>213</v>
      </c>
      <c r="I10" s="132"/>
      <c r="J10" s="132"/>
    </row>
    <row r="11" spans="2:12" x14ac:dyDescent="0.3">
      <c r="B11" s="132" t="s">
        <v>211</v>
      </c>
      <c r="C11" s="132"/>
      <c r="D11" s="132"/>
      <c r="E11" s="2">
        <v>1</v>
      </c>
      <c r="F11" s="2"/>
      <c r="G11" s="2">
        <v>0</v>
      </c>
      <c r="H11" s="132" t="s">
        <v>210</v>
      </c>
      <c r="I11" s="132"/>
      <c r="J11" s="132"/>
    </row>
    <row r="13" spans="2:12" x14ac:dyDescent="0.3">
      <c r="B13" s="132" t="s">
        <v>185</v>
      </c>
      <c r="C13" s="132"/>
      <c r="D13" s="132"/>
      <c r="E13" s="2">
        <v>2</v>
      </c>
      <c r="F13" s="2"/>
      <c r="G13" s="2">
        <v>0</v>
      </c>
      <c r="H13" s="132" t="s">
        <v>183</v>
      </c>
      <c r="I13" s="132"/>
      <c r="J13" s="132"/>
      <c r="L13" t="s">
        <v>285</v>
      </c>
    </row>
    <row r="14" spans="2:12" x14ac:dyDescent="0.3">
      <c r="B14" s="132" t="s">
        <v>190</v>
      </c>
      <c r="C14" s="132"/>
      <c r="D14" s="132"/>
      <c r="E14" s="2">
        <v>0</v>
      </c>
      <c r="F14" s="2"/>
      <c r="G14" s="2">
        <v>2</v>
      </c>
      <c r="H14" s="132" t="s">
        <v>187</v>
      </c>
      <c r="I14" s="132"/>
      <c r="J14" s="132"/>
    </row>
    <row r="15" spans="2:12" x14ac:dyDescent="0.3">
      <c r="B15" s="132" t="s">
        <v>195</v>
      </c>
      <c r="C15" s="132"/>
      <c r="D15" s="132"/>
      <c r="E15" s="2">
        <v>2</v>
      </c>
      <c r="F15" s="2"/>
      <c r="G15" s="2">
        <v>0</v>
      </c>
      <c r="H15" s="132" t="s">
        <v>196</v>
      </c>
      <c r="I15" s="132"/>
      <c r="J15" s="132"/>
    </row>
    <row r="16" spans="2:12" x14ac:dyDescent="0.3">
      <c r="B16" s="132" t="s">
        <v>199</v>
      </c>
      <c r="C16" s="132"/>
      <c r="D16" s="132"/>
      <c r="E16" s="2">
        <v>0</v>
      </c>
      <c r="F16" s="2"/>
      <c r="G16" s="2">
        <v>0</v>
      </c>
      <c r="H16" s="132" t="s">
        <v>201</v>
      </c>
      <c r="I16" s="132"/>
      <c r="J16" s="132"/>
    </row>
    <row r="17" spans="2:12" x14ac:dyDescent="0.3">
      <c r="B17" s="132" t="s">
        <v>207</v>
      </c>
      <c r="C17" s="132"/>
      <c r="D17" s="132"/>
      <c r="E17" s="2">
        <v>2</v>
      </c>
      <c r="F17" s="2"/>
      <c r="G17" s="2">
        <v>0</v>
      </c>
      <c r="H17" s="132" t="s">
        <v>208</v>
      </c>
      <c r="I17" s="132"/>
      <c r="J17" s="132"/>
    </row>
    <row r="19" spans="2:12" x14ac:dyDescent="0.3">
      <c r="B19" s="132" t="s">
        <v>189</v>
      </c>
      <c r="C19" s="132"/>
      <c r="D19" s="132"/>
      <c r="E19" s="2">
        <v>2</v>
      </c>
      <c r="F19" s="2"/>
      <c r="G19" s="2">
        <v>1</v>
      </c>
      <c r="H19" s="132" t="s">
        <v>190</v>
      </c>
      <c r="I19" s="132"/>
      <c r="J19" s="132"/>
      <c r="L19" t="s">
        <v>284</v>
      </c>
    </row>
    <row r="20" spans="2:12" x14ac:dyDescent="0.3">
      <c r="B20" s="132" t="s">
        <v>190</v>
      </c>
      <c r="C20" s="132"/>
      <c r="D20" s="132"/>
      <c r="E20" s="2">
        <v>1</v>
      </c>
      <c r="F20" s="2"/>
      <c r="G20" s="2">
        <v>3</v>
      </c>
      <c r="H20" s="132" t="s">
        <v>188</v>
      </c>
      <c r="I20" s="132"/>
      <c r="J20" s="132"/>
    </row>
    <row r="21" spans="2:12" x14ac:dyDescent="0.3">
      <c r="B21" s="132" t="s">
        <v>190</v>
      </c>
      <c r="C21" s="132"/>
      <c r="D21" s="132"/>
      <c r="E21" s="2">
        <v>0</v>
      </c>
      <c r="F21" s="2"/>
      <c r="G21" s="2">
        <v>2</v>
      </c>
      <c r="H21" s="132" t="s">
        <v>187</v>
      </c>
      <c r="I21" s="132"/>
      <c r="J21" s="132"/>
    </row>
    <row r="22" spans="2:12" x14ac:dyDescent="0.3">
      <c r="B22" s="132" t="s">
        <v>192</v>
      </c>
      <c r="C22" s="132"/>
      <c r="D22" s="132"/>
      <c r="E22" s="2">
        <v>1</v>
      </c>
      <c r="F22" s="2"/>
      <c r="G22" s="2">
        <v>1</v>
      </c>
      <c r="H22" s="132" t="s">
        <v>193</v>
      </c>
      <c r="I22" s="132"/>
      <c r="J22" s="132"/>
    </row>
    <row r="23" spans="2:12" x14ac:dyDescent="0.3">
      <c r="B23" s="132" t="s">
        <v>195</v>
      </c>
      <c r="C23" s="132"/>
      <c r="D23" s="132"/>
      <c r="E23" s="2">
        <v>2</v>
      </c>
      <c r="F23" s="2"/>
      <c r="G23" s="2">
        <v>0</v>
      </c>
      <c r="H23" s="132" t="s">
        <v>196</v>
      </c>
      <c r="I23" s="132"/>
      <c r="J23" s="132"/>
    </row>
    <row r="24" spans="2:12" x14ac:dyDescent="0.3">
      <c r="B24" s="132" t="s">
        <v>202</v>
      </c>
      <c r="C24" s="132"/>
      <c r="D24" s="132"/>
      <c r="E24" s="2">
        <v>2</v>
      </c>
      <c r="F24" s="2"/>
      <c r="G24" s="2">
        <v>0</v>
      </c>
      <c r="H24" s="132" t="s">
        <v>199</v>
      </c>
      <c r="I24" s="132"/>
      <c r="J24" s="132"/>
    </row>
    <row r="25" spans="2:12" x14ac:dyDescent="0.3">
      <c r="B25" s="132" t="s">
        <v>213</v>
      </c>
      <c r="C25" s="132"/>
      <c r="D25" s="132"/>
      <c r="E25" s="2">
        <v>1</v>
      </c>
      <c r="F25" s="2"/>
      <c r="G25" s="2">
        <v>2</v>
      </c>
      <c r="H25" s="132" t="s">
        <v>214</v>
      </c>
      <c r="I25" s="132"/>
      <c r="J25" s="132"/>
    </row>
    <row r="26" spans="2:12" x14ac:dyDescent="0.3">
      <c r="B26" s="132" t="s">
        <v>187</v>
      </c>
      <c r="C26" s="132"/>
      <c r="D26" s="132"/>
      <c r="E26" s="2">
        <v>4</v>
      </c>
      <c r="F26" s="2"/>
      <c r="G26" s="2">
        <v>0</v>
      </c>
      <c r="H26" s="132" t="s">
        <v>184</v>
      </c>
      <c r="I26" s="132"/>
      <c r="J26" s="132"/>
    </row>
    <row r="28" spans="2:12" x14ac:dyDescent="0.3">
      <c r="B28" s="132" t="s">
        <v>184</v>
      </c>
      <c r="C28" s="132"/>
      <c r="D28" s="132"/>
      <c r="E28" s="2">
        <v>2</v>
      </c>
      <c r="F28" s="2"/>
      <c r="G28" s="2">
        <v>1</v>
      </c>
      <c r="H28" s="132" t="s">
        <v>186</v>
      </c>
      <c r="I28" s="132"/>
      <c r="J28" s="132"/>
      <c r="L28" t="s">
        <v>283</v>
      </c>
    </row>
    <row r="29" spans="2:12" x14ac:dyDescent="0.3">
      <c r="B29" s="132" t="s">
        <v>197</v>
      </c>
      <c r="C29" s="132"/>
      <c r="D29" s="132"/>
      <c r="E29" s="2">
        <v>2</v>
      </c>
      <c r="F29" s="2"/>
      <c r="G29" s="2">
        <v>0</v>
      </c>
      <c r="H29" s="132" t="s">
        <v>198</v>
      </c>
      <c r="I29" s="132"/>
      <c r="J29" s="132"/>
    </row>
    <row r="30" spans="2:12" x14ac:dyDescent="0.3">
      <c r="B30" s="132" t="s">
        <v>214</v>
      </c>
      <c r="C30" s="132"/>
      <c r="D30" s="132"/>
      <c r="E30" s="2">
        <v>0</v>
      </c>
      <c r="F30" s="2"/>
      <c r="G30" s="2">
        <v>3</v>
      </c>
      <c r="H30" s="132" t="s">
        <v>211</v>
      </c>
      <c r="I30" s="132"/>
      <c r="J30" s="132"/>
    </row>
    <row r="31" spans="2:12" x14ac:dyDescent="0.3">
      <c r="B31" s="132" t="s">
        <v>187</v>
      </c>
      <c r="C31" s="132"/>
      <c r="D31" s="132"/>
      <c r="E31" s="2">
        <v>4</v>
      </c>
      <c r="F31" s="2"/>
      <c r="G31" s="2">
        <v>0</v>
      </c>
      <c r="H31" s="132" t="s">
        <v>184</v>
      </c>
      <c r="I31" s="132"/>
      <c r="J31" s="132"/>
    </row>
    <row r="33" spans="2:12" x14ac:dyDescent="0.3">
      <c r="B33" s="132" t="s">
        <v>185</v>
      </c>
      <c r="C33" s="132"/>
      <c r="D33" s="132"/>
      <c r="E33" s="2">
        <v>2</v>
      </c>
      <c r="F33" s="2"/>
      <c r="G33" s="2">
        <v>0</v>
      </c>
      <c r="H33" s="132" t="s">
        <v>183</v>
      </c>
      <c r="I33" s="132"/>
      <c r="J33" s="132"/>
      <c r="L33" t="s">
        <v>282</v>
      </c>
    </row>
    <row r="34" spans="2:12" x14ac:dyDescent="0.3">
      <c r="B34" s="132" t="s">
        <v>192</v>
      </c>
      <c r="C34" s="132"/>
      <c r="D34" s="132"/>
      <c r="E34" s="2">
        <v>1</v>
      </c>
      <c r="F34" s="2"/>
      <c r="G34" s="2">
        <v>1</v>
      </c>
      <c r="H34" s="132" t="s">
        <v>193</v>
      </c>
      <c r="I34" s="132"/>
      <c r="J34" s="132"/>
    </row>
    <row r="35" spans="2:12" x14ac:dyDescent="0.3">
      <c r="B35" s="132" t="s">
        <v>204</v>
      </c>
      <c r="C35" s="132"/>
      <c r="D35" s="132"/>
      <c r="E35" s="2">
        <v>1</v>
      </c>
      <c r="F35" s="2"/>
      <c r="G35" s="2">
        <v>0</v>
      </c>
      <c r="H35" s="132" t="s">
        <v>205</v>
      </c>
      <c r="I35" s="132"/>
      <c r="J35" s="132"/>
    </row>
    <row r="36" spans="2:12" x14ac:dyDescent="0.3">
      <c r="B36" s="132" t="s">
        <v>213</v>
      </c>
      <c r="C36" s="132"/>
      <c r="D36" s="132"/>
      <c r="E36" s="2">
        <v>1</v>
      </c>
      <c r="F36" s="2"/>
      <c r="G36" s="2">
        <v>2</v>
      </c>
      <c r="H36" s="132" t="s">
        <v>214</v>
      </c>
      <c r="I36" s="132"/>
      <c r="J36" s="132"/>
    </row>
    <row r="37" spans="2:12" x14ac:dyDescent="0.3">
      <c r="B37" s="132" t="s">
        <v>204</v>
      </c>
      <c r="C37" s="132"/>
      <c r="D37" s="132"/>
      <c r="E37" s="2">
        <v>2</v>
      </c>
      <c r="F37" s="2"/>
      <c r="G37" s="2">
        <v>1</v>
      </c>
      <c r="H37" s="132" t="s">
        <v>201</v>
      </c>
      <c r="I37" s="132"/>
      <c r="J37" s="132"/>
    </row>
    <row r="39" spans="2:12" x14ac:dyDescent="0.3">
      <c r="B39" s="132" t="s">
        <v>184</v>
      </c>
      <c r="C39" s="132"/>
      <c r="D39" s="132"/>
      <c r="E39" s="2">
        <v>2</v>
      </c>
      <c r="F39" s="2"/>
      <c r="G39" s="2">
        <v>2</v>
      </c>
      <c r="H39" s="132" t="s">
        <v>185</v>
      </c>
      <c r="I39" s="132"/>
      <c r="J39" s="132"/>
      <c r="L39" t="s">
        <v>281</v>
      </c>
    </row>
    <row r="40" spans="2:12" x14ac:dyDescent="0.3">
      <c r="B40" s="132" t="s">
        <v>208</v>
      </c>
      <c r="C40" s="132"/>
      <c r="D40" s="132"/>
      <c r="E40" s="2">
        <v>1</v>
      </c>
      <c r="F40" s="2"/>
      <c r="G40" s="2">
        <v>2</v>
      </c>
      <c r="H40" s="132" t="s">
        <v>209</v>
      </c>
      <c r="I40" s="132"/>
      <c r="J40" s="132"/>
    </row>
    <row r="41" spans="2:12" x14ac:dyDescent="0.3">
      <c r="B41" s="132" t="s">
        <v>213</v>
      </c>
      <c r="C41" s="132"/>
      <c r="D41" s="132"/>
      <c r="E41" s="2">
        <v>1</v>
      </c>
      <c r="F41" s="2"/>
      <c r="G41" s="2">
        <v>2</v>
      </c>
      <c r="H41" s="132" t="s">
        <v>214</v>
      </c>
      <c r="I41" s="132"/>
      <c r="J41" s="132"/>
    </row>
    <row r="43" spans="2:12" x14ac:dyDescent="0.3">
      <c r="B43" s="132" t="s">
        <v>191</v>
      </c>
      <c r="C43" s="132"/>
      <c r="D43" s="132"/>
      <c r="E43" s="2">
        <v>2</v>
      </c>
      <c r="F43" s="2"/>
      <c r="G43" s="2">
        <v>1</v>
      </c>
      <c r="H43" s="132" t="s">
        <v>193</v>
      </c>
      <c r="I43" s="132"/>
      <c r="J43" s="132"/>
      <c r="L43" t="s">
        <v>280</v>
      </c>
    </row>
    <row r="44" spans="2:12" x14ac:dyDescent="0.3">
      <c r="B44" s="132" t="s">
        <v>202</v>
      </c>
      <c r="C44" s="132"/>
      <c r="D44" s="132"/>
      <c r="E44" s="2">
        <v>2</v>
      </c>
      <c r="F44" s="2"/>
      <c r="G44" s="2">
        <v>1</v>
      </c>
      <c r="H44" s="132" t="s">
        <v>200</v>
      </c>
      <c r="I44" s="132"/>
      <c r="J44" s="132"/>
    </row>
    <row r="45" spans="2:12" x14ac:dyDescent="0.3">
      <c r="B45" s="132" t="s">
        <v>208</v>
      </c>
      <c r="C45" s="132"/>
      <c r="D45" s="132"/>
      <c r="E45" s="2">
        <v>1</v>
      </c>
      <c r="F45" s="2"/>
      <c r="G45" s="2">
        <v>2</v>
      </c>
      <c r="H45" s="132" t="s">
        <v>209</v>
      </c>
      <c r="I45" s="132"/>
      <c r="J45" s="132"/>
    </row>
    <row r="46" spans="2:12" x14ac:dyDescent="0.3">
      <c r="B46" s="132" t="s">
        <v>213</v>
      </c>
      <c r="C46" s="132"/>
      <c r="D46" s="132"/>
      <c r="E46" s="2">
        <v>1</v>
      </c>
      <c r="F46" s="2"/>
      <c r="G46" s="2">
        <v>2</v>
      </c>
      <c r="H46" s="132" t="s">
        <v>214</v>
      </c>
      <c r="I46" s="132"/>
      <c r="J46" s="132"/>
    </row>
    <row r="47" spans="2:12" x14ac:dyDescent="0.3">
      <c r="B47" s="132" t="s">
        <v>211</v>
      </c>
      <c r="C47" s="132"/>
      <c r="D47" s="132"/>
      <c r="E47" s="2">
        <v>3</v>
      </c>
      <c r="F47" s="2"/>
      <c r="G47" s="2">
        <v>1</v>
      </c>
      <c r="H47" s="132" t="s">
        <v>213</v>
      </c>
      <c r="I47" s="132"/>
      <c r="J47" s="132"/>
    </row>
    <row r="49" spans="2:12" x14ac:dyDescent="0.3">
      <c r="B49" s="132" t="s">
        <v>190</v>
      </c>
      <c r="C49" s="132"/>
      <c r="D49" s="132"/>
      <c r="E49" s="2">
        <v>1</v>
      </c>
      <c r="F49" s="2"/>
      <c r="G49" s="2">
        <v>3</v>
      </c>
      <c r="H49" s="132" t="s">
        <v>188</v>
      </c>
      <c r="I49" s="132"/>
      <c r="J49" s="132"/>
      <c r="L49" t="s">
        <v>279</v>
      </c>
    </row>
    <row r="50" spans="2:12" x14ac:dyDescent="0.3">
      <c r="B50" s="132" t="s">
        <v>190</v>
      </c>
      <c r="C50" s="132"/>
      <c r="D50" s="132"/>
      <c r="E50" s="2">
        <v>0</v>
      </c>
      <c r="F50" s="2"/>
      <c r="G50" s="2">
        <v>2</v>
      </c>
      <c r="H50" s="132" t="s">
        <v>187</v>
      </c>
      <c r="I50" s="132"/>
      <c r="J50" s="132"/>
    </row>
    <row r="51" spans="2:12" x14ac:dyDescent="0.3">
      <c r="B51" s="132" t="s">
        <v>197</v>
      </c>
      <c r="C51" s="132"/>
      <c r="D51" s="132"/>
      <c r="E51" s="2">
        <v>2</v>
      </c>
      <c r="F51" s="2"/>
      <c r="G51" s="2">
        <v>0</v>
      </c>
      <c r="H51" s="132" t="s">
        <v>198</v>
      </c>
      <c r="I51" s="132"/>
      <c r="J51" s="132"/>
    </row>
    <row r="52" spans="2:12" x14ac:dyDescent="0.3">
      <c r="B52" s="132" t="s">
        <v>205</v>
      </c>
      <c r="C52" s="132"/>
      <c r="D52" s="132"/>
      <c r="E52" s="2">
        <v>0</v>
      </c>
      <c r="F52" s="2"/>
      <c r="G52" s="2">
        <v>1</v>
      </c>
      <c r="H52" s="132" t="s">
        <v>206</v>
      </c>
      <c r="I52" s="132"/>
      <c r="J52" s="132"/>
    </row>
    <row r="53" spans="2:12" x14ac:dyDescent="0.3">
      <c r="B53" s="132" t="s">
        <v>214</v>
      </c>
      <c r="C53" s="132"/>
      <c r="D53" s="132"/>
      <c r="E53" s="2">
        <v>0</v>
      </c>
      <c r="F53" s="2"/>
      <c r="G53" s="2">
        <v>3</v>
      </c>
      <c r="H53" s="132" t="s">
        <v>211</v>
      </c>
      <c r="I53" s="132"/>
      <c r="J53" s="132"/>
    </row>
    <row r="55" spans="2:12" x14ac:dyDescent="0.3">
      <c r="B55" s="132" t="s">
        <v>195</v>
      </c>
      <c r="C55" s="132"/>
      <c r="D55" s="132"/>
      <c r="E55" s="2">
        <v>2</v>
      </c>
      <c r="F55" s="2"/>
      <c r="G55" s="2">
        <v>0</v>
      </c>
      <c r="H55" s="132" t="s">
        <v>196</v>
      </c>
      <c r="I55" s="132"/>
      <c r="J55" s="132"/>
      <c r="L55" t="s">
        <v>278</v>
      </c>
    </row>
    <row r="56" spans="2:12" x14ac:dyDescent="0.3">
      <c r="B56" s="132" t="s">
        <v>202</v>
      </c>
      <c r="C56" s="132"/>
      <c r="D56" s="132"/>
      <c r="E56" s="2">
        <v>2</v>
      </c>
      <c r="F56" s="2"/>
      <c r="G56" s="2">
        <v>1</v>
      </c>
      <c r="H56" s="132" t="s">
        <v>200</v>
      </c>
      <c r="I56" s="132"/>
      <c r="J56" s="132"/>
    </row>
    <row r="57" spans="2:12" x14ac:dyDescent="0.3">
      <c r="B57" s="132" t="s">
        <v>208</v>
      </c>
      <c r="C57" s="132"/>
      <c r="D57" s="132"/>
      <c r="E57" s="2">
        <v>1</v>
      </c>
      <c r="F57" s="2"/>
      <c r="G57" s="2">
        <v>2</v>
      </c>
      <c r="H57" s="132" t="s">
        <v>209</v>
      </c>
      <c r="I57" s="132"/>
      <c r="J57" s="132"/>
    </row>
    <row r="58" spans="2:12" x14ac:dyDescent="0.3">
      <c r="B58" s="132" t="s">
        <v>213</v>
      </c>
      <c r="C58" s="132"/>
      <c r="D58" s="132"/>
      <c r="E58" s="2">
        <v>1</v>
      </c>
      <c r="F58" s="2"/>
      <c r="G58" s="2">
        <v>2</v>
      </c>
      <c r="H58" s="132" t="s">
        <v>214</v>
      </c>
      <c r="I58" s="132"/>
      <c r="J58" s="132"/>
    </row>
    <row r="60" spans="2:12" x14ac:dyDescent="0.3">
      <c r="B60" s="132" t="s">
        <v>190</v>
      </c>
      <c r="C60" s="132"/>
      <c r="D60" s="132"/>
      <c r="E60" s="2">
        <v>1</v>
      </c>
      <c r="F60" s="2"/>
      <c r="G60" s="2">
        <v>3</v>
      </c>
      <c r="H60" s="132" t="s">
        <v>188</v>
      </c>
      <c r="I60" s="132"/>
      <c r="J60" s="132"/>
      <c r="L60" t="s">
        <v>277</v>
      </c>
    </row>
    <row r="61" spans="2:12" x14ac:dyDescent="0.3">
      <c r="B61" s="132" t="s">
        <v>195</v>
      </c>
      <c r="C61" s="132"/>
      <c r="D61" s="132"/>
      <c r="E61" s="2">
        <v>2</v>
      </c>
      <c r="F61" s="2"/>
      <c r="G61" s="2">
        <v>0</v>
      </c>
      <c r="H61" s="132" t="s">
        <v>196</v>
      </c>
      <c r="I61" s="132"/>
      <c r="J61" s="132"/>
    </row>
    <row r="62" spans="2:12" x14ac:dyDescent="0.3">
      <c r="B62" s="132" t="s">
        <v>207</v>
      </c>
      <c r="C62" s="132"/>
      <c r="D62" s="132"/>
      <c r="E62" s="2">
        <v>2</v>
      </c>
      <c r="F62" s="2"/>
      <c r="G62" s="2">
        <v>0</v>
      </c>
      <c r="H62" s="132" t="s">
        <v>208</v>
      </c>
      <c r="I62" s="132"/>
      <c r="J62" s="132"/>
    </row>
    <row r="64" spans="2:12" x14ac:dyDescent="0.3">
      <c r="B64" s="132" t="s">
        <v>188</v>
      </c>
      <c r="C64" s="132"/>
      <c r="D64" s="132"/>
      <c r="E64" s="2">
        <v>1</v>
      </c>
      <c r="F64" s="2"/>
      <c r="G64" s="2">
        <v>0</v>
      </c>
      <c r="H64" s="132" t="s">
        <v>189</v>
      </c>
      <c r="I64" s="132"/>
      <c r="J64" s="132"/>
      <c r="L64" t="s">
        <v>276</v>
      </c>
    </row>
    <row r="65" spans="2:12" x14ac:dyDescent="0.3">
      <c r="B65" s="132" t="s">
        <v>194</v>
      </c>
      <c r="C65" s="132"/>
      <c r="D65" s="132"/>
      <c r="E65" s="2">
        <v>1</v>
      </c>
      <c r="F65" s="2"/>
      <c r="G65" s="2">
        <v>0</v>
      </c>
      <c r="H65" s="132" t="s">
        <v>191</v>
      </c>
      <c r="I65" s="132"/>
      <c r="J65" s="132"/>
    </row>
    <row r="66" spans="2:12" x14ac:dyDescent="0.3">
      <c r="B66" s="132" t="s">
        <v>196</v>
      </c>
      <c r="C66" s="132"/>
      <c r="D66" s="132"/>
      <c r="E66" s="2">
        <v>0</v>
      </c>
      <c r="F66" s="2"/>
      <c r="G66" s="2">
        <v>1</v>
      </c>
      <c r="H66" s="132" t="s">
        <v>198</v>
      </c>
      <c r="I66" s="132"/>
      <c r="J66" s="132"/>
    </row>
    <row r="67" spans="2:12" x14ac:dyDescent="0.3">
      <c r="B67" s="132" t="s">
        <v>203</v>
      </c>
      <c r="C67" s="132"/>
      <c r="D67" s="132"/>
      <c r="E67" s="2">
        <v>0</v>
      </c>
      <c r="F67" s="2"/>
      <c r="G67" s="2">
        <v>0</v>
      </c>
      <c r="H67" s="132" t="s">
        <v>218</v>
      </c>
      <c r="I67" s="132"/>
      <c r="J67" s="132"/>
    </row>
    <row r="68" spans="2:12" x14ac:dyDescent="0.3">
      <c r="B68" s="132" t="s">
        <v>204</v>
      </c>
      <c r="C68" s="132"/>
      <c r="D68" s="132"/>
      <c r="E68" s="2">
        <v>1</v>
      </c>
      <c r="F68" s="2"/>
      <c r="G68" s="2">
        <v>0</v>
      </c>
      <c r="H68" s="132" t="s">
        <v>205</v>
      </c>
      <c r="I68" s="132"/>
      <c r="J68" s="132"/>
    </row>
    <row r="69" spans="2:12" x14ac:dyDescent="0.3">
      <c r="B69" s="132" t="s">
        <v>214</v>
      </c>
      <c r="C69" s="132"/>
      <c r="D69" s="132"/>
      <c r="E69" s="2">
        <v>0</v>
      </c>
      <c r="F69" s="2"/>
      <c r="G69" s="2">
        <v>0</v>
      </c>
      <c r="H69" s="132" t="s">
        <v>212</v>
      </c>
      <c r="I69" s="132"/>
      <c r="J69" s="132"/>
    </row>
    <row r="70" spans="2:12" x14ac:dyDescent="0.3">
      <c r="B70" s="132" t="s">
        <v>185</v>
      </c>
      <c r="C70" s="132"/>
      <c r="D70" s="132"/>
      <c r="E70" s="2">
        <v>1</v>
      </c>
      <c r="F70" s="2"/>
      <c r="G70" s="2">
        <v>0</v>
      </c>
      <c r="H70" s="132" t="s">
        <v>189</v>
      </c>
      <c r="I70" s="132"/>
      <c r="J70" s="132"/>
    </row>
    <row r="72" spans="2:12" x14ac:dyDescent="0.3">
      <c r="B72" s="132" t="s">
        <v>185</v>
      </c>
      <c r="C72" s="132"/>
      <c r="D72" s="132"/>
      <c r="E72" s="2">
        <v>2</v>
      </c>
      <c r="F72" s="2"/>
      <c r="G72" s="2">
        <v>0</v>
      </c>
      <c r="H72" s="132" t="s">
        <v>183</v>
      </c>
      <c r="I72" s="132"/>
      <c r="J72" s="132"/>
      <c r="L72" t="s">
        <v>275</v>
      </c>
    </row>
    <row r="73" spans="2:12" x14ac:dyDescent="0.3">
      <c r="B73" s="132" t="s">
        <v>189</v>
      </c>
      <c r="C73" s="132"/>
      <c r="D73" s="132"/>
      <c r="E73" s="2">
        <v>2</v>
      </c>
      <c r="F73" s="2"/>
      <c r="G73" s="2">
        <v>1</v>
      </c>
      <c r="H73" s="132" t="s">
        <v>190</v>
      </c>
      <c r="I73" s="132"/>
      <c r="J73" s="132"/>
    </row>
    <row r="74" spans="2:12" x14ac:dyDescent="0.3">
      <c r="B74" s="132" t="s">
        <v>198</v>
      </c>
      <c r="C74" s="132"/>
      <c r="D74" s="132"/>
      <c r="E74" s="2">
        <v>0</v>
      </c>
      <c r="F74" s="2"/>
      <c r="G74" s="2">
        <v>3</v>
      </c>
      <c r="H74" s="132" t="s">
        <v>195</v>
      </c>
      <c r="I74" s="132"/>
      <c r="J74" s="132"/>
    </row>
    <row r="75" spans="2:12" x14ac:dyDescent="0.3">
      <c r="B75" s="132" t="s">
        <v>202</v>
      </c>
      <c r="C75" s="132"/>
      <c r="D75" s="132"/>
      <c r="E75" s="2">
        <v>2</v>
      </c>
      <c r="F75" s="2"/>
      <c r="G75" s="2">
        <v>0</v>
      </c>
      <c r="H75" s="132" t="s">
        <v>199</v>
      </c>
      <c r="I75" s="132"/>
      <c r="J75" s="132"/>
    </row>
    <row r="76" spans="2:12" x14ac:dyDescent="0.3">
      <c r="B76" s="132" t="s">
        <v>213</v>
      </c>
      <c r="C76" s="132"/>
      <c r="D76" s="132"/>
      <c r="E76" s="2">
        <v>1</v>
      </c>
      <c r="F76" s="2"/>
      <c r="G76" s="2">
        <v>2</v>
      </c>
      <c r="H76" s="132" t="s">
        <v>214</v>
      </c>
      <c r="I76" s="132"/>
      <c r="J76" s="132"/>
    </row>
    <row r="78" spans="2:12" x14ac:dyDescent="0.3">
      <c r="B78" s="132" t="s">
        <v>195</v>
      </c>
      <c r="C78" s="132"/>
      <c r="D78" s="132"/>
      <c r="E78" s="2">
        <v>2</v>
      </c>
      <c r="F78" s="2"/>
      <c r="G78" s="2">
        <v>0</v>
      </c>
      <c r="H78" s="132" t="s">
        <v>196</v>
      </c>
      <c r="I78" s="132"/>
      <c r="J78" s="132"/>
      <c r="L78" t="s">
        <v>274</v>
      </c>
    </row>
    <row r="79" spans="2:12" x14ac:dyDescent="0.3">
      <c r="B79" s="132" t="s">
        <v>202</v>
      </c>
      <c r="C79" s="132"/>
      <c r="D79" s="132"/>
      <c r="E79" s="2">
        <v>2</v>
      </c>
      <c r="F79" s="2"/>
      <c r="G79" s="2">
        <v>1</v>
      </c>
      <c r="H79" s="132" t="s">
        <v>200</v>
      </c>
      <c r="I79" s="132"/>
      <c r="J79" s="132"/>
    </row>
    <row r="80" spans="2:12" x14ac:dyDescent="0.3">
      <c r="B80" s="132" t="s">
        <v>207</v>
      </c>
      <c r="C80" s="132"/>
      <c r="D80" s="132"/>
      <c r="E80" s="2">
        <v>2</v>
      </c>
      <c r="F80" s="2"/>
      <c r="G80" s="2">
        <v>0</v>
      </c>
      <c r="H80" s="132" t="s">
        <v>208</v>
      </c>
      <c r="I80" s="132"/>
      <c r="J80" s="132"/>
    </row>
    <row r="82" spans="2:12" x14ac:dyDescent="0.3">
      <c r="B82" s="132" t="s">
        <v>185</v>
      </c>
      <c r="C82" s="132"/>
      <c r="D82" s="132"/>
      <c r="E82" s="2">
        <v>2</v>
      </c>
      <c r="F82" s="2"/>
      <c r="G82" s="2">
        <v>0</v>
      </c>
      <c r="H82" s="132" t="s">
        <v>183</v>
      </c>
      <c r="I82" s="132"/>
      <c r="J82" s="132"/>
      <c r="L82" t="s">
        <v>273</v>
      </c>
    </row>
    <row r="83" spans="2:12" x14ac:dyDescent="0.3">
      <c r="B83" s="132" t="s">
        <v>192</v>
      </c>
      <c r="C83" s="132"/>
      <c r="D83" s="132"/>
      <c r="E83" s="2">
        <v>1</v>
      </c>
      <c r="F83" s="2"/>
      <c r="G83" s="2">
        <v>1</v>
      </c>
      <c r="H83" s="132" t="s">
        <v>193</v>
      </c>
      <c r="I83" s="132"/>
      <c r="J83" s="132"/>
    </row>
    <row r="84" spans="2:12" x14ac:dyDescent="0.3">
      <c r="B84" s="132" t="s">
        <v>197</v>
      </c>
      <c r="C84" s="132"/>
      <c r="D84" s="132"/>
      <c r="E84" s="2">
        <v>2</v>
      </c>
      <c r="F84" s="2"/>
      <c r="G84" s="2">
        <v>0</v>
      </c>
      <c r="H84" s="132" t="s">
        <v>198</v>
      </c>
      <c r="I84" s="132"/>
      <c r="J84" s="132"/>
    </row>
    <row r="85" spans="2:12" x14ac:dyDescent="0.3">
      <c r="B85" s="132" t="s">
        <v>202</v>
      </c>
      <c r="C85" s="132"/>
      <c r="D85" s="132"/>
      <c r="E85" s="2">
        <v>2</v>
      </c>
      <c r="F85" s="2"/>
      <c r="G85" s="2">
        <v>1</v>
      </c>
      <c r="H85" s="132" t="s">
        <v>200</v>
      </c>
      <c r="I85" s="132"/>
      <c r="J85" s="132"/>
    </row>
    <row r="86" spans="2:12" x14ac:dyDescent="0.3">
      <c r="B86" s="132" t="s">
        <v>202</v>
      </c>
      <c r="C86" s="132"/>
      <c r="D86" s="132"/>
      <c r="E86" s="2">
        <v>2</v>
      </c>
      <c r="F86" s="2"/>
      <c r="G86" s="2">
        <v>0</v>
      </c>
      <c r="H86" s="132" t="s">
        <v>199</v>
      </c>
      <c r="I86" s="132"/>
      <c r="J86" s="132"/>
    </row>
    <row r="87" spans="2:12" x14ac:dyDescent="0.3">
      <c r="B87" s="132" t="s">
        <v>207</v>
      </c>
      <c r="C87" s="132"/>
      <c r="D87" s="132"/>
      <c r="E87" s="2">
        <v>2</v>
      </c>
      <c r="F87" s="2"/>
      <c r="G87" s="2">
        <v>0</v>
      </c>
      <c r="H87" s="132" t="s">
        <v>208</v>
      </c>
      <c r="I87" s="132"/>
      <c r="J87" s="132"/>
    </row>
    <row r="88" spans="2:12" x14ac:dyDescent="0.3">
      <c r="B88" s="132" t="s">
        <v>213</v>
      </c>
      <c r="C88" s="132"/>
      <c r="D88" s="132"/>
      <c r="E88" s="2">
        <v>1</v>
      </c>
      <c r="F88" s="2"/>
      <c r="G88" s="2">
        <v>2</v>
      </c>
      <c r="H88" s="132" t="s">
        <v>214</v>
      </c>
      <c r="I88" s="132"/>
      <c r="J88" s="132"/>
    </row>
    <row r="90" spans="2:12" x14ac:dyDescent="0.3">
      <c r="B90" s="132" t="s">
        <v>190</v>
      </c>
      <c r="C90" s="132"/>
      <c r="D90" s="132"/>
      <c r="E90" s="2">
        <v>1</v>
      </c>
      <c r="F90" s="2"/>
      <c r="G90" s="2">
        <v>3</v>
      </c>
      <c r="H90" s="132" t="s">
        <v>188</v>
      </c>
      <c r="I90" s="132"/>
      <c r="J90" s="132"/>
      <c r="L90" t="s">
        <v>272</v>
      </c>
    </row>
    <row r="91" spans="2:12" x14ac:dyDescent="0.3">
      <c r="B91" s="132" t="s">
        <v>191</v>
      </c>
      <c r="C91" s="132"/>
      <c r="D91" s="132"/>
      <c r="E91" s="2">
        <v>2</v>
      </c>
      <c r="F91" s="2"/>
      <c r="G91" s="2">
        <v>1</v>
      </c>
      <c r="H91" s="132" t="s">
        <v>193</v>
      </c>
      <c r="I91" s="132"/>
      <c r="J91" s="132"/>
    </row>
    <row r="92" spans="2:12" x14ac:dyDescent="0.3">
      <c r="B92" s="132" t="s">
        <v>194</v>
      </c>
      <c r="C92" s="132"/>
      <c r="D92" s="132"/>
      <c r="E92" s="2">
        <v>1</v>
      </c>
      <c r="F92" s="2"/>
      <c r="G92" s="2">
        <v>0</v>
      </c>
      <c r="H92" s="132" t="s">
        <v>191</v>
      </c>
      <c r="I92" s="132"/>
      <c r="J92" s="132"/>
    </row>
    <row r="93" spans="2:12" x14ac:dyDescent="0.3">
      <c r="B93" s="132" t="s">
        <v>195</v>
      </c>
      <c r="C93" s="132"/>
      <c r="D93" s="132"/>
      <c r="E93" s="2">
        <v>2</v>
      </c>
      <c r="F93" s="2"/>
      <c r="G93" s="2">
        <v>0</v>
      </c>
      <c r="H93" s="132" t="s">
        <v>196</v>
      </c>
      <c r="I93" s="132"/>
      <c r="J93" s="132"/>
    </row>
    <row r="94" spans="2:12" x14ac:dyDescent="0.3">
      <c r="B94" s="132" t="s">
        <v>199</v>
      </c>
      <c r="C94" s="132"/>
      <c r="D94" s="132"/>
      <c r="E94" s="2">
        <v>0</v>
      </c>
      <c r="F94" s="2"/>
      <c r="G94" s="2">
        <v>0</v>
      </c>
      <c r="H94" s="132" t="s">
        <v>201</v>
      </c>
      <c r="I94" s="132"/>
      <c r="J94" s="132"/>
    </row>
    <row r="95" spans="2:12" x14ac:dyDescent="0.3">
      <c r="B95" s="132" t="s">
        <v>207</v>
      </c>
      <c r="C95" s="132"/>
      <c r="D95" s="132"/>
      <c r="E95" s="2">
        <v>2</v>
      </c>
      <c r="F95" s="2"/>
      <c r="G95" s="2">
        <v>0</v>
      </c>
      <c r="H95" s="132" t="s">
        <v>208</v>
      </c>
      <c r="I95" s="132"/>
      <c r="J95" s="132"/>
    </row>
    <row r="96" spans="2:12" x14ac:dyDescent="0.3">
      <c r="B96" s="132" t="s">
        <v>214</v>
      </c>
      <c r="C96" s="132"/>
      <c r="D96" s="132"/>
      <c r="E96" s="2">
        <v>0</v>
      </c>
      <c r="F96" s="2"/>
      <c r="G96" s="2">
        <v>0</v>
      </c>
      <c r="H96" s="132" t="s">
        <v>212</v>
      </c>
      <c r="I96" s="132"/>
      <c r="J96" s="132"/>
    </row>
    <row r="97" spans="2:12" x14ac:dyDescent="0.3">
      <c r="B97" s="132" t="s">
        <v>214</v>
      </c>
      <c r="C97" s="132"/>
      <c r="D97" s="132"/>
      <c r="E97" s="2">
        <v>0</v>
      </c>
      <c r="F97" s="2"/>
      <c r="G97" s="2">
        <v>3</v>
      </c>
      <c r="H97" s="132" t="s">
        <v>211</v>
      </c>
      <c r="I97" s="132"/>
      <c r="J97" s="132"/>
    </row>
    <row r="99" spans="2:12" x14ac:dyDescent="0.3">
      <c r="B99" s="132" t="s">
        <v>190</v>
      </c>
      <c r="C99" s="132"/>
      <c r="D99" s="132"/>
      <c r="E99" s="2">
        <v>0</v>
      </c>
      <c r="F99" s="2"/>
      <c r="G99" s="2">
        <v>2</v>
      </c>
      <c r="H99" s="132" t="s">
        <v>187</v>
      </c>
      <c r="I99" s="132"/>
      <c r="J99" s="132"/>
      <c r="L99" t="s">
        <v>271</v>
      </c>
    </row>
    <row r="100" spans="2:12" x14ac:dyDescent="0.3">
      <c r="B100" s="132" t="s">
        <v>192</v>
      </c>
      <c r="C100" s="132"/>
      <c r="D100" s="132"/>
      <c r="E100" s="2">
        <v>1</v>
      </c>
      <c r="F100" s="2"/>
      <c r="G100" s="2">
        <v>1</v>
      </c>
      <c r="H100" s="132" t="s">
        <v>193</v>
      </c>
      <c r="I100" s="132"/>
      <c r="J100" s="132"/>
    </row>
    <row r="101" spans="2:12" x14ac:dyDescent="0.3">
      <c r="B101" s="132" t="s">
        <v>195</v>
      </c>
      <c r="C101" s="132"/>
      <c r="D101" s="132"/>
      <c r="E101" s="2">
        <v>2</v>
      </c>
      <c r="F101" s="2"/>
      <c r="G101" s="2">
        <v>0</v>
      </c>
      <c r="H101" s="132" t="s">
        <v>196</v>
      </c>
      <c r="I101" s="132"/>
      <c r="J101" s="132"/>
    </row>
    <row r="102" spans="2:12" x14ac:dyDescent="0.3">
      <c r="B102" s="132" t="s">
        <v>208</v>
      </c>
      <c r="C102" s="132"/>
      <c r="D102" s="132"/>
      <c r="E102" s="2">
        <v>1</v>
      </c>
      <c r="F102" s="2"/>
      <c r="G102" s="2">
        <v>2</v>
      </c>
      <c r="H102" s="132" t="s">
        <v>209</v>
      </c>
      <c r="I102" s="132"/>
      <c r="J102" s="132"/>
    </row>
    <row r="103" spans="2:12" x14ac:dyDescent="0.3">
      <c r="B103" s="132" t="s">
        <v>213</v>
      </c>
      <c r="C103" s="132"/>
      <c r="D103" s="132"/>
      <c r="E103" s="2">
        <v>1</v>
      </c>
      <c r="F103" s="2"/>
      <c r="G103" s="2">
        <v>2</v>
      </c>
      <c r="H103" s="132" t="s">
        <v>214</v>
      </c>
      <c r="I103" s="132"/>
      <c r="J103" s="132"/>
    </row>
    <row r="105" spans="2:12" x14ac:dyDescent="0.3">
      <c r="B105" s="132" t="s">
        <v>189</v>
      </c>
      <c r="C105" s="132"/>
      <c r="D105" s="132"/>
      <c r="E105" s="2">
        <v>2</v>
      </c>
      <c r="F105" s="2"/>
      <c r="G105" s="2">
        <v>1</v>
      </c>
      <c r="H105" s="132" t="s">
        <v>190</v>
      </c>
      <c r="I105" s="132"/>
      <c r="J105" s="132"/>
      <c r="L105" t="s">
        <v>270</v>
      </c>
    </row>
    <row r="106" spans="2:12" x14ac:dyDescent="0.3">
      <c r="B106" s="132" t="s">
        <v>207</v>
      </c>
      <c r="C106" s="132"/>
      <c r="D106" s="132"/>
      <c r="E106" s="2">
        <v>2</v>
      </c>
      <c r="F106" s="2"/>
      <c r="G106" s="2">
        <v>0</v>
      </c>
      <c r="H106" s="132" t="s">
        <v>208</v>
      </c>
      <c r="I106" s="132"/>
      <c r="J106" s="132"/>
    </row>
    <row r="108" spans="2:12" x14ac:dyDescent="0.3">
      <c r="B108" s="132" t="s">
        <v>189</v>
      </c>
      <c r="C108" s="132"/>
      <c r="D108" s="132"/>
      <c r="E108" s="2">
        <v>2</v>
      </c>
      <c r="F108" s="2"/>
      <c r="G108" s="2">
        <v>1</v>
      </c>
      <c r="H108" s="132" t="s">
        <v>190</v>
      </c>
      <c r="I108" s="132"/>
      <c r="J108" s="132"/>
      <c r="L108" t="s">
        <v>269</v>
      </c>
    </row>
    <row r="109" spans="2:12" x14ac:dyDescent="0.3">
      <c r="B109" s="132" t="s">
        <v>190</v>
      </c>
      <c r="C109" s="132"/>
      <c r="D109" s="132"/>
      <c r="E109" s="2">
        <v>0</v>
      </c>
      <c r="F109" s="2"/>
      <c r="G109" s="2">
        <v>2</v>
      </c>
      <c r="H109" s="132" t="s">
        <v>187</v>
      </c>
      <c r="I109" s="132"/>
      <c r="J109" s="132"/>
    </row>
    <row r="110" spans="2:12" x14ac:dyDescent="0.3">
      <c r="B110" s="132" t="s">
        <v>193</v>
      </c>
      <c r="C110" s="132"/>
      <c r="D110" s="132"/>
      <c r="E110" s="2">
        <v>2</v>
      </c>
      <c r="F110" s="2"/>
      <c r="G110" s="2">
        <v>2</v>
      </c>
      <c r="H110" s="132" t="s">
        <v>194</v>
      </c>
      <c r="I110" s="132"/>
      <c r="J110" s="132"/>
    </row>
    <row r="111" spans="2:12" x14ac:dyDescent="0.3">
      <c r="B111" s="132" t="s">
        <v>195</v>
      </c>
      <c r="C111" s="132"/>
      <c r="D111" s="132"/>
      <c r="E111" s="2">
        <v>2</v>
      </c>
      <c r="F111" s="2"/>
      <c r="G111" s="2">
        <v>0</v>
      </c>
      <c r="H111" s="132" t="s">
        <v>196</v>
      </c>
      <c r="I111" s="132"/>
      <c r="J111" s="132"/>
    </row>
    <row r="112" spans="2:12" x14ac:dyDescent="0.3">
      <c r="B112" s="132" t="s">
        <v>197</v>
      </c>
      <c r="C112" s="132"/>
      <c r="D112" s="132"/>
      <c r="E112" s="2">
        <v>2</v>
      </c>
      <c r="F112" s="2"/>
      <c r="G112" s="2">
        <v>0</v>
      </c>
      <c r="H112" s="132" t="s">
        <v>198</v>
      </c>
      <c r="I112" s="132"/>
      <c r="J112" s="132"/>
    </row>
    <row r="113" spans="2:12" x14ac:dyDescent="0.3">
      <c r="B113" s="132" t="s">
        <v>202</v>
      </c>
      <c r="C113" s="132"/>
      <c r="D113" s="132"/>
      <c r="E113" s="2">
        <v>2</v>
      </c>
      <c r="F113" s="2"/>
      <c r="G113" s="2">
        <v>1</v>
      </c>
      <c r="H113" s="132" t="s">
        <v>200</v>
      </c>
      <c r="I113" s="132"/>
      <c r="J113" s="132"/>
    </row>
    <row r="114" spans="2:12" x14ac:dyDescent="0.3">
      <c r="B114" s="132" t="s">
        <v>212</v>
      </c>
      <c r="C114" s="132"/>
      <c r="D114" s="132"/>
      <c r="E114" s="2">
        <v>2</v>
      </c>
      <c r="F114" s="2"/>
      <c r="G114" s="2">
        <v>0</v>
      </c>
      <c r="H114" s="132" t="s">
        <v>213</v>
      </c>
      <c r="I114" s="132"/>
      <c r="J114" s="132"/>
    </row>
    <row r="115" spans="2:12" x14ac:dyDescent="0.3">
      <c r="B115" s="132" t="s">
        <v>204</v>
      </c>
      <c r="C115" s="132"/>
      <c r="D115" s="132"/>
      <c r="E115" s="2">
        <v>2</v>
      </c>
      <c r="F115" s="2"/>
      <c r="G115" s="2">
        <v>1</v>
      </c>
      <c r="H115" s="132" t="s">
        <v>201</v>
      </c>
      <c r="I115" s="132"/>
      <c r="J115" s="132"/>
    </row>
    <row r="117" spans="2:12" x14ac:dyDescent="0.3">
      <c r="B117" s="132" t="s">
        <v>195</v>
      </c>
      <c r="C117" s="132"/>
      <c r="D117" s="132"/>
      <c r="E117" s="2">
        <v>2</v>
      </c>
      <c r="F117" s="2"/>
      <c r="G117" s="2">
        <v>0</v>
      </c>
      <c r="H117" s="132" t="s">
        <v>196</v>
      </c>
      <c r="I117" s="132"/>
      <c r="J117" s="132"/>
      <c r="L117" t="s">
        <v>268</v>
      </c>
    </row>
    <row r="118" spans="2:12" x14ac:dyDescent="0.3">
      <c r="B118" s="132" t="s">
        <v>204</v>
      </c>
      <c r="C118" s="132"/>
      <c r="D118" s="132"/>
      <c r="E118" s="2">
        <v>2</v>
      </c>
      <c r="F118" s="2"/>
      <c r="G118" s="2">
        <v>1</v>
      </c>
      <c r="H118" s="132" t="s">
        <v>201</v>
      </c>
      <c r="I118" s="132"/>
      <c r="J118" s="132"/>
    </row>
    <row r="120" spans="2:12" x14ac:dyDescent="0.3">
      <c r="B120" s="132" t="s">
        <v>184</v>
      </c>
      <c r="C120" s="132"/>
      <c r="D120" s="132"/>
      <c r="E120" s="2">
        <v>2</v>
      </c>
      <c r="F120" s="2"/>
      <c r="G120" s="2">
        <v>1</v>
      </c>
      <c r="H120" s="132" t="s">
        <v>186</v>
      </c>
      <c r="I120" s="132"/>
      <c r="J120" s="132"/>
      <c r="L120" t="s">
        <v>267</v>
      </c>
    </row>
    <row r="121" spans="2:12" x14ac:dyDescent="0.3">
      <c r="B121" s="132" t="s">
        <v>189</v>
      </c>
      <c r="C121" s="132"/>
      <c r="D121" s="132"/>
      <c r="E121" s="2">
        <v>2</v>
      </c>
      <c r="F121" s="2"/>
      <c r="G121" s="2">
        <v>1</v>
      </c>
      <c r="H121" s="132" t="s">
        <v>190</v>
      </c>
      <c r="I121" s="132"/>
      <c r="J121" s="132"/>
    </row>
    <row r="122" spans="2:12" x14ac:dyDescent="0.3">
      <c r="B122" s="132" t="s">
        <v>191</v>
      </c>
      <c r="C122" s="132"/>
      <c r="D122" s="132"/>
      <c r="E122" s="2">
        <v>2</v>
      </c>
      <c r="F122" s="2"/>
      <c r="G122" s="2">
        <v>1</v>
      </c>
      <c r="H122" s="132" t="s">
        <v>193</v>
      </c>
      <c r="I122" s="132"/>
      <c r="J122" s="132"/>
    </row>
    <row r="123" spans="2:12" x14ac:dyDescent="0.3">
      <c r="B123" s="132" t="s">
        <v>197</v>
      </c>
      <c r="C123" s="132"/>
      <c r="D123" s="132"/>
      <c r="E123" s="2">
        <v>2</v>
      </c>
      <c r="F123" s="2"/>
      <c r="G123" s="2">
        <v>0</v>
      </c>
      <c r="H123" s="132" t="s">
        <v>198</v>
      </c>
      <c r="I123" s="132"/>
      <c r="J123" s="132"/>
    </row>
  </sheetData>
  <mergeCells count="204">
    <mergeCell ref="B11:D11"/>
    <mergeCell ref="H11:J11"/>
    <mergeCell ref="B2:D2"/>
    <mergeCell ref="H2:J2"/>
    <mergeCell ref="B3:D3"/>
    <mergeCell ref="H3:J3"/>
    <mergeCell ref="B4:D4"/>
    <mergeCell ref="H4:J4"/>
    <mergeCell ref="B6:D6"/>
    <mergeCell ref="H6:J6"/>
    <mergeCell ref="B7:D7"/>
    <mergeCell ref="H7:J7"/>
    <mergeCell ref="B8:D8"/>
    <mergeCell ref="H8:J8"/>
    <mergeCell ref="B9:D9"/>
    <mergeCell ref="H9:J9"/>
    <mergeCell ref="B10:D10"/>
    <mergeCell ref="H10:J10"/>
    <mergeCell ref="B13:D13"/>
    <mergeCell ref="H13:J13"/>
    <mergeCell ref="B14:D14"/>
    <mergeCell ref="H14:J14"/>
    <mergeCell ref="B15:D15"/>
    <mergeCell ref="H15:J15"/>
    <mergeCell ref="B16:D16"/>
    <mergeCell ref="H16:J16"/>
    <mergeCell ref="B17:D17"/>
    <mergeCell ref="H17:J17"/>
    <mergeCell ref="B28:D28"/>
    <mergeCell ref="H28:J28"/>
    <mergeCell ref="B29:D29"/>
    <mergeCell ref="H29:J29"/>
    <mergeCell ref="B30:D30"/>
    <mergeCell ref="H30:J30"/>
    <mergeCell ref="B31:D31"/>
    <mergeCell ref="H31:J31"/>
    <mergeCell ref="B19:D19"/>
    <mergeCell ref="H19:J19"/>
    <mergeCell ref="B20:D20"/>
    <mergeCell ref="H20:J20"/>
    <mergeCell ref="B21:D21"/>
    <mergeCell ref="H21:J21"/>
    <mergeCell ref="B22:D22"/>
    <mergeCell ref="H22:J22"/>
    <mergeCell ref="B23:D23"/>
    <mergeCell ref="H23:J23"/>
    <mergeCell ref="B24:D24"/>
    <mergeCell ref="H24:J24"/>
    <mergeCell ref="B25:D25"/>
    <mergeCell ref="H25:J25"/>
    <mergeCell ref="B26:D26"/>
    <mergeCell ref="H26:J26"/>
    <mergeCell ref="B39:D39"/>
    <mergeCell ref="H39:J39"/>
    <mergeCell ref="B40:D40"/>
    <mergeCell ref="H40:J40"/>
    <mergeCell ref="B41:D41"/>
    <mergeCell ref="H41:J41"/>
    <mergeCell ref="B33:D33"/>
    <mergeCell ref="H33:J33"/>
    <mergeCell ref="B34:D34"/>
    <mergeCell ref="H34:J34"/>
    <mergeCell ref="B35:D35"/>
    <mergeCell ref="H35:J35"/>
    <mergeCell ref="B36:D36"/>
    <mergeCell ref="H36:J36"/>
    <mergeCell ref="B37:D37"/>
    <mergeCell ref="H37:J37"/>
    <mergeCell ref="B43:D43"/>
    <mergeCell ref="H43:J43"/>
    <mergeCell ref="B44:D44"/>
    <mergeCell ref="H44:J44"/>
    <mergeCell ref="B45:D45"/>
    <mergeCell ref="H45:J45"/>
    <mergeCell ref="B46:D46"/>
    <mergeCell ref="H46:J46"/>
    <mergeCell ref="B47:D47"/>
    <mergeCell ref="H47:J47"/>
    <mergeCell ref="B55:D55"/>
    <mergeCell ref="H55:J55"/>
    <mergeCell ref="B56:D56"/>
    <mergeCell ref="H56:J56"/>
    <mergeCell ref="B57:D57"/>
    <mergeCell ref="H57:J57"/>
    <mergeCell ref="B58:D58"/>
    <mergeCell ref="H58:J58"/>
    <mergeCell ref="B49:D49"/>
    <mergeCell ref="H49:J49"/>
    <mergeCell ref="B50:D50"/>
    <mergeCell ref="H50:J50"/>
    <mergeCell ref="B51:D51"/>
    <mergeCell ref="H51:J51"/>
    <mergeCell ref="B52:D52"/>
    <mergeCell ref="H52:J52"/>
    <mergeCell ref="B53:D53"/>
    <mergeCell ref="H53:J53"/>
    <mergeCell ref="B69:D69"/>
    <mergeCell ref="H69:J69"/>
    <mergeCell ref="B70:D70"/>
    <mergeCell ref="H70:J70"/>
    <mergeCell ref="B60:D60"/>
    <mergeCell ref="H60:J60"/>
    <mergeCell ref="B61:D61"/>
    <mergeCell ref="H61:J61"/>
    <mergeCell ref="B62:D62"/>
    <mergeCell ref="H62:J62"/>
    <mergeCell ref="B64:D64"/>
    <mergeCell ref="H64:J64"/>
    <mergeCell ref="B65:D65"/>
    <mergeCell ref="H65:J65"/>
    <mergeCell ref="B66:D66"/>
    <mergeCell ref="H66:J66"/>
    <mergeCell ref="B67:D67"/>
    <mergeCell ref="H67:J67"/>
    <mergeCell ref="B68:D68"/>
    <mergeCell ref="H68:J68"/>
    <mergeCell ref="B78:D78"/>
    <mergeCell ref="H78:J78"/>
    <mergeCell ref="B79:D79"/>
    <mergeCell ref="H79:J79"/>
    <mergeCell ref="B80:D80"/>
    <mergeCell ref="H80:J80"/>
    <mergeCell ref="B72:D72"/>
    <mergeCell ref="H72:J72"/>
    <mergeCell ref="B73:D73"/>
    <mergeCell ref="H73:J73"/>
    <mergeCell ref="B74:D74"/>
    <mergeCell ref="H74:J74"/>
    <mergeCell ref="B75:D75"/>
    <mergeCell ref="H75:J75"/>
    <mergeCell ref="B76:D76"/>
    <mergeCell ref="H76:J76"/>
    <mergeCell ref="B95:D95"/>
    <mergeCell ref="H95:J95"/>
    <mergeCell ref="B96:D96"/>
    <mergeCell ref="H96:J96"/>
    <mergeCell ref="B97:D97"/>
    <mergeCell ref="H97:J97"/>
    <mergeCell ref="B82:D82"/>
    <mergeCell ref="H82:J82"/>
    <mergeCell ref="B83:D83"/>
    <mergeCell ref="H83:J83"/>
    <mergeCell ref="B84:D84"/>
    <mergeCell ref="H84:J84"/>
    <mergeCell ref="B85:D85"/>
    <mergeCell ref="H85:J85"/>
    <mergeCell ref="B86:D86"/>
    <mergeCell ref="H86:J86"/>
    <mergeCell ref="B87:D87"/>
    <mergeCell ref="H87:J87"/>
    <mergeCell ref="B88:D88"/>
    <mergeCell ref="H88:J88"/>
    <mergeCell ref="B90:D90"/>
    <mergeCell ref="H90:J90"/>
    <mergeCell ref="B91:D91"/>
    <mergeCell ref="H91:J91"/>
    <mergeCell ref="B92:D92"/>
    <mergeCell ref="H92:J92"/>
    <mergeCell ref="B93:D93"/>
    <mergeCell ref="H93:J93"/>
    <mergeCell ref="B94:D94"/>
    <mergeCell ref="H94:J94"/>
    <mergeCell ref="B106:D106"/>
    <mergeCell ref="H106:J106"/>
    <mergeCell ref="B99:D99"/>
    <mergeCell ref="H99:J99"/>
    <mergeCell ref="B100:D100"/>
    <mergeCell ref="H100:J100"/>
    <mergeCell ref="B101:D101"/>
    <mergeCell ref="H101:J101"/>
    <mergeCell ref="B102:D102"/>
    <mergeCell ref="H102:J102"/>
    <mergeCell ref="B103:D103"/>
    <mergeCell ref="H103:J103"/>
    <mergeCell ref="B120:D120"/>
    <mergeCell ref="H120:J120"/>
    <mergeCell ref="B121:D121"/>
    <mergeCell ref="H121:J121"/>
    <mergeCell ref="B122:D122"/>
    <mergeCell ref="H122:J122"/>
    <mergeCell ref="B123:D123"/>
    <mergeCell ref="H123:J123"/>
    <mergeCell ref="B117:D117"/>
    <mergeCell ref="H117:J117"/>
    <mergeCell ref="B118:D118"/>
    <mergeCell ref="H118:J118"/>
    <mergeCell ref="B108:D108"/>
    <mergeCell ref="H108:J108"/>
    <mergeCell ref="B109:D109"/>
    <mergeCell ref="H109:J109"/>
    <mergeCell ref="B110:D110"/>
    <mergeCell ref="H110:J110"/>
    <mergeCell ref="B111:D111"/>
    <mergeCell ref="H111:J111"/>
    <mergeCell ref="B105:D105"/>
    <mergeCell ref="H105:J105"/>
    <mergeCell ref="B112:D112"/>
    <mergeCell ref="H112:J112"/>
    <mergeCell ref="B113:D113"/>
    <mergeCell ref="H113:J113"/>
    <mergeCell ref="B114:D114"/>
    <mergeCell ref="H114:J114"/>
    <mergeCell ref="B115:D115"/>
    <mergeCell ref="H115:J115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1886C-9488-4DA5-B21B-2AC7DDB4D841}">
  <sheetPr codeName="Planilha1"/>
  <dimension ref="A1:AL169"/>
  <sheetViews>
    <sheetView zoomScaleNormal="100" workbookViewId="0"/>
  </sheetViews>
  <sheetFormatPr defaultColWidth="10" defaultRowHeight="14.4" x14ac:dyDescent="0.3"/>
  <cols>
    <col min="1" max="1" width="12.6640625" style="1" customWidth="1"/>
    <col min="2" max="3" width="10" style="1" customWidth="1"/>
    <col min="4" max="4" width="10.33203125" style="1" customWidth="1"/>
    <col min="5" max="5" width="10.6640625" style="1" bestFit="1" customWidth="1"/>
    <col min="6" max="7" width="2" style="25" customWidth="1"/>
    <col min="8" max="8" width="1.5546875" style="25" customWidth="1"/>
    <col min="9" max="9" width="11" style="26" customWidth="1"/>
    <col min="10" max="12" width="4" style="23" customWidth="1"/>
    <col min="13" max="13" width="11" style="24" customWidth="1"/>
    <col min="14" max="14" width="1.5546875" style="25" customWidth="1"/>
    <col min="15" max="15" width="11" style="25" customWidth="1"/>
    <col min="16" max="18" width="4" style="25" customWidth="1"/>
    <col min="19" max="19" width="11" style="25" customWidth="1"/>
    <col min="20" max="20" width="1.5546875" style="25" customWidth="1"/>
    <col min="21" max="21" width="11" style="25" customWidth="1"/>
    <col min="22" max="24" width="4" style="25" customWidth="1"/>
    <col min="25" max="25" width="11" style="25" customWidth="1"/>
    <col min="26" max="26" width="1.5546875" style="25" customWidth="1"/>
    <col min="27" max="27" width="11" style="25" customWidth="1"/>
    <col min="28" max="30" width="4" style="25" customWidth="1"/>
    <col min="31" max="31" width="11" style="25" customWidth="1"/>
    <col min="32" max="32" width="1.5546875" style="25" customWidth="1"/>
    <col min="33" max="33" width="11" style="25" customWidth="1"/>
    <col min="34" max="36" width="4" style="25" customWidth="1"/>
    <col min="37" max="37" width="11" style="25" customWidth="1"/>
    <col min="38" max="38" width="10" style="25"/>
    <col min="39" max="16384" width="10" style="1"/>
  </cols>
  <sheetData>
    <row r="1" spans="1:37" ht="30.75" customHeight="1" x14ac:dyDescent="0.3">
      <c r="A1" s="31" t="s">
        <v>136</v>
      </c>
      <c r="B1" s="31" t="s">
        <v>137</v>
      </c>
      <c r="C1" s="31" t="s">
        <v>130</v>
      </c>
      <c r="D1" s="31" t="s">
        <v>131</v>
      </c>
      <c r="E1" s="31" t="s">
        <v>132</v>
      </c>
    </row>
    <row r="2" spans="1:37" x14ac:dyDescent="0.3">
      <c r="A2" s="32" t="s">
        <v>219</v>
      </c>
      <c r="B2" s="34" t="s">
        <v>187</v>
      </c>
      <c r="C2" s="37" t="s">
        <v>211</v>
      </c>
      <c r="D2" s="34" t="s">
        <v>84</v>
      </c>
      <c r="E2" s="34" t="s">
        <v>85</v>
      </c>
      <c r="I2" s="133" t="s">
        <v>172</v>
      </c>
      <c r="J2" s="133"/>
      <c r="K2" s="133"/>
      <c r="L2" s="133"/>
      <c r="M2" s="133"/>
      <c r="O2" s="133" t="s">
        <v>166</v>
      </c>
      <c r="P2" s="133"/>
      <c r="Q2" s="133"/>
      <c r="R2" s="133"/>
      <c r="S2" s="133"/>
      <c r="U2" s="133" t="s">
        <v>158</v>
      </c>
      <c r="V2" s="133"/>
      <c r="W2" s="133"/>
      <c r="X2" s="133"/>
      <c r="Y2" s="133"/>
      <c r="AA2" s="133" t="s">
        <v>150</v>
      </c>
      <c r="AB2" s="133"/>
      <c r="AC2" s="133"/>
      <c r="AD2" s="133"/>
      <c r="AE2" s="133"/>
      <c r="AG2" s="133" t="s">
        <v>140</v>
      </c>
      <c r="AH2" s="133"/>
      <c r="AI2" s="133"/>
      <c r="AJ2" s="133"/>
      <c r="AK2" s="133"/>
    </row>
    <row r="3" spans="1:37" x14ac:dyDescent="0.3">
      <c r="A3" s="33" t="s">
        <v>64</v>
      </c>
      <c r="B3" s="34" t="s">
        <v>8</v>
      </c>
      <c r="C3" s="34" t="s">
        <v>7</v>
      </c>
      <c r="D3" s="34" t="s">
        <v>83</v>
      </c>
      <c r="E3" s="37" t="s">
        <v>84</v>
      </c>
      <c r="I3" s="27" t="s">
        <v>9</v>
      </c>
      <c r="J3" s="28">
        <v>1</v>
      </c>
      <c r="K3" s="28" t="s">
        <v>33</v>
      </c>
      <c r="L3" s="28">
        <v>1</v>
      </c>
      <c r="M3" s="29" t="s">
        <v>15</v>
      </c>
      <c r="O3" s="27" t="s">
        <v>9</v>
      </c>
      <c r="P3" s="28">
        <v>0</v>
      </c>
      <c r="Q3" s="28" t="s">
        <v>33</v>
      </c>
      <c r="R3" s="28">
        <v>2</v>
      </c>
      <c r="S3" s="29" t="s">
        <v>15</v>
      </c>
      <c r="U3" s="27" t="s">
        <v>9</v>
      </c>
      <c r="V3" s="28">
        <v>1</v>
      </c>
      <c r="W3" s="28" t="s">
        <v>33</v>
      </c>
      <c r="X3" s="28">
        <v>1</v>
      </c>
      <c r="Y3" s="29" t="s">
        <v>15</v>
      </c>
      <c r="AA3" s="27" t="s">
        <v>9</v>
      </c>
      <c r="AB3" s="28">
        <v>1</v>
      </c>
      <c r="AC3" s="28" t="s">
        <v>33</v>
      </c>
      <c r="AD3" s="28">
        <v>3</v>
      </c>
      <c r="AE3" s="29" t="s">
        <v>15</v>
      </c>
      <c r="AG3" s="27" t="s">
        <v>9</v>
      </c>
      <c r="AH3" s="28">
        <v>2</v>
      </c>
      <c r="AI3" s="28" t="s">
        <v>33</v>
      </c>
      <c r="AJ3" s="28">
        <v>1</v>
      </c>
      <c r="AK3" s="29" t="s">
        <v>15</v>
      </c>
    </row>
    <row r="4" spans="1:37" x14ac:dyDescent="0.3">
      <c r="A4" s="33" t="s">
        <v>65</v>
      </c>
      <c r="B4" s="34" t="s">
        <v>13</v>
      </c>
      <c r="C4" s="34" t="s">
        <v>8</v>
      </c>
      <c r="D4" s="34" t="s">
        <v>93</v>
      </c>
      <c r="E4" s="34" t="s">
        <v>83</v>
      </c>
      <c r="I4" s="134" t="s">
        <v>173</v>
      </c>
      <c r="J4" s="134"/>
      <c r="K4" s="134"/>
      <c r="L4" s="134"/>
      <c r="M4" s="134"/>
      <c r="O4" s="135" t="s">
        <v>167</v>
      </c>
      <c r="P4" s="135"/>
      <c r="Q4" s="135"/>
      <c r="R4" s="135"/>
      <c r="S4" s="135"/>
      <c r="U4" s="134" t="s">
        <v>159</v>
      </c>
      <c r="V4" s="134"/>
      <c r="W4" s="134"/>
      <c r="X4" s="134"/>
      <c r="Y4" s="134"/>
      <c r="AA4" s="135" t="s">
        <v>151</v>
      </c>
      <c r="AB4" s="135"/>
      <c r="AC4" s="135"/>
      <c r="AD4" s="135"/>
      <c r="AE4" s="135"/>
      <c r="AG4" s="134" t="s">
        <v>141</v>
      </c>
      <c r="AH4" s="134"/>
      <c r="AI4" s="134"/>
      <c r="AJ4" s="134"/>
      <c r="AK4" s="134"/>
    </row>
    <row r="5" spans="1:37" x14ac:dyDescent="0.3">
      <c r="A5" s="32" t="s">
        <v>44</v>
      </c>
      <c r="B5" s="39" t="s">
        <v>11</v>
      </c>
      <c r="C5" s="34" t="s">
        <v>7</v>
      </c>
      <c r="D5" s="37" t="s">
        <v>84</v>
      </c>
      <c r="E5" s="39" t="s">
        <v>86</v>
      </c>
      <c r="I5" s="27" t="s">
        <v>5</v>
      </c>
      <c r="J5" s="28">
        <v>1</v>
      </c>
      <c r="K5" s="28" t="s">
        <v>33</v>
      </c>
      <c r="L5" s="28">
        <v>0</v>
      </c>
      <c r="M5" s="29" t="s">
        <v>11</v>
      </c>
      <c r="O5" s="27" t="s">
        <v>5</v>
      </c>
      <c r="P5" s="28">
        <v>2</v>
      </c>
      <c r="Q5" s="28" t="s">
        <v>33</v>
      </c>
      <c r="R5" s="28">
        <v>2</v>
      </c>
      <c r="S5" s="29" t="s">
        <v>11</v>
      </c>
      <c r="U5" s="27" t="s">
        <v>5</v>
      </c>
      <c r="V5" s="28">
        <v>2</v>
      </c>
      <c r="W5" s="28" t="s">
        <v>33</v>
      </c>
      <c r="X5" s="28">
        <v>1</v>
      </c>
      <c r="Y5" s="29" t="s">
        <v>11</v>
      </c>
      <c r="AA5" s="27" t="s">
        <v>5</v>
      </c>
      <c r="AB5" s="28">
        <v>1</v>
      </c>
      <c r="AC5" s="28" t="s">
        <v>33</v>
      </c>
      <c r="AD5" s="28">
        <v>2</v>
      </c>
      <c r="AE5" s="29" t="s">
        <v>11</v>
      </c>
      <c r="AG5" s="27" t="s">
        <v>5</v>
      </c>
      <c r="AH5" s="28">
        <v>3</v>
      </c>
      <c r="AI5" s="28" t="s">
        <v>33</v>
      </c>
      <c r="AJ5" s="28">
        <v>2</v>
      </c>
      <c r="AK5" s="29" t="s">
        <v>11</v>
      </c>
    </row>
    <row r="6" spans="1:37" x14ac:dyDescent="0.3">
      <c r="A6" s="38" t="s">
        <v>47</v>
      </c>
      <c r="B6" s="34" t="s">
        <v>8</v>
      </c>
      <c r="C6" s="37" t="s">
        <v>5</v>
      </c>
      <c r="D6" s="37" t="s">
        <v>84</v>
      </c>
      <c r="E6" s="39" t="s">
        <v>92</v>
      </c>
      <c r="O6" s="26"/>
      <c r="P6" s="23"/>
      <c r="Q6" s="23"/>
      <c r="R6" s="23"/>
      <c r="S6" s="24"/>
      <c r="U6" s="26"/>
      <c r="V6" s="23"/>
      <c r="W6" s="23"/>
      <c r="X6" s="23"/>
      <c r="Y6" s="24"/>
      <c r="AA6" s="26"/>
      <c r="AB6" s="23"/>
      <c r="AC6" s="23"/>
      <c r="AD6" s="23"/>
      <c r="AE6" s="24"/>
      <c r="AG6" s="26"/>
      <c r="AH6" s="23"/>
      <c r="AI6" s="23"/>
      <c r="AJ6" s="23"/>
      <c r="AK6" s="24"/>
    </row>
    <row r="7" spans="1:37" x14ac:dyDescent="0.3">
      <c r="A7" s="32" t="s">
        <v>46</v>
      </c>
      <c r="B7" s="34" t="s">
        <v>8</v>
      </c>
      <c r="C7" s="37" t="s">
        <v>5</v>
      </c>
      <c r="D7" s="34" t="s">
        <v>83</v>
      </c>
      <c r="E7" s="39" t="s">
        <v>84</v>
      </c>
      <c r="I7" s="133" t="s">
        <v>170</v>
      </c>
      <c r="J7" s="133"/>
      <c r="K7" s="133"/>
      <c r="L7" s="133"/>
      <c r="M7" s="133"/>
      <c r="O7" s="133" t="s">
        <v>164</v>
      </c>
      <c r="P7" s="133"/>
      <c r="Q7" s="133"/>
      <c r="R7" s="133"/>
      <c r="S7" s="133"/>
      <c r="U7" s="133" t="s">
        <v>156</v>
      </c>
      <c r="V7" s="133"/>
      <c r="W7" s="133"/>
      <c r="X7" s="133"/>
      <c r="Y7" s="133"/>
      <c r="AA7" s="133" t="s">
        <v>148</v>
      </c>
      <c r="AB7" s="133"/>
      <c r="AC7" s="133"/>
      <c r="AD7" s="133"/>
      <c r="AE7" s="133"/>
      <c r="AG7" s="133" t="s">
        <v>138</v>
      </c>
      <c r="AH7" s="133"/>
      <c r="AI7" s="133"/>
      <c r="AJ7" s="133"/>
      <c r="AK7" s="133"/>
    </row>
    <row r="8" spans="1:37" x14ac:dyDescent="0.3">
      <c r="A8" s="33" t="s">
        <v>48</v>
      </c>
      <c r="B8" s="34" t="s">
        <v>8</v>
      </c>
      <c r="C8" s="39" t="s">
        <v>11</v>
      </c>
      <c r="D8" s="34" t="s">
        <v>93</v>
      </c>
      <c r="E8" s="39" t="s">
        <v>94</v>
      </c>
      <c r="I8" s="27" t="s">
        <v>9</v>
      </c>
      <c r="J8" s="28">
        <v>1</v>
      </c>
      <c r="K8" s="28" t="s">
        <v>33</v>
      </c>
      <c r="L8" s="28">
        <v>0</v>
      </c>
      <c r="M8" s="29" t="s">
        <v>15</v>
      </c>
      <c r="O8" s="27" t="s">
        <v>9</v>
      </c>
      <c r="P8" s="28">
        <v>2</v>
      </c>
      <c r="Q8" s="28" t="s">
        <v>33</v>
      </c>
      <c r="R8" s="28">
        <v>1</v>
      </c>
      <c r="S8" s="29" t="s">
        <v>15</v>
      </c>
      <c r="U8" s="27" t="s">
        <v>9</v>
      </c>
      <c r="V8" s="28">
        <v>1</v>
      </c>
      <c r="W8" s="28" t="s">
        <v>33</v>
      </c>
      <c r="X8" s="28">
        <v>0</v>
      </c>
      <c r="Y8" s="29" t="s">
        <v>15</v>
      </c>
      <c r="AA8" s="27" t="s">
        <v>9</v>
      </c>
      <c r="AB8" s="28">
        <v>0</v>
      </c>
      <c r="AC8" s="28" t="s">
        <v>33</v>
      </c>
      <c r="AD8" s="28">
        <v>1</v>
      </c>
      <c r="AE8" s="29" t="s">
        <v>15</v>
      </c>
      <c r="AG8" s="27" t="s">
        <v>9</v>
      </c>
      <c r="AH8" s="28">
        <v>1</v>
      </c>
      <c r="AI8" s="28" t="s">
        <v>33</v>
      </c>
      <c r="AJ8" s="28">
        <v>2</v>
      </c>
      <c r="AK8" s="29" t="s">
        <v>15</v>
      </c>
    </row>
    <row r="9" spans="1:37" x14ac:dyDescent="0.3">
      <c r="A9" s="33" t="s">
        <v>49</v>
      </c>
      <c r="B9" s="34" t="s">
        <v>8</v>
      </c>
      <c r="C9" s="34" t="s">
        <v>10</v>
      </c>
      <c r="D9" s="34" t="s">
        <v>94</v>
      </c>
      <c r="E9" s="34" t="s">
        <v>93</v>
      </c>
      <c r="I9" s="135" t="s">
        <v>171</v>
      </c>
      <c r="J9" s="135"/>
      <c r="K9" s="135"/>
      <c r="L9" s="135"/>
      <c r="M9" s="135"/>
      <c r="O9" s="134" t="s">
        <v>165</v>
      </c>
      <c r="P9" s="134"/>
      <c r="Q9" s="134"/>
      <c r="R9" s="134"/>
      <c r="S9" s="134"/>
      <c r="U9" s="135" t="s">
        <v>157</v>
      </c>
      <c r="V9" s="135"/>
      <c r="W9" s="135"/>
      <c r="X9" s="135"/>
      <c r="Y9" s="135"/>
      <c r="AA9" s="134" t="s">
        <v>149</v>
      </c>
      <c r="AB9" s="134"/>
      <c r="AC9" s="134"/>
      <c r="AD9" s="134"/>
      <c r="AE9" s="134"/>
      <c r="AG9" s="135" t="s">
        <v>139</v>
      </c>
      <c r="AH9" s="135"/>
      <c r="AI9" s="135"/>
      <c r="AJ9" s="135"/>
      <c r="AK9" s="135"/>
    </row>
    <row r="10" spans="1:37" x14ac:dyDescent="0.3">
      <c r="A10" s="32" t="s">
        <v>50</v>
      </c>
      <c r="B10" s="34" t="s">
        <v>8</v>
      </c>
      <c r="C10" s="37" t="s">
        <v>5</v>
      </c>
      <c r="D10" s="39" t="s">
        <v>86</v>
      </c>
      <c r="E10" s="34" t="s">
        <v>92</v>
      </c>
      <c r="I10" s="27" t="s">
        <v>5</v>
      </c>
      <c r="J10" s="28">
        <v>2</v>
      </c>
      <c r="K10" s="28" t="s">
        <v>33</v>
      </c>
      <c r="L10" s="28">
        <v>2</v>
      </c>
      <c r="M10" s="29" t="s">
        <v>11</v>
      </c>
      <c r="O10" s="27" t="s">
        <v>5</v>
      </c>
      <c r="P10" s="28">
        <v>3</v>
      </c>
      <c r="Q10" s="28" t="s">
        <v>33</v>
      </c>
      <c r="R10" s="28">
        <v>1</v>
      </c>
      <c r="S10" s="29" t="s">
        <v>11</v>
      </c>
      <c r="U10" s="27" t="s">
        <v>5</v>
      </c>
      <c r="V10" s="28">
        <v>1</v>
      </c>
      <c r="W10" s="28" t="s">
        <v>33</v>
      </c>
      <c r="X10" s="28">
        <v>1</v>
      </c>
      <c r="Y10" s="29" t="s">
        <v>11</v>
      </c>
      <c r="AA10" s="27" t="s">
        <v>5</v>
      </c>
      <c r="AB10" s="28">
        <v>2</v>
      </c>
      <c r="AC10" s="28" t="s">
        <v>33</v>
      </c>
      <c r="AD10" s="28">
        <v>1</v>
      </c>
      <c r="AE10" s="29" t="s">
        <v>11</v>
      </c>
      <c r="AG10" s="27" t="s">
        <v>5</v>
      </c>
      <c r="AH10" s="28">
        <v>2</v>
      </c>
      <c r="AI10" s="28" t="s">
        <v>33</v>
      </c>
      <c r="AJ10" s="28">
        <v>1</v>
      </c>
      <c r="AK10" s="29" t="s">
        <v>11</v>
      </c>
    </row>
    <row r="11" spans="1:37" x14ac:dyDescent="0.3">
      <c r="A11" s="32" t="s">
        <v>51</v>
      </c>
      <c r="B11" s="34" t="s">
        <v>8</v>
      </c>
      <c r="C11" s="37" t="s">
        <v>5</v>
      </c>
      <c r="D11" s="34" t="s">
        <v>90</v>
      </c>
      <c r="E11" s="39" t="s">
        <v>86</v>
      </c>
      <c r="O11" s="26"/>
      <c r="P11" s="23"/>
      <c r="Q11" s="23"/>
      <c r="R11" s="23"/>
      <c r="S11" s="24"/>
      <c r="U11" s="26"/>
      <c r="V11" s="23"/>
      <c r="W11" s="23"/>
      <c r="X11" s="23"/>
      <c r="Y11" s="24"/>
      <c r="AA11" s="26"/>
      <c r="AB11" s="23"/>
      <c r="AC11" s="23"/>
      <c r="AD11" s="23"/>
      <c r="AE11" s="24"/>
    </row>
    <row r="12" spans="1:37" x14ac:dyDescent="0.3">
      <c r="A12" s="33" t="s">
        <v>52</v>
      </c>
      <c r="B12" s="34" t="s">
        <v>8</v>
      </c>
      <c r="C12" s="36" t="s">
        <v>11</v>
      </c>
      <c r="D12" s="34" t="s">
        <v>83</v>
      </c>
      <c r="E12" s="39" t="s">
        <v>86</v>
      </c>
      <c r="I12" s="133" t="s">
        <v>168</v>
      </c>
      <c r="J12" s="133"/>
      <c r="K12" s="133"/>
      <c r="L12" s="133"/>
      <c r="M12" s="133"/>
      <c r="O12" s="133" t="s">
        <v>162</v>
      </c>
      <c r="P12" s="133"/>
      <c r="Q12" s="133"/>
      <c r="R12" s="133"/>
      <c r="S12" s="133"/>
      <c r="U12" s="133" t="s">
        <v>154</v>
      </c>
      <c r="V12" s="133"/>
      <c r="W12" s="133"/>
      <c r="X12" s="133"/>
      <c r="Y12" s="133"/>
      <c r="AA12" s="133" t="s">
        <v>146</v>
      </c>
      <c r="AB12" s="133"/>
      <c r="AC12" s="133"/>
      <c r="AD12" s="133"/>
      <c r="AE12" s="133"/>
      <c r="AG12" s="133" t="s">
        <v>175</v>
      </c>
      <c r="AH12" s="133"/>
      <c r="AI12" s="133"/>
      <c r="AJ12" s="133"/>
      <c r="AK12" s="133"/>
    </row>
    <row r="13" spans="1:37" x14ac:dyDescent="0.3">
      <c r="A13" s="32" t="s">
        <v>53</v>
      </c>
      <c r="B13" s="34" t="s">
        <v>8</v>
      </c>
      <c r="C13" s="34" t="s">
        <v>4</v>
      </c>
      <c r="D13" s="37" t="s">
        <v>84</v>
      </c>
      <c r="E13" s="39" t="s">
        <v>89</v>
      </c>
      <c r="I13" s="27" t="s">
        <v>9</v>
      </c>
      <c r="J13" s="28">
        <v>2</v>
      </c>
      <c r="K13" s="28" t="s">
        <v>33</v>
      </c>
      <c r="L13" s="28">
        <v>1</v>
      </c>
      <c r="M13" s="29" t="s">
        <v>15</v>
      </c>
      <c r="O13" s="27" t="s">
        <v>9</v>
      </c>
      <c r="P13" s="28">
        <v>1</v>
      </c>
      <c r="Q13" s="28" t="s">
        <v>33</v>
      </c>
      <c r="R13" s="28">
        <v>1</v>
      </c>
      <c r="S13" s="29" t="s">
        <v>15</v>
      </c>
      <c r="U13" s="27" t="s">
        <v>9</v>
      </c>
      <c r="V13" s="28">
        <v>0</v>
      </c>
      <c r="W13" s="28" t="s">
        <v>33</v>
      </c>
      <c r="X13" s="28">
        <v>2</v>
      </c>
      <c r="Y13" s="29" t="s">
        <v>15</v>
      </c>
      <c r="AA13" s="27" t="s">
        <v>9</v>
      </c>
      <c r="AB13" s="28">
        <v>0</v>
      </c>
      <c r="AC13" s="28" t="s">
        <v>33</v>
      </c>
      <c r="AD13" s="28">
        <v>1</v>
      </c>
      <c r="AE13" s="29" t="s">
        <v>15</v>
      </c>
      <c r="AG13" s="30" t="s">
        <v>9</v>
      </c>
      <c r="AH13" s="28" t="s">
        <v>174</v>
      </c>
      <c r="AI13" s="28" t="s">
        <v>33</v>
      </c>
      <c r="AJ13" s="28" t="s">
        <v>174</v>
      </c>
      <c r="AK13" s="30" t="s">
        <v>15</v>
      </c>
    </row>
    <row r="14" spans="1:37" x14ac:dyDescent="0.3">
      <c r="A14" s="32" t="s">
        <v>54</v>
      </c>
      <c r="B14" s="34" t="s">
        <v>8</v>
      </c>
      <c r="C14" s="37" t="s">
        <v>5</v>
      </c>
      <c r="D14" s="34" t="s">
        <v>83</v>
      </c>
      <c r="E14" s="39" t="s">
        <v>87</v>
      </c>
      <c r="I14" s="134" t="s">
        <v>169</v>
      </c>
      <c r="J14" s="134"/>
      <c r="K14" s="134"/>
      <c r="L14" s="134"/>
      <c r="M14" s="134"/>
      <c r="O14" s="135" t="s">
        <v>163</v>
      </c>
      <c r="P14" s="135"/>
      <c r="Q14" s="135"/>
      <c r="R14" s="135"/>
      <c r="S14" s="135"/>
      <c r="U14" s="134" t="s">
        <v>155</v>
      </c>
      <c r="V14" s="134"/>
      <c r="W14" s="134"/>
      <c r="X14" s="134"/>
      <c r="Y14" s="134"/>
      <c r="AA14" s="135" t="s">
        <v>147</v>
      </c>
      <c r="AB14" s="135"/>
      <c r="AC14" s="135"/>
      <c r="AD14" s="135"/>
      <c r="AE14" s="135"/>
      <c r="AG14" s="134" t="s">
        <v>176</v>
      </c>
      <c r="AH14" s="134"/>
      <c r="AI14" s="134"/>
      <c r="AJ14" s="134"/>
      <c r="AK14" s="134"/>
    </row>
    <row r="15" spans="1:37" x14ac:dyDescent="0.3">
      <c r="A15" s="33" t="s">
        <v>55</v>
      </c>
      <c r="B15" s="34" t="s">
        <v>8</v>
      </c>
      <c r="C15" s="34" t="s">
        <v>12</v>
      </c>
      <c r="D15" s="34" t="s">
        <v>83</v>
      </c>
      <c r="E15" s="39" t="s">
        <v>86</v>
      </c>
      <c r="I15" s="27" t="s">
        <v>5</v>
      </c>
      <c r="J15" s="28">
        <v>1</v>
      </c>
      <c r="K15" s="28" t="s">
        <v>33</v>
      </c>
      <c r="L15" s="28">
        <v>2</v>
      </c>
      <c r="M15" s="29" t="s">
        <v>11</v>
      </c>
      <c r="O15" s="27" t="s">
        <v>5</v>
      </c>
      <c r="P15" s="28">
        <v>1</v>
      </c>
      <c r="Q15" s="28" t="s">
        <v>33</v>
      </c>
      <c r="R15" s="28">
        <v>1</v>
      </c>
      <c r="S15" s="29" t="s">
        <v>11</v>
      </c>
      <c r="U15" s="27" t="s">
        <v>5</v>
      </c>
      <c r="V15" s="28">
        <v>3</v>
      </c>
      <c r="W15" s="28" t="s">
        <v>33</v>
      </c>
      <c r="X15" s="28">
        <v>2</v>
      </c>
      <c r="Y15" s="29" t="s">
        <v>11</v>
      </c>
      <c r="AA15" s="27" t="s">
        <v>5</v>
      </c>
      <c r="AB15" s="28">
        <v>1</v>
      </c>
      <c r="AC15" s="28" t="s">
        <v>33</v>
      </c>
      <c r="AD15" s="28">
        <v>2</v>
      </c>
      <c r="AE15" s="29" t="s">
        <v>11</v>
      </c>
      <c r="AG15" s="30" t="s">
        <v>5</v>
      </c>
      <c r="AH15" s="28">
        <v>1</v>
      </c>
      <c r="AI15" s="28" t="s">
        <v>33</v>
      </c>
      <c r="AJ15" s="28">
        <v>2</v>
      </c>
      <c r="AK15" s="30" t="s">
        <v>11</v>
      </c>
    </row>
    <row r="16" spans="1:37" x14ac:dyDescent="0.3">
      <c r="A16" s="32" t="s">
        <v>56</v>
      </c>
      <c r="B16" s="34" t="s">
        <v>8</v>
      </c>
      <c r="C16" s="37" t="s">
        <v>5</v>
      </c>
      <c r="D16" s="34" t="s">
        <v>83</v>
      </c>
      <c r="E16" s="39" t="s">
        <v>87</v>
      </c>
      <c r="O16" s="26"/>
      <c r="P16" s="23"/>
      <c r="Q16" s="23"/>
      <c r="R16" s="23"/>
      <c r="S16" s="24"/>
      <c r="U16" s="26"/>
      <c r="V16" s="23"/>
      <c r="W16" s="23"/>
      <c r="X16" s="23"/>
      <c r="Y16" s="24"/>
      <c r="AA16" s="26"/>
      <c r="AB16" s="23"/>
      <c r="AC16" s="23"/>
      <c r="AD16" s="23"/>
      <c r="AE16" s="24"/>
    </row>
    <row r="17" spans="1:37" x14ac:dyDescent="0.3">
      <c r="A17" s="33" t="s">
        <v>57</v>
      </c>
      <c r="B17" s="34" t="s">
        <v>10</v>
      </c>
      <c r="C17" s="34" t="s">
        <v>6</v>
      </c>
      <c r="D17" s="34" t="s">
        <v>83</v>
      </c>
      <c r="E17" s="39" t="s">
        <v>88</v>
      </c>
      <c r="I17" s="133" t="s">
        <v>160</v>
      </c>
      <c r="J17" s="133"/>
      <c r="K17" s="133"/>
      <c r="L17" s="133"/>
      <c r="M17" s="133"/>
      <c r="O17" s="133" t="s">
        <v>152</v>
      </c>
      <c r="P17" s="133"/>
      <c r="Q17" s="133"/>
      <c r="R17" s="133"/>
      <c r="S17" s="133"/>
      <c r="U17" s="133" t="s">
        <v>144</v>
      </c>
      <c r="V17" s="133"/>
      <c r="W17" s="133"/>
      <c r="X17" s="133"/>
      <c r="Y17" s="133"/>
      <c r="AA17" s="133" t="s">
        <v>142</v>
      </c>
      <c r="AB17" s="133"/>
      <c r="AC17" s="133"/>
      <c r="AD17" s="133"/>
      <c r="AE17" s="133"/>
      <c r="AG17" s="133" t="s">
        <v>177</v>
      </c>
      <c r="AH17" s="133"/>
      <c r="AI17" s="133"/>
      <c r="AJ17" s="133"/>
      <c r="AK17" s="133"/>
    </row>
    <row r="18" spans="1:37" x14ac:dyDescent="0.3">
      <c r="A18" s="33" t="s">
        <v>58</v>
      </c>
      <c r="B18" s="34" t="s">
        <v>8</v>
      </c>
      <c r="C18" s="34" t="s">
        <v>12</v>
      </c>
      <c r="D18" s="34" t="s">
        <v>89</v>
      </c>
      <c r="E18" s="39" t="s">
        <v>86</v>
      </c>
      <c r="I18" s="27" t="s">
        <v>9</v>
      </c>
      <c r="J18" s="28">
        <v>2</v>
      </c>
      <c r="K18" s="28" t="s">
        <v>33</v>
      </c>
      <c r="L18" s="28">
        <v>1</v>
      </c>
      <c r="M18" s="29" t="s">
        <v>15</v>
      </c>
      <c r="O18" s="27" t="s">
        <v>9</v>
      </c>
      <c r="P18" s="28">
        <v>0</v>
      </c>
      <c r="Q18" s="28" t="s">
        <v>33</v>
      </c>
      <c r="R18" s="28">
        <v>1</v>
      </c>
      <c r="S18" s="29" t="s">
        <v>15</v>
      </c>
      <c r="U18" s="27" t="s">
        <v>9</v>
      </c>
      <c r="V18" s="28">
        <v>1</v>
      </c>
      <c r="W18" s="28" t="s">
        <v>33</v>
      </c>
      <c r="X18" s="28">
        <v>2</v>
      </c>
      <c r="Y18" s="29" t="s">
        <v>15</v>
      </c>
      <c r="AA18" s="27" t="s">
        <v>9</v>
      </c>
      <c r="AB18" s="28">
        <v>1</v>
      </c>
      <c r="AC18" s="28" t="s">
        <v>33</v>
      </c>
      <c r="AD18" s="28">
        <v>1</v>
      </c>
      <c r="AE18" s="29" t="s">
        <v>15</v>
      </c>
      <c r="AG18" s="30" t="s">
        <v>9</v>
      </c>
      <c r="AH18" s="28" t="s">
        <v>174</v>
      </c>
      <c r="AI18" s="28" t="s">
        <v>33</v>
      </c>
      <c r="AJ18" s="28" t="s">
        <v>174</v>
      </c>
      <c r="AK18" s="30" t="s">
        <v>15</v>
      </c>
    </row>
    <row r="19" spans="1:37" x14ac:dyDescent="0.3">
      <c r="A19" s="33" t="s">
        <v>59</v>
      </c>
      <c r="B19" s="34" t="s">
        <v>8</v>
      </c>
      <c r="C19" s="34" t="s">
        <v>34</v>
      </c>
      <c r="D19" s="34" t="s">
        <v>83</v>
      </c>
      <c r="E19" s="39" t="s">
        <v>91</v>
      </c>
      <c r="I19" s="135" t="s">
        <v>161</v>
      </c>
      <c r="J19" s="135"/>
      <c r="K19" s="135"/>
      <c r="L19" s="135"/>
      <c r="M19" s="135"/>
      <c r="O19" s="134" t="s">
        <v>153</v>
      </c>
      <c r="P19" s="134"/>
      <c r="Q19" s="134"/>
      <c r="R19" s="134"/>
      <c r="S19" s="134"/>
      <c r="U19" s="135" t="s">
        <v>145</v>
      </c>
      <c r="V19" s="135"/>
      <c r="W19" s="135"/>
      <c r="X19" s="135"/>
      <c r="Y19" s="135"/>
      <c r="AA19" s="134" t="s">
        <v>143</v>
      </c>
      <c r="AB19" s="134"/>
      <c r="AC19" s="134"/>
      <c r="AD19" s="134"/>
      <c r="AE19" s="134"/>
      <c r="AG19" s="135" t="s">
        <v>178</v>
      </c>
      <c r="AH19" s="135"/>
      <c r="AI19" s="135"/>
      <c r="AJ19" s="135"/>
      <c r="AK19" s="135"/>
    </row>
    <row r="20" spans="1:37" x14ac:dyDescent="0.3">
      <c r="A20" s="32" t="s">
        <v>66</v>
      </c>
      <c r="B20" s="34" t="s">
        <v>8</v>
      </c>
      <c r="C20" s="34" t="s">
        <v>12</v>
      </c>
      <c r="D20" s="34" t="s">
        <v>83</v>
      </c>
      <c r="E20" s="37" t="s">
        <v>86</v>
      </c>
      <c r="I20" s="27" t="s">
        <v>5</v>
      </c>
      <c r="J20" s="28">
        <v>1</v>
      </c>
      <c r="K20" s="28" t="s">
        <v>33</v>
      </c>
      <c r="L20" s="28">
        <v>0</v>
      </c>
      <c r="M20" s="29" t="s">
        <v>11</v>
      </c>
      <c r="O20" s="27" t="s">
        <v>5</v>
      </c>
      <c r="P20" s="28">
        <v>1</v>
      </c>
      <c r="Q20" s="28" t="s">
        <v>33</v>
      </c>
      <c r="R20" s="28">
        <v>2</v>
      </c>
      <c r="S20" s="29" t="s">
        <v>11</v>
      </c>
      <c r="U20" s="27" t="s">
        <v>5</v>
      </c>
      <c r="V20" s="28">
        <v>1</v>
      </c>
      <c r="W20" s="28" t="s">
        <v>33</v>
      </c>
      <c r="X20" s="28">
        <v>3</v>
      </c>
      <c r="Y20" s="29" t="s">
        <v>11</v>
      </c>
      <c r="AA20" s="27" t="s">
        <v>5</v>
      </c>
      <c r="AB20" s="28">
        <v>1</v>
      </c>
      <c r="AC20" s="28" t="s">
        <v>33</v>
      </c>
      <c r="AD20" s="28">
        <v>2</v>
      </c>
      <c r="AE20" s="29" t="s">
        <v>11</v>
      </c>
      <c r="AG20" s="30" t="s">
        <v>5</v>
      </c>
      <c r="AH20" s="28">
        <v>2</v>
      </c>
      <c r="AI20" s="28" t="s">
        <v>33</v>
      </c>
      <c r="AJ20" s="28">
        <v>1</v>
      </c>
      <c r="AK20" s="30" t="s">
        <v>11</v>
      </c>
    </row>
    <row r="21" spans="1:37" x14ac:dyDescent="0.3">
      <c r="A21" s="32" t="s">
        <v>60</v>
      </c>
      <c r="B21" s="35" t="s">
        <v>8</v>
      </c>
      <c r="C21" s="40" t="s">
        <v>11</v>
      </c>
      <c r="D21" s="35" t="s">
        <v>83</v>
      </c>
      <c r="E21" s="38" t="s">
        <v>84</v>
      </c>
      <c r="O21" s="26"/>
      <c r="P21" s="23"/>
      <c r="Q21" s="23"/>
      <c r="R21" s="23"/>
      <c r="S21" s="24"/>
      <c r="U21" s="26"/>
      <c r="V21" s="23"/>
      <c r="W21" s="23"/>
      <c r="X21" s="23"/>
      <c r="Y21" s="24"/>
      <c r="AA21" s="26"/>
      <c r="AB21" s="23"/>
      <c r="AC21" s="23"/>
      <c r="AD21" s="23"/>
      <c r="AE21" s="24"/>
    </row>
    <row r="22" spans="1:37" x14ac:dyDescent="0.3">
      <c r="A22" s="32" t="s">
        <v>61</v>
      </c>
      <c r="B22" s="35" t="s">
        <v>8</v>
      </c>
      <c r="C22" s="40" t="s">
        <v>17</v>
      </c>
      <c r="D22" s="35" t="s">
        <v>87</v>
      </c>
      <c r="E22" s="38" t="s">
        <v>84</v>
      </c>
      <c r="I22" s="133" t="s">
        <v>179</v>
      </c>
      <c r="J22" s="133"/>
      <c r="K22" s="133"/>
      <c r="L22" s="133"/>
      <c r="M22" s="133"/>
      <c r="O22" s="133" t="s">
        <v>181</v>
      </c>
      <c r="P22" s="133"/>
      <c r="Q22" s="133"/>
      <c r="R22" s="133"/>
      <c r="S22" s="133"/>
    </row>
    <row r="23" spans="1:37" x14ac:dyDescent="0.3">
      <c r="A23" s="32" t="s">
        <v>62</v>
      </c>
      <c r="B23" s="35" t="s">
        <v>8</v>
      </c>
      <c r="C23" s="40" t="s">
        <v>11</v>
      </c>
      <c r="D23" s="38" t="s">
        <v>84</v>
      </c>
      <c r="E23" s="40" t="s">
        <v>86</v>
      </c>
      <c r="I23" s="27" t="s">
        <v>9</v>
      </c>
      <c r="J23" s="28" t="s">
        <v>174</v>
      </c>
      <c r="K23" s="28" t="s">
        <v>33</v>
      </c>
      <c r="L23" s="28" t="s">
        <v>174</v>
      </c>
      <c r="M23" s="29" t="s">
        <v>15</v>
      </c>
      <c r="O23" s="30" t="s">
        <v>9</v>
      </c>
      <c r="P23" s="28" t="s">
        <v>174</v>
      </c>
      <c r="Q23" s="28" t="s">
        <v>33</v>
      </c>
      <c r="R23" s="28" t="s">
        <v>174</v>
      </c>
      <c r="S23" s="30" t="s">
        <v>15</v>
      </c>
    </row>
    <row r="24" spans="1:37" x14ac:dyDescent="0.3">
      <c r="A24" s="33" t="s">
        <v>63</v>
      </c>
      <c r="B24" s="35" t="s">
        <v>8</v>
      </c>
      <c r="C24" s="35" t="s">
        <v>10</v>
      </c>
      <c r="D24" s="35" t="s">
        <v>85</v>
      </c>
      <c r="E24" s="40" t="s">
        <v>86</v>
      </c>
      <c r="I24" s="134" t="s">
        <v>180</v>
      </c>
      <c r="J24" s="134"/>
      <c r="K24" s="134"/>
      <c r="L24" s="134"/>
      <c r="M24" s="134"/>
      <c r="O24" s="135" t="s">
        <v>182</v>
      </c>
      <c r="P24" s="135"/>
      <c r="Q24" s="135"/>
      <c r="R24" s="135"/>
      <c r="S24" s="135"/>
    </row>
    <row r="25" spans="1:37" x14ac:dyDescent="0.3">
      <c r="I25" s="27" t="s">
        <v>5</v>
      </c>
      <c r="J25" s="28">
        <v>1</v>
      </c>
      <c r="K25" s="28" t="s">
        <v>33</v>
      </c>
      <c r="L25" s="28">
        <v>2</v>
      </c>
      <c r="M25" s="29" t="s">
        <v>11</v>
      </c>
      <c r="O25" s="30" t="s">
        <v>5</v>
      </c>
      <c r="P25" s="28">
        <v>0</v>
      </c>
      <c r="Q25" s="28" t="s">
        <v>33</v>
      </c>
      <c r="R25" s="28">
        <v>3</v>
      </c>
      <c r="S25" s="30" t="s">
        <v>11</v>
      </c>
    </row>
    <row r="32" spans="1:37" x14ac:dyDescent="0.3">
      <c r="G32" s="25" t="s">
        <v>222</v>
      </c>
    </row>
    <row r="33" spans="7:7" x14ac:dyDescent="0.3">
      <c r="G33" s="25" t="s">
        <v>219</v>
      </c>
    </row>
    <row r="88" spans="15:19" x14ac:dyDescent="0.3">
      <c r="O88" s="26"/>
      <c r="P88" s="23"/>
      <c r="Q88" s="23"/>
      <c r="R88" s="23"/>
      <c r="S88" s="24"/>
    </row>
    <row r="89" spans="15:19" x14ac:dyDescent="0.3">
      <c r="O89" s="26"/>
      <c r="P89" s="23"/>
      <c r="Q89" s="23"/>
      <c r="R89" s="23"/>
      <c r="S89" s="24"/>
    </row>
    <row r="90" spans="15:19" x14ac:dyDescent="0.3">
      <c r="O90" s="26"/>
      <c r="P90" s="23"/>
      <c r="Q90" s="23"/>
      <c r="R90" s="23"/>
      <c r="S90" s="24"/>
    </row>
    <row r="91" spans="15:19" x14ac:dyDescent="0.3">
      <c r="O91" s="26"/>
      <c r="P91" s="23"/>
      <c r="Q91" s="23"/>
      <c r="R91" s="23"/>
      <c r="S91" s="24"/>
    </row>
    <row r="92" spans="15:19" x14ac:dyDescent="0.3">
      <c r="O92" s="26"/>
      <c r="P92" s="23"/>
      <c r="Q92" s="23"/>
      <c r="R92" s="23"/>
      <c r="S92" s="24"/>
    </row>
    <row r="93" spans="15:19" x14ac:dyDescent="0.3">
      <c r="O93" s="26"/>
      <c r="P93" s="23"/>
      <c r="Q93" s="23"/>
      <c r="R93" s="23"/>
      <c r="S93" s="24"/>
    </row>
    <row r="94" spans="15:19" x14ac:dyDescent="0.3">
      <c r="O94" s="26"/>
      <c r="P94" s="23"/>
      <c r="Q94" s="23"/>
      <c r="R94" s="23"/>
      <c r="S94" s="24"/>
    </row>
    <row r="95" spans="15:19" x14ac:dyDescent="0.3">
      <c r="O95" s="26"/>
      <c r="P95" s="23"/>
      <c r="Q95" s="23"/>
      <c r="R95" s="23"/>
      <c r="S95" s="24"/>
    </row>
    <row r="96" spans="15:19" x14ac:dyDescent="0.3">
      <c r="O96" s="26"/>
      <c r="P96" s="23"/>
      <c r="Q96" s="23"/>
      <c r="R96" s="23"/>
      <c r="S96" s="24"/>
    </row>
    <row r="97" spans="15:19" x14ac:dyDescent="0.3">
      <c r="O97" s="26"/>
      <c r="P97" s="23"/>
      <c r="Q97" s="23"/>
      <c r="R97" s="23"/>
      <c r="S97" s="24"/>
    </row>
    <row r="98" spans="15:19" x14ac:dyDescent="0.3">
      <c r="O98" s="26"/>
      <c r="P98" s="23"/>
      <c r="Q98" s="23"/>
      <c r="R98" s="23"/>
      <c r="S98" s="24"/>
    </row>
    <row r="99" spans="15:19" x14ac:dyDescent="0.3">
      <c r="O99" s="26"/>
      <c r="P99" s="23"/>
      <c r="Q99" s="23"/>
      <c r="R99" s="23"/>
      <c r="S99" s="24"/>
    </row>
    <row r="100" spans="15:19" x14ac:dyDescent="0.3">
      <c r="O100" s="26"/>
      <c r="P100" s="23"/>
      <c r="Q100" s="23"/>
      <c r="R100" s="23"/>
      <c r="S100" s="24"/>
    </row>
    <row r="101" spans="15:19" x14ac:dyDescent="0.3">
      <c r="O101" s="26"/>
      <c r="P101" s="23"/>
      <c r="Q101" s="23"/>
      <c r="R101" s="23"/>
      <c r="S101" s="24"/>
    </row>
    <row r="102" spans="15:19" x14ac:dyDescent="0.3">
      <c r="O102" s="26"/>
      <c r="P102" s="23"/>
      <c r="Q102" s="23"/>
      <c r="R102" s="23"/>
      <c r="S102" s="24"/>
    </row>
    <row r="103" spans="15:19" x14ac:dyDescent="0.3">
      <c r="O103" s="26"/>
      <c r="P103" s="23"/>
      <c r="Q103" s="23"/>
      <c r="R103" s="23"/>
      <c r="S103" s="24"/>
    </row>
    <row r="104" spans="15:19" x14ac:dyDescent="0.3">
      <c r="O104" s="26"/>
      <c r="P104" s="23"/>
      <c r="Q104" s="23"/>
      <c r="R104" s="23"/>
      <c r="S104" s="24"/>
    </row>
    <row r="105" spans="15:19" x14ac:dyDescent="0.3">
      <c r="O105" s="26"/>
      <c r="P105" s="23"/>
      <c r="Q105" s="23"/>
      <c r="R105" s="23"/>
      <c r="S105" s="24"/>
    </row>
    <row r="106" spans="15:19" x14ac:dyDescent="0.3">
      <c r="O106" s="26"/>
      <c r="P106" s="23"/>
      <c r="Q106" s="23"/>
      <c r="R106" s="23"/>
      <c r="S106" s="24"/>
    </row>
    <row r="107" spans="15:19" x14ac:dyDescent="0.3">
      <c r="O107" s="26"/>
      <c r="P107" s="23"/>
      <c r="Q107" s="23"/>
      <c r="R107" s="23"/>
      <c r="S107" s="24"/>
    </row>
    <row r="108" spans="15:19" x14ac:dyDescent="0.3">
      <c r="O108" s="26"/>
      <c r="P108" s="23"/>
      <c r="Q108" s="23"/>
      <c r="R108" s="23"/>
      <c r="S108" s="24"/>
    </row>
    <row r="109" spans="15:19" x14ac:dyDescent="0.3">
      <c r="O109" s="26"/>
      <c r="P109" s="23"/>
      <c r="Q109" s="23"/>
      <c r="R109" s="23"/>
      <c r="S109" s="24"/>
    </row>
    <row r="110" spans="15:19" x14ac:dyDescent="0.3">
      <c r="O110" s="26"/>
      <c r="P110" s="23"/>
      <c r="Q110" s="23"/>
      <c r="R110" s="23"/>
      <c r="S110" s="24"/>
    </row>
    <row r="111" spans="15:19" x14ac:dyDescent="0.3">
      <c r="O111" s="26"/>
      <c r="P111" s="23"/>
      <c r="Q111" s="23"/>
      <c r="R111" s="23"/>
      <c r="S111" s="24"/>
    </row>
    <row r="112" spans="15:19" x14ac:dyDescent="0.3">
      <c r="O112" s="26"/>
      <c r="P112" s="23"/>
      <c r="Q112" s="23"/>
      <c r="R112" s="23"/>
      <c r="S112" s="24"/>
    </row>
    <row r="113" spans="15:19" x14ac:dyDescent="0.3">
      <c r="O113" s="26"/>
      <c r="P113" s="23"/>
      <c r="Q113" s="23"/>
      <c r="R113" s="23"/>
      <c r="S113" s="24"/>
    </row>
    <row r="114" spans="15:19" x14ac:dyDescent="0.3">
      <c r="O114" s="26"/>
      <c r="P114" s="23"/>
      <c r="Q114" s="23"/>
      <c r="R114" s="23"/>
      <c r="S114" s="24"/>
    </row>
    <row r="115" spans="15:19" x14ac:dyDescent="0.3">
      <c r="O115" s="26"/>
      <c r="P115" s="23"/>
      <c r="Q115" s="23"/>
      <c r="R115" s="23"/>
      <c r="S115" s="24"/>
    </row>
    <row r="116" spans="15:19" x14ac:dyDescent="0.3">
      <c r="O116" s="26"/>
      <c r="P116" s="23"/>
      <c r="Q116" s="23"/>
      <c r="R116" s="23"/>
      <c r="S116" s="24"/>
    </row>
    <row r="117" spans="15:19" x14ac:dyDescent="0.3">
      <c r="O117" s="26"/>
      <c r="P117" s="23"/>
      <c r="Q117" s="23"/>
      <c r="R117" s="23"/>
      <c r="S117" s="24"/>
    </row>
    <row r="118" spans="15:19" x14ac:dyDescent="0.3">
      <c r="O118" s="26"/>
      <c r="P118" s="23"/>
      <c r="Q118" s="23"/>
      <c r="R118" s="23"/>
      <c r="S118" s="24"/>
    </row>
    <row r="119" spans="15:19" x14ac:dyDescent="0.3">
      <c r="O119" s="26"/>
      <c r="P119" s="23"/>
      <c r="Q119" s="23"/>
      <c r="R119" s="23"/>
      <c r="S119" s="24"/>
    </row>
    <row r="120" spans="15:19" x14ac:dyDescent="0.3">
      <c r="O120" s="26"/>
      <c r="P120" s="23"/>
      <c r="Q120" s="23"/>
      <c r="R120" s="23"/>
      <c r="S120" s="24"/>
    </row>
    <row r="121" spans="15:19" x14ac:dyDescent="0.3">
      <c r="O121" s="26"/>
      <c r="P121" s="23"/>
      <c r="Q121" s="23"/>
      <c r="R121" s="23"/>
      <c r="S121" s="24"/>
    </row>
    <row r="122" spans="15:19" x14ac:dyDescent="0.3">
      <c r="O122" s="26"/>
      <c r="P122" s="23"/>
      <c r="Q122" s="23"/>
      <c r="R122" s="23"/>
      <c r="S122" s="24"/>
    </row>
    <row r="123" spans="15:19" x14ac:dyDescent="0.3">
      <c r="O123" s="26"/>
      <c r="P123" s="23"/>
      <c r="Q123" s="23"/>
      <c r="R123" s="23"/>
      <c r="S123" s="24"/>
    </row>
    <row r="124" spans="15:19" x14ac:dyDescent="0.3">
      <c r="O124" s="26"/>
      <c r="P124" s="23"/>
      <c r="Q124" s="23"/>
      <c r="R124" s="23"/>
      <c r="S124" s="24"/>
    </row>
    <row r="125" spans="15:19" x14ac:dyDescent="0.3">
      <c r="O125" s="26"/>
      <c r="P125" s="23"/>
      <c r="Q125" s="23"/>
      <c r="R125" s="23"/>
      <c r="S125" s="24"/>
    </row>
    <row r="126" spans="15:19" x14ac:dyDescent="0.3">
      <c r="O126" s="26"/>
      <c r="P126" s="23"/>
      <c r="Q126" s="23"/>
      <c r="R126" s="23"/>
      <c r="S126" s="24"/>
    </row>
    <row r="127" spans="15:19" x14ac:dyDescent="0.3">
      <c r="O127" s="26"/>
      <c r="P127" s="23"/>
      <c r="Q127" s="23"/>
      <c r="R127" s="23"/>
      <c r="S127" s="24"/>
    </row>
    <row r="128" spans="15:19" x14ac:dyDescent="0.3">
      <c r="O128" s="26"/>
      <c r="P128" s="23"/>
      <c r="Q128" s="23"/>
      <c r="R128" s="23"/>
      <c r="S128" s="24"/>
    </row>
    <row r="129" spans="15:19" x14ac:dyDescent="0.3">
      <c r="O129" s="26"/>
      <c r="P129" s="23"/>
      <c r="Q129" s="23"/>
      <c r="R129" s="23"/>
      <c r="S129" s="24"/>
    </row>
    <row r="130" spans="15:19" x14ac:dyDescent="0.3">
      <c r="O130" s="26"/>
      <c r="P130" s="23"/>
      <c r="Q130" s="23"/>
      <c r="R130" s="23"/>
      <c r="S130" s="24"/>
    </row>
    <row r="131" spans="15:19" x14ac:dyDescent="0.3">
      <c r="O131" s="26"/>
      <c r="P131" s="23"/>
      <c r="Q131" s="23"/>
      <c r="R131" s="23"/>
      <c r="S131" s="24"/>
    </row>
    <row r="132" spans="15:19" x14ac:dyDescent="0.3">
      <c r="O132" s="26"/>
      <c r="P132" s="23"/>
      <c r="Q132" s="23"/>
      <c r="R132" s="23"/>
      <c r="S132" s="24"/>
    </row>
    <row r="133" spans="15:19" x14ac:dyDescent="0.3">
      <c r="O133" s="26"/>
      <c r="P133" s="23"/>
      <c r="Q133" s="23"/>
      <c r="R133" s="23"/>
      <c r="S133" s="24"/>
    </row>
    <row r="134" spans="15:19" x14ac:dyDescent="0.3">
      <c r="O134" s="26"/>
      <c r="P134" s="23"/>
      <c r="Q134" s="23"/>
      <c r="R134" s="23"/>
      <c r="S134" s="24"/>
    </row>
    <row r="135" spans="15:19" x14ac:dyDescent="0.3">
      <c r="O135" s="26"/>
      <c r="P135" s="23"/>
      <c r="Q135" s="23"/>
      <c r="R135" s="23"/>
      <c r="S135" s="24"/>
    </row>
    <row r="136" spans="15:19" x14ac:dyDescent="0.3">
      <c r="O136" s="26"/>
      <c r="P136" s="23"/>
      <c r="Q136" s="23"/>
      <c r="R136" s="23"/>
      <c r="S136" s="24"/>
    </row>
    <row r="137" spans="15:19" x14ac:dyDescent="0.3">
      <c r="O137" s="26"/>
      <c r="P137" s="23"/>
      <c r="Q137" s="23"/>
      <c r="R137" s="23"/>
      <c r="S137" s="24"/>
    </row>
    <row r="138" spans="15:19" x14ac:dyDescent="0.3">
      <c r="O138" s="26"/>
      <c r="P138" s="23"/>
      <c r="Q138" s="23"/>
      <c r="R138" s="23"/>
      <c r="S138" s="24"/>
    </row>
    <row r="139" spans="15:19" x14ac:dyDescent="0.3">
      <c r="O139" s="26"/>
      <c r="P139" s="23"/>
      <c r="Q139" s="23"/>
      <c r="R139" s="23"/>
      <c r="S139" s="24"/>
    </row>
    <row r="140" spans="15:19" x14ac:dyDescent="0.3">
      <c r="O140" s="26"/>
      <c r="P140" s="23"/>
      <c r="Q140" s="23"/>
      <c r="R140" s="23"/>
      <c r="S140" s="24"/>
    </row>
    <row r="141" spans="15:19" x14ac:dyDescent="0.3">
      <c r="O141" s="26"/>
      <c r="P141" s="23"/>
      <c r="Q141" s="23"/>
      <c r="R141" s="23"/>
      <c r="S141" s="24"/>
    </row>
    <row r="142" spans="15:19" x14ac:dyDescent="0.3">
      <c r="O142" s="26"/>
      <c r="P142" s="23"/>
      <c r="Q142" s="23"/>
      <c r="R142" s="23"/>
      <c r="S142" s="24"/>
    </row>
    <row r="143" spans="15:19" x14ac:dyDescent="0.3">
      <c r="O143" s="26"/>
      <c r="P143" s="23"/>
      <c r="Q143" s="23"/>
      <c r="R143" s="23"/>
      <c r="S143" s="24"/>
    </row>
    <row r="144" spans="15:19" x14ac:dyDescent="0.3">
      <c r="O144" s="26"/>
      <c r="P144" s="23"/>
      <c r="Q144" s="23"/>
      <c r="R144" s="23"/>
      <c r="S144" s="24"/>
    </row>
    <row r="145" spans="15:19" x14ac:dyDescent="0.3">
      <c r="O145" s="26"/>
      <c r="P145" s="23"/>
      <c r="Q145" s="23"/>
      <c r="R145" s="23"/>
      <c r="S145" s="24"/>
    </row>
    <row r="146" spans="15:19" x14ac:dyDescent="0.3">
      <c r="O146" s="26"/>
      <c r="P146" s="23"/>
      <c r="Q146" s="23"/>
      <c r="R146" s="23"/>
      <c r="S146" s="24"/>
    </row>
    <row r="147" spans="15:19" x14ac:dyDescent="0.3">
      <c r="O147" s="26"/>
      <c r="P147" s="23"/>
      <c r="Q147" s="23"/>
      <c r="R147" s="23"/>
      <c r="S147" s="24"/>
    </row>
    <row r="148" spans="15:19" x14ac:dyDescent="0.3">
      <c r="O148" s="26"/>
      <c r="P148" s="23"/>
      <c r="Q148" s="23"/>
      <c r="R148" s="23"/>
      <c r="S148" s="24"/>
    </row>
    <row r="149" spans="15:19" x14ac:dyDescent="0.3">
      <c r="O149" s="26"/>
      <c r="P149" s="23"/>
      <c r="Q149" s="23"/>
      <c r="R149" s="23"/>
      <c r="S149" s="24"/>
    </row>
    <row r="150" spans="15:19" x14ac:dyDescent="0.3">
      <c r="O150" s="26"/>
      <c r="P150" s="23"/>
      <c r="Q150" s="23"/>
      <c r="R150" s="23"/>
      <c r="S150" s="24"/>
    </row>
    <row r="151" spans="15:19" x14ac:dyDescent="0.3">
      <c r="O151" s="26"/>
      <c r="P151" s="23"/>
      <c r="Q151" s="23"/>
      <c r="R151" s="23"/>
      <c r="S151" s="24"/>
    </row>
    <row r="152" spans="15:19" x14ac:dyDescent="0.3">
      <c r="O152" s="26"/>
      <c r="P152" s="23"/>
      <c r="Q152" s="23"/>
      <c r="R152" s="23"/>
      <c r="S152" s="24"/>
    </row>
    <row r="153" spans="15:19" x14ac:dyDescent="0.3">
      <c r="O153" s="26"/>
      <c r="P153" s="23"/>
      <c r="Q153" s="23"/>
      <c r="R153" s="23"/>
      <c r="S153" s="24"/>
    </row>
    <row r="154" spans="15:19" x14ac:dyDescent="0.3">
      <c r="O154" s="26"/>
      <c r="P154" s="23"/>
      <c r="Q154" s="23"/>
      <c r="R154" s="23"/>
      <c r="S154" s="24"/>
    </row>
    <row r="155" spans="15:19" x14ac:dyDescent="0.3">
      <c r="O155" s="26"/>
      <c r="P155" s="23"/>
      <c r="Q155" s="23"/>
      <c r="R155" s="23"/>
      <c r="S155" s="24"/>
    </row>
    <row r="156" spans="15:19" x14ac:dyDescent="0.3">
      <c r="O156" s="26"/>
      <c r="P156" s="23"/>
      <c r="Q156" s="23"/>
      <c r="R156" s="23"/>
      <c r="S156" s="24"/>
    </row>
    <row r="157" spans="15:19" x14ac:dyDescent="0.3">
      <c r="O157" s="26"/>
      <c r="P157" s="23"/>
      <c r="Q157" s="23"/>
      <c r="R157" s="23"/>
      <c r="S157" s="24"/>
    </row>
    <row r="158" spans="15:19" x14ac:dyDescent="0.3">
      <c r="O158" s="26"/>
      <c r="P158" s="23"/>
      <c r="Q158" s="23"/>
      <c r="R158" s="23"/>
      <c r="S158" s="24"/>
    </row>
    <row r="159" spans="15:19" x14ac:dyDescent="0.3">
      <c r="O159" s="26"/>
      <c r="P159" s="23"/>
      <c r="Q159" s="23"/>
      <c r="R159" s="23"/>
      <c r="S159" s="24"/>
    </row>
    <row r="160" spans="15:19" x14ac:dyDescent="0.3">
      <c r="O160" s="26"/>
      <c r="P160" s="23"/>
      <c r="Q160" s="23"/>
      <c r="R160" s="23"/>
      <c r="S160" s="24"/>
    </row>
    <row r="161" spans="15:19" x14ac:dyDescent="0.3">
      <c r="O161" s="26"/>
      <c r="P161" s="23"/>
      <c r="Q161" s="23"/>
      <c r="R161" s="23"/>
      <c r="S161" s="24"/>
    </row>
    <row r="162" spans="15:19" x14ac:dyDescent="0.3">
      <c r="O162" s="26"/>
      <c r="P162" s="23"/>
      <c r="Q162" s="23"/>
      <c r="R162" s="23"/>
      <c r="S162" s="24"/>
    </row>
    <row r="163" spans="15:19" x14ac:dyDescent="0.3">
      <c r="O163" s="26"/>
      <c r="P163" s="23"/>
      <c r="Q163" s="23"/>
      <c r="R163" s="23"/>
      <c r="S163" s="24"/>
    </row>
    <row r="164" spans="15:19" x14ac:dyDescent="0.3">
      <c r="O164" s="26"/>
      <c r="P164" s="23"/>
      <c r="Q164" s="23"/>
      <c r="R164" s="23"/>
      <c r="S164" s="24"/>
    </row>
    <row r="165" spans="15:19" x14ac:dyDescent="0.3">
      <c r="O165" s="26"/>
      <c r="P165" s="23"/>
      <c r="Q165" s="23"/>
      <c r="R165" s="23"/>
      <c r="S165" s="24"/>
    </row>
    <row r="166" spans="15:19" x14ac:dyDescent="0.3">
      <c r="O166" s="26"/>
      <c r="P166" s="23"/>
      <c r="Q166" s="23"/>
      <c r="R166" s="23"/>
      <c r="S166" s="24"/>
    </row>
    <row r="167" spans="15:19" x14ac:dyDescent="0.3">
      <c r="O167" s="26"/>
      <c r="P167" s="23"/>
      <c r="Q167" s="23"/>
      <c r="R167" s="23"/>
      <c r="S167" s="24"/>
    </row>
    <row r="168" spans="15:19" x14ac:dyDescent="0.3">
      <c r="O168" s="26"/>
      <c r="P168" s="23"/>
      <c r="Q168" s="23"/>
      <c r="R168" s="23"/>
      <c r="S168" s="24"/>
    </row>
    <row r="169" spans="15:19" x14ac:dyDescent="0.3">
      <c r="O169" s="26"/>
      <c r="P169" s="23"/>
      <c r="Q169" s="23"/>
      <c r="R169" s="23"/>
      <c r="S169" s="24"/>
    </row>
  </sheetData>
  <mergeCells count="44">
    <mergeCell ref="AG2:AK2"/>
    <mergeCell ref="AA19:AE19"/>
    <mergeCell ref="AA17:AE17"/>
    <mergeCell ref="AA14:AE14"/>
    <mergeCell ref="AA12:AE12"/>
    <mergeCell ref="AA2:AE2"/>
    <mergeCell ref="AA7:AE7"/>
    <mergeCell ref="AA4:AE4"/>
    <mergeCell ref="AG14:AK14"/>
    <mergeCell ref="AG12:AK12"/>
    <mergeCell ref="AA9:AE9"/>
    <mergeCell ref="AG9:AK9"/>
    <mergeCell ref="AG7:AK7"/>
    <mergeCell ref="O7:S7"/>
    <mergeCell ref="AG17:AK17"/>
    <mergeCell ref="AG4:AK4"/>
    <mergeCell ref="O4:S4"/>
    <mergeCell ref="O19:S19"/>
    <mergeCell ref="O17:S17"/>
    <mergeCell ref="U14:Y14"/>
    <mergeCell ref="U12:Y12"/>
    <mergeCell ref="U19:Y19"/>
    <mergeCell ref="U17:Y17"/>
    <mergeCell ref="O2:S2"/>
    <mergeCell ref="I14:M14"/>
    <mergeCell ref="U2:Y2"/>
    <mergeCell ref="I19:M19"/>
    <mergeCell ref="I17:M17"/>
    <mergeCell ref="O14:S14"/>
    <mergeCell ref="O12:S12"/>
    <mergeCell ref="U9:Y9"/>
    <mergeCell ref="U7:Y7"/>
    <mergeCell ref="U4:Y4"/>
    <mergeCell ref="I2:M2"/>
    <mergeCell ref="I4:M4"/>
    <mergeCell ref="I12:M12"/>
    <mergeCell ref="I9:M9"/>
    <mergeCell ref="I7:M7"/>
    <mergeCell ref="O9:S9"/>
    <mergeCell ref="I22:M22"/>
    <mergeCell ref="O22:S22"/>
    <mergeCell ref="I24:M24"/>
    <mergeCell ref="O24:S24"/>
    <mergeCell ref="AG19:AK1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89A00-3C9C-4649-9815-06CC07EBF763}">
  <sheetPr codeName="Planilha2"/>
  <dimension ref="B1:Y402"/>
  <sheetViews>
    <sheetView showGridLines="0" tabSelected="1" zoomScale="90" zoomScaleNormal="90" workbookViewId="0">
      <pane ySplit="2" topLeftCell="A3" activePane="bottomLeft" state="frozen"/>
      <selection pane="bottomLeft" activeCell="B1" sqref="B1:I1"/>
    </sheetView>
  </sheetViews>
  <sheetFormatPr defaultColWidth="9.109375" defaultRowHeight="15.6" x14ac:dyDescent="0.3"/>
  <cols>
    <col min="1" max="1" width="1.5546875" style="59" customWidth="1"/>
    <col min="2" max="2" width="7.88671875" style="64" customWidth="1"/>
    <col min="3" max="3" width="20.88671875" style="64" bestFit="1" customWidth="1"/>
    <col min="4" max="4" width="20" style="64" customWidth="1"/>
    <col min="5" max="5" width="20" style="59" customWidth="1"/>
    <col min="6" max="6" width="21.21875" style="59" customWidth="1"/>
    <col min="7" max="9" width="20" style="59" customWidth="1"/>
    <col min="10" max="10" width="2.6640625" style="59" customWidth="1"/>
    <col min="11" max="11" width="8.88671875" style="59" hidden="1" customWidth="1"/>
    <col min="12" max="12" width="14.88671875" style="59" hidden="1" customWidth="1"/>
    <col min="13" max="13" width="6.44140625" style="59" customWidth="1"/>
    <col min="14" max="14" width="5.6640625" style="59" customWidth="1"/>
    <col min="15" max="15" width="12.109375" style="59" bestFit="1" customWidth="1"/>
    <col min="16" max="16" width="5.6640625" style="64" customWidth="1"/>
    <col min="17" max="21" width="5.6640625" style="65" customWidth="1"/>
    <col min="22" max="23" width="5.6640625" style="59" customWidth="1"/>
    <col min="24" max="24" width="13.33203125" style="59" bestFit="1" customWidth="1"/>
    <col min="25" max="25" width="14.21875" style="59" customWidth="1"/>
    <col min="26" max="27" width="5.6640625" style="59" customWidth="1"/>
    <col min="28" max="16384" width="9.109375" style="59"/>
  </cols>
  <sheetData>
    <row r="1" spans="2:24" ht="32.4" customHeight="1" thickTop="1" x14ac:dyDescent="0.3">
      <c r="B1" s="139" t="s">
        <v>235</v>
      </c>
      <c r="C1" s="140"/>
      <c r="D1" s="140"/>
      <c r="E1" s="140"/>
      <c r="F1" s="140"/>
      <c r="G1" s="140"/>
      <c r="H1" s="140"/>
      <c r="I1" s="141"/>
      <c r="M1" s="137"/>
      <c r="N1" s="137"/>
      <c r="O1" s="137"/>
      <c r="P1" s="138"/>
      <c r="Q1" s="138"/>
      <c r="R1" s="138"/>
      <c r="S1" s="137"/>
      <c r="T1" s="137"/>
      <c r="U1" s="137"/>
      <c r="V1" s="138"/>
      <c r="W1" s="138"/>
      <c r="X1" s="138"/>
    </row>
    <row r="2" spans="2:24" s="61" customFormat="1" ht="55.2" customHeight="1" x14ac:dyDescent="0.3">
      <c r="B2" s="80"/>
      <c r="C2" s="69" t="s">
        <v>79</v>
      </c>
      <c r="D2" s="77" t="s">
        <v>32</v>
      </c>
      <c r="E2" s="79" t="s">
        <v>260</v>
      </c>
      <c r="F2" s="110" t="s">
        <v>261</v>
      </c>
      <c r="G2" s="79" t="s">
        <v>262</v>
      </c>
      <c r="H2" s="78" t="s">
        <v>263</v>
      </c>
      <c r="I2" s="81" t="s">
        <v>264</v>
      </c>
      <c r="Q2" s="62"/>
      <c r="R2" s="62"/>
      <c r="S2" s="62"/>
      <c r="T2" s="62"/>
      <c r="U2" s="62"/>
    </row>
    <row r="3" spans="2:24" x14ac:dyDescent="0.3">
      <c r="B3" s="82" t="s">
        <v>67</v>
      </c>
      <c r="C3" s="75" t="str">
        <f t="shared" ref="C3:C23" si="0">K3</f>
        <v>Francesco</v>
      </c>
      <c r="D3" s="75">
        <f t="shared" ref="D3:D21" si="1">VLOOKUP(C3,O$3:U$23,2,0)</f>
        <v>610</v>
      </c>
      <c r="E3" s="75">
        <f t="shared" ref="E3:E20" si="2">VLOOKUP(C3,O$3:U$23,3,0)</f>
        <v>6</v>
      </c>
      <c r="F3" s="75">
        <f t="shared" ref="F3:F20" si="3">VLOOKUP(C3,O$3:U$23,4,0)</f>
        <v>21</v>
      </c>
      <c r="G3" s="75">
        <f t="shared" ref="G3:G20" si="4">VLOOKUP(C3,O$3:U$23,5,0)</f>
        <v>8</v>
      </c>
      <c r="H3" s="75">
        <f t="shared" ref="H3:H20" si="5">VLOOKUP(C3,O$3:U$23,6,0)</f>
        <v>13</v>
      </c>
      <c r="I3" s="83">
        <f t="shared" ref="I3:I20" si="6">VLOOKUP(C3,O$3:U$23,7,0)</f>
        <v>7</v>
      </c>
      <c r="K3" s="94" t="s">
        <v>246</v>
      </c>
      <c r="L3" s="94">
        <f>'20.Francesco'!Q11</f>
        <v>610</v>
      </c>
      <c r="M3" s="94">
        <f>'20.Francesco'!Q19</f>
        <v>6</v>
      </c>
      <c r="O3" s="111" t="s">
        <v>231</v>
      </c>
      <c r="P3" s="108">
        <f>'1.Ivan'!Q$11</f>
        <v>500</v>
      </c>
      <c r="Q3" s="18">
        <v>4</v>
      </c>
      <c r="R3" s="18">
        <v>14</v>
      </c>
      <c r="S3" s="18">
        <v>13</v>
      </c>
      <c r="T3" s="18">
        <v>12</v>
      </c>
      <c r="U3" s="18">
        <v>13</v>
      </c>
      <c r="V3" s="107"/>
      <c r="W3" s="107"/>
    </row>
    <row r="4" spans="2:24" x14ac:dyDescent="0.3">
      <c r="B4" s="84" t="s">
        <v>68</v>
      </c>
      <c r="C4" s="74" t="str">
        <f t="shared" si="0"/>
        <v>Jean</v>
      </c>
      <c r="D4" s="74">
        <f t="shared" si="1"/>
        <v>585</v>
      </c>
      <c r="E4" s="74">
        <f t="shared" si="2"/>
        <v>8</v>
      </c>
      <c r="F4" s="74">
        <f t="shared" si="3"/>
        <v>13</v>
      </c>
      <c r="G4" s="74">
        <f t="shared" si="4"/>
        <v>14</v>
      </c>
      <c r="H4" s="74">
        <f t="shared" si="5"/>
        <v>10</v>
      </c>
      <c r="I4" s="85">
        <f t="shared" si="6"/>
        <v>11</v>
      </c>
      <c r="K4" s="94" t="s">
        <v>53</v>
      </c>
      <c r="L4" s="94">
        <f>'3.Jean'!Q$11</f>
        <v>585</v>
      </c>
      <c r="M4" s="94">
        <f>'3.Jean'!$Q$19</f>
        <v>8</v>
      </c>
      <c r="O4" s="111" t="s">
        <v>222</v>
      </c>
      <c r="P4" s="108">
        <f>'2.Sérginho'!Q$11</f>
        <v>475</v>
      </c>
      <c r="Q4" s="18">
        <v>2</v>
      </c>
      <c r="R4" s="18">
        <v>14</v>
      </c>
      <c r="S4" s="18">
        <v>14</v>
      </c>
      <c r="T4" s="18">
        <v>15</v>
      </c>
      <c r="U4" s="18">
        <v>11</v>
      </c>
      <c r="V4" s="107"/>
      <c r="W4" s="107"/>
    </row>
    <row r="5" spans="2:24" x14ac:dyDescent="0.3">
      <c r="B5" s="82" t="s">
        <v>69</v>
      </c>
      <c r="C5" s="75" t="str">
        <f t="shared" si="0"/>
        <v>Mateus Aires</v>
      </c>
      <c r="D5" s="75">
        <f t="shared" si="1"/>
        <v>565</v>
      </c>
      <c r="E5" s="75">
        <f t="shared" si="2"/>
        <v>8</v>
      </c>
      <c r="F5" s="75">
        <f t="shared" si="3"/>
        <v>11</v>
      </c>
      <c r="G5" s="75">
        <f t="shared" si="4"/>
        <v>13</v>
      </c>
      <c r="H5" s="75">
        <f t="shared" si="5"/>
        <v>14</v>
      </c>
      <c r="I5" s="83">
        <f t="shared" si="6"/>
        <v>10</v>
      </c>
      <c r="K5" s="94" t="s">
        <v>232</v>
      </c>
      <c r="L5" s="94">
        <f>'6.Mateus Aires'!Q11</f>
        <v>565</v>
      </c>
      <c r="M5" s="94">
        <f>'6.Mateus Aires'!Q19</f>
        <v>8</v>
      </c>
      <c r="O5" s="111" t="s">
        <v>53</v>
      </c>
      <c r="P5" s="108">
        <f>'3.Jean'!Q$11</f>
        <v>585</v>
      </c>
      <c r="Q5" s="18">
        <v>8</v>
      </c>
      <c r="R5" s="18">
        <v>13</v>
      </c>
      <c r="S5" s="18">
        <v>14</v>
      </c>
      <c r="T5" s="18">
        <v>10</v>
      </c>
      <c r="U5" s="18">
        <v>11</v>
      </c>
      <c r="V5" s="107"/>
      <c r="W5" s="107"/>
    </row>
    <row r="6" spans="2:24" x14ac:dyDescent="0.3">
      <c r="B6" s="84" t="s">
        <v>70</v>
      </c>
      <c r="C6" s="74" t="str">
        <f t="shared" si="0"/>
        <v>Joseir</v>
      </c>
      <c r="D6" s="74">
        <f t="shared" si="1"/>
        <v>565</v>
      </c>
      <c r="E6" s="74">
        <f t="shared" si="2"/>
        <v>7</v>
      </c>
      <c r="F6" s="74">
        <f t="shared" si="3"/>
        <v>11</v>
      </c>
      <c r="G6" s="74">
        <f t="shared" si="4"/>
        <v>16</v>
      </c>
      <c r="H6" s="74">
        <f t="shared" si="5"/>
        <v>13</v>
      </c>
      <c r="I6" s="85">
        <f t="shared" si="6"/>
        <v>9</v>
      </c>
      <c r="K6" s="94" t="s">
        <v>227</v>
      </c>
      <c r="L6" s="94">
        <f>'10.Joseir'!Q11</f>
        <v>565</v>
      </c>
      <c r="M6" s="94">
        <f>'10.Joseir'!$Q$19</f>
        <v>7</v>
      </c>
      <c r="O6" s="111" t="s">
        <v>223</v>
      </c>
      <c r="P6" s="108">
        <f>'4.Macélio Henrique'!Q11</f>
        <v>440</v>
      </c>
      <c r="Q6" s="18">
        <v>2</v>
      </c>
      <c r="R6" s="18">
        <v>12</v>
      </c>
      <c r="S6" s="18">
        <v>16</v>
      </c>
      <c r="T6" s="18">
        <v>10</v>
      </c>
      <c r="U6" s="18">
        <v>16</v>
      </c>
      <c r="V6" s="107"/>
      <c r="W6" s="107"/>
    </row>
    <row r="7" spans="2:24" x14ac:dyDescent="0.3">
      <c r="B7" s="86" t="s">
        <v>259</v>
      </c>
      <c r="C7" s="63" t="str">
        <f t="shared" si="0"/>
        <v>Miguel</v>
      </c>
      <c r="D7" s="63">
        <f t="shared" si="1"/>
        <v>560</v>
      </c>
      <c r="E7" s="63">
        <f t="shared" si="2"/>
        <v>5</v>
      </c>
      <c r="F7" s="63">
        <f t="shared" si="3"/>
        <v>11</v>
      </c>
      <c r="G7" s="63">
        <f t="shared" si="4"/>
        <v>21</v>
      </c>
      <c r="H7" s="63">
        <f t="shared" si="5"/>
        <v>12</v>
      </c>
      <c r="I7" s="87">
        <f t="shared" si="6"/>
        <v>7</v>
      </c>
      <c r="K7" s="94" t="s">
        <v>233</v>
      </c>
      <c r="L7" s="94">
        <f>'19.Miguel'!Q11</f>
        <v>560</v>
      </c>
      <c r="M7" s="94">
        <f>'19.Miguel'!Q19</f>
        <v>5</v>
      </c>
      <c r="O7" s="111" t="s">
        <v>45</v>
      </c>
      <c r="P7" s="108">
        <f>'5.Macélio'!Q11</f>
        <v>485</v>
      </c>
      <c r="Q7" s="18">
        <v>5</v>
      </c>
      <c r="R7" s="18">
        <v>13</v>
      </c>
      <c r="S7" s="18">
        <v>11</v>
      </c>
      <c r="T7" s="18">
        <v>11</v>
      </c>
      <c r="U7" s="18">
        <v>16</v>
      </c>
      <c r="V7" s="107"/>
      <c r="W7" s="107"/>
    </row>
    <row r="8" spans="2:24" x14ac:dyDescent="0.3">
      <c r="B8" s="86" t="s">
        <v>258</v>
      </c>
      <c r="C8" s="63" t="str">
        <f t="shared" si="0"/>
        <v>Julio Oliveira</v>
      </c>
      <c r="D8" s="63">
        <f t="shared" si="1"/>
        <v>555</v>
      </c>
      <c r="E8" s="63">
        <f t="shared" si="2"/>
        <v>8</v>
      </c>
      <c r="F8" s="63">
        <f t="shared" si="3"/>
        <v>14</v>
      </c>
      <c r="G8" s="63">
        <f t="shared" si="4"/>
        <v>9</v>
      </c>
      <c r="H8" s="63">
        <f t="shared" si="5"/>
        <v>11</v>
      </c>
      <c r="I8" s="87">
        <f t="shared" si="6"/>
        <v>14</v>
      </c>
      <c r="K8" s="94" t="s">
        <v>230</v>
      </c>
      <c r="L8" s="94">
        <f>'18.Julio Oliveira'!Q11</f>
        <v>555</v>
      </c>
      <c r="M8" s="94">
        <f>'18.Julio Oliveira'!Q19</f>
        <v>8</v>
      </c>
      <c r="O8" s="111" t="s">
        <v>232</v>
      </c>
      <c r="P8" s="108">
        <f>'6.Mateus Aires'!Q11</f>
        <v>565</v>
      </c>
      <c r="Q8" s="18">
        <v>8</v>
      </c>
      <c r="R8" s="18">
        <v>11</v>
      </c>
      <c r="S8" s="18">
        <v>13</v>
      </c>
      <c r="T8" s="18">
        <v>14</v>
      </c>
      <c r="U8" s="18">
        <v>10</v>
      </c>
      <c r="V8" s="107"/>
      <c r="W8" s="107"/>
    </row>
    <row r="9" spans="2:24" x14ac:dyDescent="0.3">
      <c r="B9" s="86" t="s">
        <v>257</v>
      </c>
      <c r="C9" s="63" t="str">
        <f t="shared" si="0"/>
        <v>Julio Santos</v>
      </c>
      <c r="D9" s="63">
        <f t="shared" si="1"/>
        <v>555</v>
      </c>
      <c r="E9" s="63">
        <f t="shared" si="2"/>
        <v>5</v>
      </c>
      <c r="F9" s="63">
        <f t="shared" si="3"/>
        <v>17</v>
      </c>
      <c r="G9" s="63">
        <f t="shared" si="4"/>
        <v>12</v>
      </c>
      <c r="H9" s="63">
        <f t="shared" si="5"/>
        <v>11</v>
      </c>
      <c r="I9" s="87">
        <f t="shared" si="6"/>
        <v>11</v>
      </c>
      <c r="K9" s="94" t="s">
        <v>224</v>
      </c>
      <c r="L9" s="94">
        <f>'9.Julio Santos'!Q11</f>
        <v>555</v>
      </c>
      <c r="M9" s="94">
        <f>'9.Julio Santos'!$Q$19</f>
        <v>5</v>
      </c>
      <c r="O9" s="111" t="s">
        <v>236</v>
      </c>
      <c r="P9" s="108">
        <f>'7.Bruno'!Q11</f>
        <v>540</v>
      </c>
      <c r="Q9" s="18">
        <v>7</v>
      </c>
      <c r="R9" s="18">
        <v>15</v>
      </c>
      <c r="S9" s="18">
        <v>10</v>
      </c>
      <c r="T9" s="18">
        <v>8</v>
      </c>
      <c r="U9" s="18">
        <v>16</v>
      </c>
      <c r="V9" s="107"/>
      <c r="W9" s="107"/>
    </row>
    <row r="10" spans="2:24" x14ac:dyDescent="0.3">
      <c r="B10" s="86" t="s">
        <v>256</v>
      </c>
      <c r="C10" s="63" t="str">
        <f t="shared" si="0"/>
        <v>Ivani</v>
      </c>
      <c r="D10" s="63">
        <f t="shared" si="1"/>
        <v>545</v>
      </c>
      <c r="E10" s="63">
        <f t="shared" si="2"/>
        <v>4</v>
      </c>
      <c r="F10" s="63">
        <f t="shared" si="3"/>
        <v>15</v>
      </c>
      <c r="G10" s="63">
        <f t="shared" si="4"/>
        <v>17</v>
      </c>
      <c r="H10" s="63">
        <f t="shared" si="5"/>
        <v>10</v>
      </c>
      <c r="I10" s="87">
        <f t="shared" si="6"/>
        <v>10</v>
      </c>
      <c r="K10" s="94" t="s">
        <v>59</v>
      </c>
      <c r="L10" s="94">
        <f>'12.Ivani'!Q11</f>
        <v>545</v>
      </c>
      <c r="M10" s="94">
        <f>'12.Ivani'!Q19</f>
        <v>4</v>
      </c>
      <c r="O10" s="111" t="s">
        <v>225</v>
      </c>
      <c r="P10" s="108">
        <f>'8.Naldinho'!Q11</f>
        <v>430</v>
      </c>
      <c r="Q10" s="18">
        <v>3</v>
      </c>
      <c r="R10" s="18">
        <v>12</v>
      </c>
      <c r="S10" s="18">
        <v>11</v>
      </c>
      <c r="T10" s="18">
        <v>13</v>
      </c>
      <c r="U10" s="18">
        <v>17</v>
      </c>
      <c r="V10" s="107"/>
      <c r="W10" s="107"/>
    </row>
    <row r="11" spans="2:24" x14ac:dyDescent="0.3">
      <c r="B11" s="86" t="s">
        <v>255</v>
      </c>
      <c r="C11" s="63" t="str">
        <f t="shared" si="0"/>
        <v>Bruno</v>
      </c>
      <c r="D11" s="63">
        <f t="shared" si="1"/>
        <v>540</v>
      </c>
      <c r="E11" s="63">
        <f t="shared" si="2"/>
        <v>7</v>
      </c>
      <c r="F11" s="63">
        <f t="shared" si="3"/>
        <v>15</v>
      </c>
      <c r="G11" s="63">
        <f t="shared" si="4"/>
        <v>10</v>
      </c>
      <c r="H11" s="63">
        <f t="shared" si="5"/>
        <v>8</v>
      </c>
      <c r="I11" s="87">
        <f t="shared" si="6"/>
        <v>16</v>
      </c>
      <c r="K11" s="94" t="s">
        <v>236</v>
      </c>
      <c r="L11" s="94">
        <f>'7.Bruno'!Q11</f>
        <v>540</v>
      </c>
      <c r="M11" s="94">
        <f>'7.Bruno'!$Q$19</f>
        <v>7</v>
      </c>
      <c r="O11" s="111" t="s">
        <v>224</v>
      </c>
      <c r="P11" s="108">
        <f>'9.Julio Santos'!Q11</f>
        <v>555</v>
      </c>
      <c r="Q11" s="18">
        <v>5</v>
      </c>
      <c r="R11" s="18">
        <v>17</v>
      </c>
      <c r="S11" s="18">
        <v>12</v>
      </c>
      <c r="T11" s="18">
        <v>11</v>
      </c>
      <c r="U11" s="18">
        <v>11</v>
      </c>
      <c r="V11" s="107"/>
      <c r="W11" s="107"/>
    </row>
    <row r="12" spans="2:24" x14ac:dyDescent="0.3">
      <c r="B12" s="86" t="s">
        <v>254</v>
      </c>
      <c r="C12" s="63" t="str">
        <f t="shared" si="0"/>
        <v>Mateus Henrique</v>
      </c>
      <c r="D12" s="63">
        <f t="shared" si="1"/>
        <v>520</v>
      </c>
      <c r="E12" s="63">
        <f t="shared" si="2"/>
        <v>5</v>
      </c>
      <c r="F12" s="63">
        <f t="shared" si="3"/>
        <v>11</v>
      </c>
      <c r="G12" s="63">
        <f t="shared" si="4"/>
        <v>16</v>
      </c>
      <c r="H12" s="63">
        <f t="shared" si="5"/>
        <v>14</v>
      </c>
      <c r="I12" s="87">
        <f t="shared" si="6"/>
        <v>10</v>
      </c>
      <c r="K12" s="94" t="s">
        <v>234</v>
      </c>
      <c r="L12" s="94">
        <f>'14.Mateus Henrique'!Q11</f>
        <v>520</v>
      </c>
      <c r="M12" s="94">
        <f>'14.Mateus Henrique'!$Q$19</f>
        <v>5</v>
      </c>
      <c r="O12" s="111" t="s">
        <v>227</v>
      </c>
      <c r="P12" s="108">
        <f>'10.Joseir'!Q11</f>
        <v>565</v>
      </c>
      <c r="Q12" s="18">
        <v>7</v>
      </c>
      <c r="R12" s="18">
        <v>11</v>
      </c>
      <c r="S12" s="18">
        <v>16</v>
      </c>
      <c r="T12" s="18">
        <v>13</v>
      </c>
      <c r="U12" s="18">
        <v>9</v>
      </c>
      <c r="V12" s="107"/>
      <c r="W12" s="107"/>
    </row>
    <row r="13" spans="2:24" x14ac:dyDescent="0.3">
      <c r="B13" s="86" t="s">
        <v>71</v>
      </c>
      <c r="C13" s="63" t="str">
        <f t="shared" si="0"/>
        <v>Chicão</v>
      </c>
      <c r="D13" s="63">
        <f t="shared" si="1"/>
        <v>515</v>
      </c>
      <c r="E13" s="63">
        <f t="shared" si="2"/>
        <v>3</v>
      </c>
      <c r="F13" s="63">
        <f t="shared" si="3"/>
        <v>15</v>
      </c>
      <c r="G13" s="63">
        <f t="shared" si="4"/>
        <v>18</v>
      </c>
      <c r="H13" s="63">
        <f t="shared" si="5"/>
        <v>7</v>
      </c>
      <c r="I13" s="87">
        <f t="shared" si="6"/>
        <v>12</v>
      </c>
      <c r="K13" s="94" t="s">
        <v>247</v>
      </c>
      <c r="L13" s="94">
        <f>'21.Chicão'!Q11</f>
        <v>515</v>
      </c>
      <c r="M13" s="94">
        <f>'21.Chicão'!$Q$19</f>
        <v>3</v>
      </c>
      <c r="O13" s="111" t="s">
        <v>226</v>
      </c>
      <c r="P13" s="108">
        <f>'11.Juninho'!Q11</f>
        <v>415</v>
      </c>
      <c r="Q13" s="18">
        <v>3</v>
      </c>
      <c r="R13" s="18">
        <v>8</v>
      </c>
      <c r="S13" s="18">
        <v>15</v>
      </c>
      <c r="T13" s="18">
        <v>14</v>
      </c>
      <c r="U13" s="18">
        <v>16</v>
      </c>
      <c r="V13" s="107"/>
      <c r="W13" s="107"/>
    </row>
    <row r="14" spans="2:24" x14ac:dyDescent="0.3">
      <c r="B14" s="86" t="s">
        <v>72</v>
      </c>
      <c r="C14" s="63" t="str">
        <f t="shared" si="0"/>
        <v>Gabriel</v>
      </c>
      <c r="D14" s="63">
        <f t="shared" si="1"/>
        <v>510</v>
      </c>
      <c r="E14" s="63">
        <f t="shared" si="2"/>
        <v>3</v>
      </c>
      <c r="F14" s="63">
        <f t="shared" si="3"/>
        <v>17</v>
      </c>
      <c r="G14" s="63">
        <f t="shared" si="4"/>
        <v>15</v>
      </c>
      <c r="H14" s="63">
        <f t="shared" si="5"/>
        <v>6</v>
      </c>
      <c r="I14" s="87">
        <f t="shared" si="6"/>
        <v>15</v>
      </c>
      <c r="K14" s="94" t="s">
        <v>47</v>
      </c>
      <c r="L14" s="94">
        <f>'15.Gabriel'!Q11</f>
        <v>510</v>
      </c>
      <c r="M14" s="94">
        <f>'15.Gabriel'!$Q$19</f>
        <v>3</v>
      </c>
      <c r="O14" s="111" t="s">
        <v>59</v>
      </c>
      <c r="P14" s="108">
        <f>'12.Ivani'!Q11</f>
        <v>545</v>
      </c>
      <c r="Q14" s="18">
        <v>4</v>
      </c>
      <c r="R14" s="18">
        <v>15</v>
      </c>
      <c r="S14" s="18">
        <v>17</v>
      </c>
      <c r="T14" s="18">
        <v>10</v>
      </c>
      <c r="U14" s="18">
        <v>10</v>
      </c>
      <c r="V14" s="107"/>
      <c r="W14" s="107"/>
    </row>
    <row r="15" spans="2:24" x14ac:dyDescent="0.3">
      <c r="B15" s="86" t="s">
        <v>73</v>
      </c>
      <c r="C15" s="63" t="str">
        <f t="shared" si="0"/>
        <v>Ivan</v>
      </c>
      <c r="D15" s="63">
        <f t="shared" si="1"/>
        <v>500</v>
      </c>
      <c r="E15" s="63">
        <f t="shared" si="2"/>
        <v>4</v>
      </c>
      <c r="F15" s="63">
        <f t="shared" si="3"/>
        <v>14</v>
      </c>
      <c r="G15" s="63">
        <f t="shared" si="4"/>
        <v>13</v>
      </c>
      <c r="H15" s="63">
        <f t="shared" si="5"/>
        <v>12</v>
      </c>
      <c r="I15" s="87">
        <f t="shared" si="6"/>
        <v>13</v>
      </c>
      <c r="K15" s="94" t="s">
        <v>231</v>
      </c>
      <c r="L15" s="94">
        <f>'1.Ivan'!Q$11</f>
        <v>500</v>
      </c>
      <c r="M15" s="94">
        <f>'1.Ivan'!$Q$19</f>
        <v>4</v>
      </c>
      <c r="O15" s="111" t="s">
        <v>228</v>
      </c>
      <c r="P15" s="108">
        <f>'13.Manoel'!Q11</f>
        <v>480</v>
      </c>
      <c r="Q15" s="18">
        <v>5</v>
      </c>
      <c r="R15" s="18">
        <v>8</v>
      </c>
      <c r="S15" s="18">
        <v>20</v>
      </c>
      <c r="T15" s="18">
        <v>7</v>
      </c>
      <c r="U15" s="18">
        <v>16</v>
      </c>
      <c r="V15" s="107"/>
      <c r="W15" s="107"/>
    </row>
    <row r="16" spans="2:24" x14ac:dyDescent="0.3">
      <c r="B16" s="86" t="s">
        <v>74</v>
      </c>
      <c r="C16" s="63" t="str">
        <f t="shared" si="0"/>
        <v>Luana</v>
      </c>
      <c r="D16" s="63">
        <f t="shared" si="1"/>
        <v>500</v>
      </c>
      <c r="E16" s="63">
        <f t="shared" si="2"/>
        <v>4</v>
      </c>
      <c r="F16" s="63">
        <f t="shared" si="3"/>
        <v>15</v>
      </c>
      <c r="G16" s="63">
        <f t="shared" si="4"/>
        <v>11</v>
      </c>
      <c r="H16" s="63">
        <f t="shared" si="5"/>
        <v>13</v>
      </c>
      <c r="I16" s="87">
        <f t="shared" si="6"/>
        <v>13</v>
      </c>
      <c r="K16" s="94" t="s">
        <v>50</v>
      </c>
      <c r="L16" s="94">
        <f>'17.Luana'!Q11</f>
        <v>500</v>
      </c>
      <c r="M16" s="94">
        <f>'17.Luana'!$Q$19</f>
        <v>4</v>
      </c>
      <c r="O16" s="111" t="s">
        <v>234</v>
      </c>
      <c r="P16" s="108">
        <f>'14.Mateus Henrique'!Q11</f>
        <v>520</v>
      </c>
      <c r="Q16" s="18">
        <v>5</v>
      </c>
      <c r="R16" s="18">
        <v>11</v>
      </c>
      <c r="S16" s="18">
        <v>16</v>
      </c>
      <c r="T16" s="18">
        <v>14</v>
      </c>
      <c r="U16" s="18">
        <v>10</v>
      </c>
      <c r="V16" s="107"/>
      <c r="W16" s="107"/>
    </row>
    <row r="17" spans="2:25" x14ac:dyDescent="0.3">
      <c r="B17" s="86" t="s">
        <v>75</v>
      </c>
      <c r="C17" s="63" t="str">
        <f t="shared" si="0"/>
        <v>Marcel</v>
      </c>
      <c r="D17" s="63">
        <f t="shared" si="1"/>
        <v>495</v>
      </c>
      <c r="E17" s="63">
        <f t="shared" si="2"/>
        <v>5</v>
      </c>
      <c r="F17" s="63">
        <f t="shared" si="3"/>
        <v>12</v>
      </c>
      <c r="G17" s="63">
        <f t="shared" si="4"/>
        <v>14</v>
      </c>
      <c r="H17" s="63">
        <f t="shared" si="5"/>
        <v>10</v>
      </c>
      <c r="I17" s="87">
        <f t="shared" si="6"/>
        <v>15</v>
      </c>
      <c r="K17" s="94" t="s">
        <v>229</v>
      </c>
      <c r="L17" s="94">
        <f>'16.Marcel'!Q11</f>
        <v>495</v>
      </c>
      <c r="M17" s="94">
        <f>'16.Marcel'!$Q$19</f>
        <v>5</v>
      </c>
      <c r="O17" s="111" t="s">
        <v>47</v>
      </c>
      <c r="P17" s="108">
        <f>'15.Gabriel'!Q11</f>
        <v>510</v>
      </c>
      <c r="Q17" s="18">
        <v>3</v>
      </c>
      <c r="R17" s="18">
        <v>17</v>
      </c>
      <c r="S17" s="18">
        <v>15</v>
      </c>
      <c r="T17" s="18">
        <v>6</v>
      </c>
      <c r="U17" s="18">
        <v>15</v>
      </c>
      <c r="V17" s="107"/>
      <c r="W17" s="107"/>
    </row>
    <row r="18" spans="2:25" x14ac:dyDescent="0.3">
      <c r="B18" s="86" t="s">
        <v>76</v>
      </c>
      <c r="C18" s="63" t="str">
        <f t="shared" si="0"/>
        <v>Macélio</v>
      </c>
      <c r="D18" s="63">
        <f t="shared" si="1"/>
        <v>485</v>
      </c>
      <c r="E18" s="63">
        <f t="shared" si="2"/>
        <v>5</v>
      </c>
      <c r="F18" s="63">
        <f t="shared" si="3"/>
        <v>13</v>
      </c>
      <c r="G18" s="63">
        <f t="shared" si="4"/>
        <v>11</v>
      </c>
      <c r="H18" s="63">
        <f t="shared" si="5"/>
        <v>11</v>
      </c>
      <c r="I18" s="87">
        <f t="shared" si="6"/>
        <v>16</v>
      </c>
      <c r="K18" s="94" t="s">
        <v>45</v>
      </c>
      <c r="L18" s="94">
        <f>'5.Macélio'!Q11</f>
        <v>485</v>
      </c>
      <c r="M18" s="94">
        <f>'5.Macélio'!$Q$19</f>
        <v>5</v>
      </c>
      <c r="O18" s="111" t="s">
        <v>229</v>
      </c>
      <c r="P18" s="108">
        <f>'16.Marcel'!Q11</f>
        <v>495</v>
      </c>
      <c r="Q18" s="18">
        <v>5</v>
      </c>
      <c r="R18" s="18">
        <v>12</v>
      </c>
      <c r="S18" s="18">
        <v>14</v>
      </c>
      <c r="T18" s="18">
        <v>10</v>
      </c>
      <c r="U18" s="18">
        <v>15</v>
      </c>
      <c r="V18" s="107"/>
      <c r="W18" s="107"/>
    </row>
    <row r="19" spans="2:25" x14ac:dyDescent="0.3">
      <c r="B19" s="86" t="s">
        <v>77</v>
      </c>
      <c r="C19" s="63" t="str">
        <f t="shared" si="0"/>
        <v>Manoel</v>
      </c>
      <c r="D19" s="63">
        <f t="shared" si="1"/>
        <v>480</v>
      </c>
      <c r="E19" s="63">
        <f t="shared" si="2"/>
        <v>5</v>
      </c>
      <c r="F19" s="63">
        <f t="shared" si="3"/>
        <v>8</v>
      </c>
      <c r="G19" s="63">
        <f t="shared" si="4"/>
        <v>20</v>
      </c>
      <c r="H19" s="63">
        <f t="shared" si="5"/>
        <v>7</v>
      </c>
      <c r="I19" s="87">
        <f t="shared" si="6"/>
        <v>16</v>
      </c>
      <c r="K19" s="94" t="s">
        <v>228</v>
      </c>
      <c r="L19" s="94">
        <f>'13.Manoel'!Q11</f>
        <v>480</v>
      </c>
      <c r="M19" s="94">
        <f>'13.Manoel'!$Q$19</f>
        <v>5</v>
      </c>
      <c r="O19" s="111" t="s">
        <v>50</v>
      </c>
      <c r="P19" s="108">
        <f>'17.Luana'!Q11</f>
        <v>500</v>
      </c>
      <c r="Q19" s="18">
        <v>4</v>
      </c>
      <c r="R19" s="18">
        <v>15</v>
      </c>
      <c r="S19" s="18">
        <v>11</v>
      </c>
      <c r="T19" s="18">
        <v>13</v>
      </c>
      <c r="U19" s="18">
        <v>13</v>
      </c>
      <c r="V19" s="107"/>
      <c r="W19" s="107"/>
    </row>
    <row r="20" spans="2:25" x14ac:dyDescent="0.3">
      <c r="B20" s="86" t="s">
        <v>78</v>
      </c>
      <c r="C20" s="63" t="str">
        <f t="shared" si="0"/>
        <v>Sérginho</v>
      </c>
      <c r="D20" s="63">
        <f t="shared" si="1"/>
        <v>475</v>
      </c>
      <c r="E20" s="63">
        <f t="shared" si="2"/>
        <v>2</v>
      </c>
      <c r="F20" s="63">
        <f t="shared" si="3"/>
        <v>14</v>
      </c>
      <c r="G20" s="63">
        <f t="shared" si="4"/>
        <v>14</v>
      </c>
      <c r="H20" s="63">
        <f t="shared" si="5"/>
        <v>15</v>
      </c>
      <c r="I20" s="87">
        <f t="shared" si="6"/>
        <v>11</v>
      </c>
      <c r="K20" s="94" t="s">
        <v>222</v>
      </c>
      <c r="L20" s="94">
        <f>'2.Sérginho'!Q$11</f>
        <v>475</v>
      </c>
      <c r="M20" s="94">
        <f>'2.Sérginho'!$Q$19</f>
        <v>2</v>
      </c>
      <c r="O20" s="111" t="s">
        <v>230</v>
      </c>
      <c r="P20" s="108">
        <f>'18.Julio Oliveira'!Q11</f>
        <v>555</v>
      </c>
      <c r="Q20" s="18">
        <v>8</v>
      </c>
      <c r="R20" s="18">
        <v>14</v>
      </c>
      <c r="S20" s="18">
        <v>9</v>
      </c>
      <c r="T20" s="18">
        <v>11</v>
      </c>
      <c r="U20" s="18">
        <v>14</v>
      </c>
      <c r="V20" s="107"/>
      <c r="W20" s="107"/>
    </row>
    <row r="21" spans="2:25" x14ac:dyDescent="0.3">
      <c r="B21" s="88" t="s">
        <v>252</v>
      </c>
      <c r="C21" s="76" t="str">
        <f t="shared" si="0"/>
        <v>Macélio Henrique</v>
      </c>
      <c r="D21" s="63">
        <f t="shared" si="1"/>
        <v>440</v>
      </c>
      <c r="E21" s="76">
        <f t="shared" ref="E21:E23" si="7">VLOOKUP(C21,O$3:U$23,3,0)</f>
        <v>2</v>
      </c>
      <c r="F21" s="76">
        <f t="shared" ref="F21:F23" si="8">VLOOKUP(C21,O$3:U$23,4,0)</f>
        <v>12</v>
      </c>
      <c r="G21" s="76">
        <f t="shared" ref="G21:G23" si="9">VLOOKUP(C21,O$3:U$23,5,0)</f>
        <v>16</v>
      </c>
      <c r="H21" s="76">
        <f t="shared" ref="H21:H23" si="10">VLOOKUP(C21,O$3:U$23,6,0)</f>
        <v>10</v>
      </c>
      <c r="I21" s="89">
        <f t="shared" ref="I21:I23" si="11">VLOOKUP(C21,O$3:U$23,7,0)</f>
        <v>16</v>
      </c>
      <c r="K21" s="94" t="s">
        <v>223</v>
      </c>
      <c r="L21" s="94">
        <f>'4.Macélio Henrique'!Q11</f>
        <v>440</v>
      </c>
      <c r="M21" s="94">
        <f>'4.Macélio Henrique'!$Q$19</f>
        <v>2</v>
      </c>
      <c r="O21" s="111" t="s">
        <v>233</v>
      </c>
      <c r="P21" s="108">
        <f>'19.Miguel'!Q11</f>
        <v>560</v>
      </c>
      <c r="Q21" s="18">
        <v>5</v>
      </c>
      <c r="R21" s="18">
        <v>11</v>
      </c>
      <c r="S21" s="18">
        <v>21</v>
      </c>
      <c r="T21" s="18">
        <v>12</v>
      </c>
      <c r="U21" s="18">
        <v>7</v>
      </c>
      <c r="V21" s="107"/>
      <c r="W21" s="107"/>
    </row>
    <row r="22" spans="2:25" x14ac:dyDescent="0.3">
      <c r="B22" s="88" t="s">
        <v>249</v>
      </c>
      <c r="C22" s="76" t="str">
        <f t="shared" si="0"/>
        <v>Naldinho</v>
      </c>
      <c r="D22" s="76">
        <f t="shared" ref="D22" si="12">VLOOKUP(C22,O$3:U$23,2,0)</f>
        <v>430</v>
      </c>
      <c r="E22" s="76">
        <f t="shared" si="7"/>
        <v>3</v>
      </c>
      <c r="F22" s="76">
        <f>VLOOKUP(C22,O$3:U$23,4,0)</f>
        <v>12</v>
      </c>
      <c r="G22" s="76">
        <f t="shared" si="9"/>
        <v>11</v>
      </c>
      <c r="H22" s="76">
        <f t="shared" si="10"/>
        <v>13</v>
      </c>
      <c r="I22" s="87">
        <f>VLOOKUP(C22,O$3:U$23,7,0)</f>
        <v>17</v>
      </c>
      <c r="K22" s="94" t="s">
        <v>225</v>
      </c>
      <c r="L22" s="94">
        <f>'8.Naldinho'!Q11</f>
        <v>430</v>
      </c>
      <c r="M22" s="94">
        <f>'8.Naldinho'!$Q$19</f>
        <v>3</v>
      </c>
      <c r="O22" s="111" t="s">
        <v>246</v>
      </c>
      <c r="P22" s="108">
        <f>'20.Francesco'!Q11</f>
        <v>610</v>
      </c>
      <c r="Q22" s="18">
        <v>6</v>
      </c>
      <c r="R22" s="18">
        <v>21</v>
      </c>
      <c r="S22" s="18">
        <v>8</v>
      </c>
      <c r="T22" s="18">
        <v>13</v>
      </c>
      <c r="U22" s="18">
        <v>7</v>
      </c>
      <c r="V22" s="107"/>
      <c r="W22" s="107"/>
    </row>
    <row r="23" spans="2:25" ht="16.2" thickBot="1" x14ac:dyDescent="0.35">
      <c r="B23" s="90" t="s">
        <v>250</v>
      </c>
      <c r="C23" s="91" t="str">
        <f t="shared" si="0"/>
        <v>Juninho</v>
      </c>
      <c r="D23" s="91">
        <f>VLOOKUP(C23,O$3:U$23,2,0)</f>
        <v>415</v>
      </c>
      <c r="E23" s="91">
        <f t="shared" si="7"/>
        <v>3</v>
      </c>
      <c r="F23" s="91">
        <f t="shared" si="8"/>
        <v>8</v>
      </c>
      <c r="G23" s="91">
        <f t="shared" si="9"/>
        <v>15</v>
      </c>
      <c r="H23" s="91">
        <f t="shared" si="10"/>
        <v>14</v>
      </c>
      <c r="I23" s="92">
        <f t="shared" si="11"/>
        <v>16</v>
      </c>
      <c r="K23" s="94" t="s">
        <v>226</v>
      </c>
      <c r="L23" s="94">
        <f>'11.Juninho'!Q11</f>
        <v>415</v>
      </c>
      <c r="M23" s="94">
        <f>'11.Juninho'!$Q$19</f>
        <v>3</v>
      </c>
      <c r="O23" s="111" t="s">
        <v>247</v>
      </c>
      <c r="P23" s="108">
        <f>'21.Chicão'!Q11</f>
        <v>515</v>
      </c>
      <c r="Q23" s="18">
        <v>3</v>
      </c>
      <c r="R23" s="18">
        <v>15</v>
      </c>
      <c r="S23" s="18">
        <v>18</v>
      </c>
      <c r="T23" s="18">
        <v>7</v>
      </c>
      <c r="U23" s="18">
        <v>12</v>
      </c>
      <c r="V23" s="107"/>
      <c r="W23" s="107"/>
    </row>
    <row r="24" spans="2:25" ht="16.2" thickTop="1" x14ac:dyDescent="0.3">
      <c r="O24" s="107"/>
      <c r="P24" s="108"/>
      <c r="Q24" s="109"/>
      <c r="R24" s="109"/>
      <c r="S24" s="109"/>
      <c r="T24" s="109"/>
      <c r="U24" s="109"/>
      <c r="V24" s="107"/>
      <c r="W24" s="107"/>
    </row>
    <row r="25" spans="2:25" x14ac:dyDescent="0.3">
      <c r="O25" s="107"/>
      <c r="P25" s="108"/>
      <c r="Q25" s="109"/>
      <c r="R25" s="109"/>
      <c r="S25" s="109"/>
      <c r="T25" s="109"/>
      <c r="U25" s="109"/>
      <c r="V25" s="107"/>
      <c r="W25" s="107"/>
    </row>
    <row r="26" spans="2:25" ht="18" x14ac:dyDescent="0.3">
      <c r="B26" s="66"/>
      <c r="C26" s="41" t="s">
        <v>204</v>
      </c>
      <c r="D26" s="49">
        <v>2</v>
      </c>
      <c r="E26" s="6" t="s">
        <v>33</v>
      </c>
      <c r="F26" s="49">
        <v>1</v>
      </c>
      <c r="G26" s="45" t="s">
        <v>201</v>
      </c>
      <c r="H26" s="60"/>
      <c r="I26" s="67"/>
    </row>
    <row r="27" spans="2:25" x14ac:dyDescent="0.3">
      <c r="B27" s="65"/>
    </row>
    <row r="28" spans="2:25" x14ac:dyDescent="0.3">
      <c r="B28" s="65"/>
    </row>
    <row r="29" spans="2:25" ht="16.8" x14ac:dyDescent="0.3">
      <c r="E29" s="66"/>
      <c r="F29" s="60"/>
      <c r="G29" s="68" t="s">
        <v>135</v>
      </c>
      <c r="H29" s="60"/>
      <c r="I29" s="67"/>
      <c r="Y29" s="96">
        <f>21*20</f>
        <v>420</v>
      </c>
    </row>
    <row r="30" spans="2:25" ht="16.8" x14ac:dyDescent="0.3">
      <c r="E30" s="66"/>
      <c r="F30" s="60"/>
      <c r="G30" s="60"/>
      <c r="H30" s="60"/>
      <c r="I30" s="67"/>
      <c r="W30" s="95" t="s">
        <v>67</v>
      </c>
      <c r="X30" s="97">
        <v>160</v>
      </c>
      <c r="Y30" s="97">
        <f>Y29*0.4</f>
        <v>168</v>
      </c>
    </row>
    <row r="31" spans="2:25" ht="16.8" x14ac:dyDescent="0.3">
      <c r="E31" s="66"/>
      <c r="F31" s="60"/>
      <c r="G31" s="60"/>
      <c r="H31" s="60"/>
      <c r="I31" s="67"/>
      <c r="W31" s="95" t="s">
        <v>68</v>
      </c>
      <c r="X31" s="97">
        <v>125</v>
      </c>
      <c r="Y31" s="97">
        <f>Y29*0.3</f>
        <v>126</v>
      </c>
    </row>
    <row r="32" spans="2:25" ht="16.8" x14ac:dyDescent="0.3">
      <c r="E32" s="66"/>
      <c r="F32" s="60"/>
      <c r="G32" s="60"/>
      <c r="H32" s="60"/>
      <c r="I32" s="67"/>
      <c r="W32" s="95" t="s">
        <v>69</v>
      </c>
      <c r="X32" s="97">
        <v>85</v>
      </c>
      <c r="Y32" s="97">
        <f>Y29*0.2</f>
        <v>84</v>
      </c>
    </row>
    <row r="33" spans="5:25" ht="16.8" x14ac:dyDescent="0.3">
      <c r="E33" s="66"/>
      <c r="F33" s="60"/>
      <c r="G33" s="60"/>
      <c r="H33" s="60"/>
      <c r="I33" s="67"/>
      <c r="W33" s="95" t="s">
        <v>70</v>
      </c>
      <c r="X33" s="97">
        <v>50</v>
      </c>
      <c r="Y33" s="97">
        <f>Y29*0.1</f>
        <v>42</v>
      </c>
    </row>
    <row r="34" spans="5:25" ht="16.8" x14ac:dyDescent="0.3">
      <c r="E34" s="66"/>
      <c r="F34" s="60"/>
      <c r="G34" s="60"/>
      <c r="H34" s="60"/>
      <c r="I34" s="67"/>
      <c r="X34" s="99">
        <f>SUM(X30:X33)</f>
        <v>420</v>
      </c>
      <c r="Y34" s="96">
        <f>Y33+Y32+Y31+Y30</f>
        <v>420</v>
      </c>
    </row>
    <row r="35" spans="5:25" ht="16.8" x14ac:dyDescent="0.3">
      <c r="E35" s="66"/>
      <c r="F35" s="60"/>
      <c r="G35" s="60"/>
      <c r="H35" s="60"/>
      <c r="I35" s="67"/>
    </row>
    <row r="36" spans="5:25" ht="16.8" x14ac:dyDescent="0.3">
      <c r="E36" s="66"/>
      <c r="F36" s="60"/>
      <c r="G36" s="60"/>
      <c r="H36" s="60"/>
      <c r="I36" s="67"/>
    </row>
    <row r="37" spans="5:25" ht="16.8" x14ac:dyDescent="0.3">
      <c r="E37" s="66"/>
      <c r="J37" s="98"/>
    </row>
    <row r="38" spans="5:25" ht="16.8" x14ac:dyDescent="0.3">
      <c r="E38" s="66"/>
      <c r="J38" s="98"/>
    </row>
    <row r="39" spans="5:25" ht="16.8" x14ac:dyDescent="0.3">
      <c r="E39" s="66"/>
      <c r="J39" s="98"/>
    </row>
    <row r="40" spans="5:25" ht="16.8" x14ac:dyDescent="0.3">
      <c r="E40" s="66"/>
      <c r="J40" s="98"/>
    </row>
    <row r="41" spans="5:25" ht="16.8" x14ac:dyDescent="0.3">
      <c r="E41" s="66"/>
      <c r="J41" s="98"/>
    </row>
    <row r="42" spans="5:25" ht="16.8" x14ac:dyDescent="0.3">
      <c r="E42" s="66"/>
      <c r="J42" s="98"/>
    </row>
    <row r="43" spans="5:25" ht="16.8" x14ac:dyDescent="0.3">
      <c r="E43" s="66"/>
      <c r="F43" s="60"/>
      <c r="G43" s="60"/>
      <c r="H43" s="60"/>
      <c r="I43" s="67"/>
    </row>
    <row r="44" spans="5:25" ht="16.8" x14ac:dyDescent="0.3">
      <c r="E44" s="66"/>
      <c r="F44" s="60"/>
      <c r="G44" s="60"/>
      <c r="H44" s="60"/>
      <c r="I44" s="67"/>
    </row>
    <row r="45" spans="5:25" ht="16.8" x14ac:dyDescent="0.3">
      <c r="E45" s="66"/>
      <c r="F45" s="60"/>
      <c r="G45" s="60"/>
      <c r="H45" s="60"/>
      <c r="I45" s="67"/>
    </row>
    <row r="46" spans="5:25" ht="16.8" x14ac:dyDescent="0.3">
      <c r="E46" s="66"/>
      <c r="F46" s="60"/>
      <c r="G46" s="60"/>
      <c r="H46" s="60"/>
      <c r="I46" s="67"/>
    </row>
    <row r="47" spans="5:25" ht="16.8" x14ac:dyDescent="0.3">
      <c r="E47" s="66"/>
      <c r="F47" s="60"/>
      <c r="G47" s="60"/>
      <c r="H47" s="60"/>
      <c r="I47" s="67"/>
    </row>
    <row r="48" spans="5:25" ht="16.8" x14ac:dyDescent="0.3">
      <c r="E48" s="66"/>
      <c r="F48" s="60"/>
      <c r="G48" s="60"/>
      <c r="H48" s="60"/>
      <c r="I48" s="67"/>
    </row>
    <row r="49" spans="2:10" ht="16.8" x14ac:dyDescent="0.3">
      <c r="E49" s="66"/>
      <c r="F49" s="60"/>
      <c r="G49" s="60"/>
      <c r="H49" s="60"/>
      <c r="I49" s="67"/>
    </row>
    <row r="50" spans="2:10" ht="16.8" x14ac:dyDescent="0.3">
      <c r="E50" s="66"/>
      <c r="F50" s="60"/>
      <c r="G50" s="60"/>
      <c r="H50" s="60"/>
      <c r="I50" s="67"/>
    </row>
    <row r="51" spans="2:10" ht="16.8" x14ac:dyDescent="0.3">
      <c r="E51" s="66"/>
      <c r="F51" s="60"/>
      <c r="G51" s="60"/>
      <c r="H51" s="60"/>
      <c r="I51" s="67"/>
    </row>
    <row r="52" spans="2:10" ht="16.8" x14ac:dyDescent="0.3">
      <c r="E52" s="66"/>
      <c r="F52" s="60"/>
      <c r="G52" s="60"/>
      <c r="H52" s="60"/>
      <c r="I52" s="67"/>
    </row>
    <row r="53" spans="2:10" ht="16.8" x14ac:dyDescent="0.3">
      <c r="E53" s="66"/>
      <c r="F53" s="60"/>
      <c r="G53" s="60"/>
      <c r="H53" s="60"/>
      <c r="I53" s="67"/>
    </row>
    <row r="54" spans="2:10" ht="16.8" x14ac:dyDescent="0.3">
      <c r="E54" s="66"/>
      <c r="F54" s="60"/>
      <c r="G54" s="60"/>
      <c r="H54" s="60"/>
      <c r="I54" s="67"/>
    </row>
    <row r="55" spans="2:10" ht="16.8" x14ac:dyDescent="0.3">
      <c r="E55" s="66"/>
      <c r="F55" s="60"/>
      <c r="G55" s="60"/>
      <c r="H55" s="60"/>
      <c r="I55" s="67"/>
    </row>
    <row r="56" spans="2:10" ht="16.8" x14ac:dyDescent="0.3">
      <c r="E56" s="66"/>
      <c r="F56" s="60"/>
      <c r="G56" s="60"/>
      <c r="H56" s="60"/>
      <c r="I56" s="67"/>
    </row>
    <row r="57" spans="2:10" ht="16.8" x14ac:dyDescent="0.3">
      <c r="E57" s="66"/>
      <c r="F57" s="60"/>
      <c r="G57" s="60"/>
      <c r="H57" s="60"/>
      <c r="I57" s="67"/>
    </row>
    <row r="58" spans="2:10" ht="16.8" x14ac:dyDescent="0.3">
      <c r="E58" s="66"/>
      <c r="F58" s="60"/>
      <c r="G58" s="60"/>
      <c r="H58" s="60"/>
      <c r="I58" s="67"/>
    </row>
    <row r="59" spans="2:10" ht="16.8" x14ac:dyDescent="0.3">
      <c r="E59" s="66"/>
      <c r="F59" s="60"/>
      <c r="G59" s="60"/>
      <c r="H59" s="60"/>
      <c r="I59" s="67"/>
    </row>
    <row r="64" spans="2:10" x14ac:dyDescent="0.3">
      <c r="B64" s="136"/>
      <c r="C64" s="136"/>
      <c r="D64" s="136"/>
      <c r="E64" s="64"/>
      <c r="F64" s="64"/>
      <c r="G64" s="64"/>
      <c r="H64" s="136"/>
      <c r="I64" s="136"/>
      <c r="J64" s="136"/>
    </row>
    <row r="70" spans="2:10" x14ac:dyDescent="0.3">
      <c r="B70" s="136"/>
      <c r="C70" s="136"/>
      <c r="D70" s="136"/>
      <c r="E70" s="64"/>
      <c r="F70" s="64"/>
      <c r="G70" s="64"/>
      <c r="H70" s="136"/>
      <c r="I70" s="136"/>
      <c r="J70" s="136"/>
    </row>
    <row r="76" spans="2:10" x14ac:dyDescent="0.3">
      <c r="B76" s="136"/>
      <c r="C76" s="136"/>
      <c r="D76" s="136"/>
      <c r="E76" s="64"/>
      <c r="F76" s="64"/>
      <c r="G76" s="64"/>
      <c r="H76" s="136"/>
      <c r="I76" s="136"/>
      <c r="J76" s="136"/>
    </row>
    <row r="82" spans="2:10" x14ac:dyDescent="0.3">
      <c r="B82" s="136"/>
      <c r="C82" s="136"/>
      <c r="D82" s="136"/>
      <c r="E82" s="64"/>
      <c r="F82" s="64"/>
      <c r="G82" s="64"/>
      <c r="H82" s="136"/>
      <c r="I82" s="136"/>
      <c r="J82" s="136"/>
    </row>
    <row r="83" spans="2:10" x14ac:dyDescent="0.3">
      <c r="B83" s="136"/>
      <c r="C83" s="136"/>
      <c r="D83" s="136"/>
      <c r="E83" s="64"/>
      <c r="F83" s="64"/>
      <c r="G83" s="64"/>
      <c r="H83" s="136"/>
      <c r="I83" s="136"/>
      <c r="J83" s="136"/>
    </row>
    <row r="88" spans="2:10" x14ac:dyDescent="0.3">
      <c r="B88" s="136"/>
      <c r="C88" s="136"/>
      <c r="D88" s="136"/>
      <c r="E88" s="64"/>
      <c r="F88" s="64"/>
      <c r="G88" s="64"/>
      <c r="H88" s="136"/>
      <c r="I88" s="136"/>
      <c r="J88" s="136"/>
    </row>
    <row r="89" spans="2:10" x14ac:dyDescent="0.3">
      <c r="B89" s="136"/>
      <c r="C89" s="136"/>
      <c r="D89" s="136"/>
      <c r="E89" s="64"/>
      <c r="F89" s="64"/>
      <c r="G89" s="64"/>
      <c r="H89" s="136"/>
      <c r="I89" s="136"/>
      <c r="J89" s="136"/>
    </row>
    <row r="94" spans="2:10" x14ac:dyDescent="0.3">
      <c r="B94" s="136"/>
      <c r="C94" s="136"/>
      <c r="D94" s="136"/>
      <c r="E94" s="64"/>
      <c r="F94" s="64"/>
      <c r="G94" s="64"/>
      <c r="H94" s="136"/>
      <c r="I94" s="136"/>
      <c r="J94" s="136"/>
    </row>
    <row r="100" spans="2:10" x14ac:dyDescent="0.3">
      <c r="B100" s="136"/>
      <c r="C100" s="136"/>
      <c r="D100" s="136"/>
      <c r="E100" s="64"/>
      <c r="F100" s="64"/>
      <c r="G100" s="64"/>
      <c r="H100" s="136"/>
      <c r="I100" s="136"/>
      <c r="J100" s="136"/>
    </row>
    <row r="106" spans="2:10" x14ac:dyDescent="0.3">
      <c r="B106" s="136"/>
      <c r="C106" s="136"/>
      <c r="D106" s="136"/>
      <c r="E106" s="64"/>
      <c r="F106" s="64"/>
      <c r="G106" s="64"/>
      <c r="H106" s="136"/>
      <c r="I106" s="136"/>
      <c r="J106" s="136"/>
    </row>
    <row r="107" spans="2:10" x14ac:dyDescent="0.3">
      <c r="B107" s="136"/>
      <c r="C107" s="136"/>
      <c r="D107" s="136"/>
      <c r="E107" s="64"/>
      <c r="F107" s="64"/>
      <c r="G107" s="64"/>
      <c r="H107" s="136"/>
      <c r="I107" s="136"/>
      <c r="J107" s="136"/>
    </row>
    <row r="112" spans="2:10" x14ac:dyDescent="0.3">
      <c r="B112" s="136"/>
      <c r="C112" s="136"/>
      <c r="D112" s="136"/>
      <c r="E112" s="64"/>
      <c r="F112" s="64"/>
      <c r="G112" s="64"/>
      <c r="H112" s="136"/>
      <c r="I112" s="136"/>
      <c r="J112" s="136"/>
    </row>
    <row r="113" spans="2:10" x14ac:dyDescent="0.3">
      <c r="B113" s="136"/>
      <c r="C113" s="136"/>
      <c r="D113" s="136"/>
      <c r="E113" s="64"/>
      <c r="F113" s="64"/>
      <c r="G113" s="64"/>
      <c r="H113" s="136"/>
      <c r="I113" s="136"/>
      <c r="J113" s="136"/>
    </row>
    <row r="114" spans="2:10" x14ac:dyDescent="0.3">
      <c r="B114" s="136"/>
      <c r="C114" s="136"/>
      <c r="D114" s="136"/>
      <c r="E114" s="64"/>
      <c r="F114" s="64"/>
      <c r="G114" s="64"/>
      <c r="H114" s="136"/>
      <c r="I114" s="136"/>
      <c r="J114" s="136"/>
    </row>
    <row r="118" spans="2:10" x14ac:dyDescent="0.3">
      <c r="B118" s="136"/>
      <c r="C118" s="136"/>
      <c r="D118" s="136"/>
      <c r="E118" s="64"/>
      <c r="F118" s="64"/>
      <c r="G118" s="64"/>
      <c r="H118" s="136"/>
      <c r="I118" s="136"/>
      <c r="J118" s="136"/>
    </row>
    <row r="119" spans="2:10" x14ac:dyDescent="0.3">
      <c r="B119" s="136"/>
      <c r="C119" s="136"/>
      <c r="D119" s="136"/>
      <c r="E119" s="64"/>
      <c r="F119" s="64"/>
      <c r="G119" s="64"/>
      <c r="H119" s="136"/>
      <c r="I119" s="136"/>
      <c r="J119" s="136"/>
    </row>
    <row r="124" spans="2:10" x14ac:dyDescent="0.3">
      <c r="B124" s="136"/>
      <c r="C124" s="136"/>
      <c r="D124" s="136"/>
      <c r="E124" s="64"/>
      <c r="F124" s="64"/>
      <c r="G124" s="64"/>
      <c r="H124" s="136"/>
      <c r="I124" s="136"/>
      <c r="J124" s="136"/>
    </row>
    <row r="130" spans="2:10" x14ac:dyDescent="0.3">
      <c r="B130" s="136"/>
      <c r="C130" s="136"/>
      <c r="D130" s="136"/>
      <c r="E130" s="64"/>
      <c r="F130" s="64"/>
      <c r="G130" s="64"/>
      <c r="H130" s="136"/>
      <c r="I130" s="136"/>
      <c r="J130" s="136"/>
    </row>
    <row r="131" spans="2:10" x14ac:dyDescent="0.3">
      <c r="B131" s="136"/>
      <c r="C131" s="136"/>
      <c r="D131" s="136"/>
      <c r="E131" s="64"/>
      <c r="F131" s="64"/>
      <c r="G131" s="64"/>
      <c r="H131" s="136"/>
      <c r="I131" s="136"/>
      <c r="J131" s="136"/>
    </row>
    <row r="132" spans="2:10" x14ac:dyDescent="0.3">
      <c r="B132" s="136"/>
      <c r="C132" s="136"/>
      <c r="D132" s="136"/>
      <c r="E132" s="64"/>
      <c r="F132" s="64"/>
      <c r="G132" s="64"/>
      <c r="H132" s="136"/>
      <c r="I132" s="136"/>
      <c r="J132" s="136"/>
    </row>
    <row r="136" spans="2:10" x14ac:dyDescent="0.3">
      <c r="B136" s="136"/>
      <c r="C136" s="136"/>
      <c r="D136" s="136"/>
      <c r="E136" s="64"/>
      <c r="F136" s="64"/>
      <c r="G136" s="64"/>
      <c r="H136" s="136"/>
      <c r="I136" s="136"/>
      <c r="J136" s="136"/>
    </row>
    <row r="137" spans="2:10" x14ac:dyDescent="0.3">
      <c r="B137" s="136"/>
      <c r="C137" s="136"/>
      <c r="D137" s="136"/>
      <c r="E137" s="64"/>
      <c r="F137" s="64"/>
      <c r="G137" s="64"/>
      <c r="H137" s="136"/>
      <c r="I137" s="136"/>
      <c r="J137" s="136"/>
    </row>
    <row r="142" spans="2:10" x14ac:dyDescent="0.3">
      <c r="B142" s="136"/>
      <c r="C142" s="136"/>
      <c r="D142" s="136"/>
      <c r="E142" s="64"/>
      <c r="F142" s="64"/>
      <c r="G142" s="64"/>
      <c r="H142" s="136"/>
      <c r="I142" s="136"/>
      <c r="J142" s="136"/>
    </row>
    <row r="148" spans="2:10" x14ac:dyDescent="0.3">
      <c r="B148" s="136"/>
      <c r="C148" s="136"/>
      <c r="D148" s="136"/>
      <c r="E148" s="64"/>
      <c r="F148" s="64"/>
      <c r="G148" s="64"/>
      <c r="H148" s="136"/>
      <c r="I148" s="136"/>
      <c r="J148" s="136"/>
    </row>
    <row r="149" spans="2:10" x14ac:dyDescent="0.3">
      <c r="B149" s="136"/>
      <c r="C149" s="136"/>
      <c r="D149" s="136"/>
      <c r="E149" s="64"/>
      <c r="F149" s="64"/>
      <c r="G149" s="64"/>
      <c r="H149" s="136"/>
      <c r="I149" s="136"/>
      <c r="J149" s="136"/>
    </row>
    <row r="150" spans="2:10" x14ac:dyDescent="0.3">
      <c r="B150" s="136"/>
      <c r="C150" s="136"/>
      <c r="D150" s="136"/>
      <c r="E150" s="64"/>
      <c r="F150" s="64"/>
      <c r="G150" s="64"/>
      <c r="H150" s="136"/>
      <c r="I150" s="136"/>
      <c r="J150" s="136"/>
    </row>
    <row r="151" spans="2:10" x14ac:dyDescent="0.3">
      <c r="B151" s="136"/>
      <c r="C151" s="136"/>
      <c r="D151" s="136"/>
      <c r="E151" s="64"/>
      <c r="F151" s="64"/>
      <c r="G151" s="64"/>
      <c r="H151" s="136"/>
      <c r="I151" s="136"/>
      <c r="J151" s="136"/>
    </row>
    <row r="154" spans="2:10" x14ac:dyDescent="0.3">
      <c r="B154" s="136"/>
      <c r="C154" s="136"/>
      <c r="D154" s="136"/>
      <c r="E154" s="64"/>
      <c r="F154" s="64"/>
      <c r="G154" s="64"/>
      <c r="H154" s="136"/>
      <c r="I154" s="136"/>
      <c r="J154" s="136"/>
    </row>
    <row r="160" spans="2:10" x14ac:dyDescent="0.3">
      <c r="B160" s="136"/>
      <c r="C160" s="136"/>
      <c r="D160" s="136"/>
      <c r="E160" s="64"/>
      <c r="F160" s="64"/>
      <c r="G160" s="64"/>
      <c r="H160" s="136"/>
      <c r="I160" s="136"/>
      <c r="J160" s="136"/>
    </row>
    <row r="161" spans="2:10" x14ac:dyDescent="0.3">
      <c r="B161" s="136"/>
      <c r="C161" s="136"/>
      <c r="D161" s="136"/>
      <c r="E161" s="64"/>
      <c r="F161" s="64"/>
      <c r="G161" s="64"/>
      <c r="H161" s="136"/>
      <c r="I161" s="136"/>
      <c r="J161" s="136"/>
    </row>
    <row r="164" spans="2:10" x14ac:dyDescent="0.3">
      <c r="B164" s="136"/>
      <c r="C164" s="136"/>
      <c r="D164" s="136"/>
      <c r="E164" s="64"/>
      <c r="F164" s="64"/>
      <c r="G164" s="64"/>
      <c r="H164" s="136"/>
      <c r="I164" s="136"/>
      <c r="J164" s="136"/>
    </row>
    <row r="170" spans="2:10" x14ac:dyDescent="0.3">
      <c r="B170" s="136"/>
      <c r="C170" s="136"/>
      <c r="D170" s="136"/>
      <c r="E170" s="64"/>
      <c r="F170" s="64"/>
      <c r="G170" s="64"/>
      <c r="H170" s="136"/>
      <c r="I170" s="136"/>
      <c r="J170" s="136"/>
    </row>
    <row r="176" spans="2:10" x14ac:dyDescent="0.3">
      <c r="B176" s="136"/>
      <c r="C176" s="136"/>
      <c r="D176" s="136"/>
      <c r="E176" s="64"/>
      <c r="F176" s="64"/>
      <c r="G176" s="64"/>
      <c r="H176" s="136"/>
      <c r="I176" s="136"/>
      <c r="J176" s="136"/>
    </row>
    <row r="182" spans="2:10" x14ac:dyDescent="0.3">
      <c r="B182" s="136"/>
      <c r="C182" s="136"/>
      <c r="D182" s="136"/>
      <c r="E182" s="64"/>
      <c r="F182" s="64"/>
      <c r="G182" s="64"/>
      <c r="H182" s="136"/>
      <c r="I182" s="136"/>
      <c r="J182" s="136"/>
    </row>
    <row r="188" spans="2:10" x14ac:dyDescent="0.3">
      <c r="B188" s="136"/>
      <c r="C188" s="136"/>
      <c r="D188" s="136"/>
      <c r="E188" s="64"/>
      <c r="F188" s="64"/>
      <c r="G188" s="64"/>
      <c r="H188" s="136"/>
      <c r="I188" s="136"/>
      <c r="J188" s="136"/>
    </row>
    <row r="189" spans="2:10" x14ac:dyDescent="0.3">
      <c r="B189" s="136"/>
      <c r="C189" s="136"/>
      <c r="D189" s="136"/>
      <c r="E189" s="64"/>
      <c r="F189" s="64"/>
      <c r="G189" s="64"/>
      <c r="H189" s="136"/>
      <c r="I189" s="136"/>
      <c r="J189" s="136"/>
    </row>
    <row r="194" spans="2:10" x14ac:dyDescent="0.3">
      <c r="B194" s="136"/>
      <c r="C194" s="136"/>
      <c r="D194" s="136"/>
      <c r="E194" s="64"/>
      <c r="F194" s="64"/>
      <c r="G194" s="64"/>
      <c r="H194" s="136"/>
      <c r="I194" s="136"/>
      <c r="J194" s="136"/>
    </row>
    <row r="195" spans="2:10" x14ac:dyDescent="0.3">
      <c r="B195" s="136"/>
      <c r="C195" s="136"/>
      <c r="D195" s="136"/>
      <c r="E195" s="64"/>
      <c r="F195" s="64"/>
      <c r="G195" s="64"/>
      <c r="H195" s="136"/>
      <c r="I195" s="136"/>
      <c r="J195" s="136"/>
    </row>
    <row r="200" spans="2:10" x14ac:dyDescent="0.3">
      <c r="B200" s="136"/>
      <c r="C200" s="136"/>
      <c r="D200" s="136"/>
      <c r="E200" s="64"/>
      <c r="F200" s="64"/>
      <c r="G200" s="64"/>
      <c r="H200" s="136"/>
      <c r="I200" s="136"/>
      <c r="J200" s="136"/>
    </row>
    <row r="206" spans="2:10" x14ac:dyDescent="0.3">
      <c r="B206" s="136"/>
      <c r="C206" s="136"/>
      <c r="D206" s="136"/>
      <c r="E206" s="64"/>
      <c r="F206" s="64"/>
      <c r="G206" s="64"/>
      <c r="H206" s="136"/>
      <c r="I206" s="136"/>
      <c r="J206" s="136"/>
    </row>
    <row r="212" spans="2:10" x14ac:dyDescent="0.3">
      <c r="B212" s="136"/>
      <c r="C212" s="136"/>
      <c r="D212" s="136"/>
      <c r="E212" s="64"/>
      <c r="F212" s="64"/>
      <c r="G212" s="64"/>
      <c r="H212" s="136"/>
      <c r="I212" s="136"/>
      <c r="J212" s="136"/>
    </row>
    <row r="213" spans="2:10" x14ac:dyDescent="0.3">
      <c r="B213" s="136"/>
      <c r="C213" s="136"/>
      <c r="D213" s="136"/>
      <c r="E213" s="64"/>
      <c r="F213" s="64"/>
      <c r="G213" s="64"/>
      <c r="H213" s="136"/>
      <c r="I213" s="136"/>
      <c r="J213" s="136"/>
    </row>
    <row r="218" spans="2:10" x14ac:dyDescent="0.3">
      <c r="B218" s="136"/>
      <c r="C218" s="136"/>
      <c r="D218" s="136"/>
      <c r="E218" s="64"/>
      <c r="F218" s="64"/>
      <c r="G218" s="64"/>
      <c r="H218" s="136"/>
      <c r="I218" s="136"/>
      <c r="J218" s="136"/>
    </row>
    <row r="219" spans="2:10" x14ac:dyDescent="0.3">
      <c r="B219" s="136"/>
      <c r="C219" s="136"/>
      <c r="D219" s="136"/>
      <c r="E219" s="64"/>
      <c r="F219" s="64"/>
      <c r="G219" s="64"/>
      <c r="H219" s="136"/>
      <c r="I219" s="136"/>
      <c r="J219" s="136"/>
    </row>
    <row r="220" spans="2:10" x14ac:dyDescent="0.3">
      <c r="B220" s="136"/>
      <c r="C220" s="136"/>
      <c r="D220" s="136"/>
      <c r="E220" s="64"/>
      <c r="F220" s="64"/>
      <c r="G220" s="64"/>
      <c r="H220" s="136"/>
      <c r="I220" s="136"/>
      <c r="J220" s="136"/>
    </row>
    <row r="224" spans="2:10" x14ac:dyDescent="0.3">
      <c r="B224" s="136"/>
      <c r="C224" s="136"/>
      <c r="D224" s="136"/>
      <c r="E224" s="64"/>
      <c r="F224" s="64"/>
      <c r="G224" s="64"/>
      <c r="H224" s="136"/>
      <c r="I224" s="136"/>
      <c r="J224" s="136"/>
    </row>
    <row r="225" spans="2:10" x14ac:dyDescent="0.3">
      <c r="B225" s="136"/>
      <c r="C225" s="136"/>
      <c r="D225" s="136"/>
      <c r="E225" s="64"/>
      <c r="F225" s="64"/>
      <c r="G225" s="64"/>
      <c r="H225" s="136"/>
      <c r="I225" s="136"/>
      <c r="J225" s="136"/>
    </row>
    <row r="230" spans="2:10" x14ac:dyDescent="0.3">
      <c r="B230" s="136"/>
      <c r="C230" s="136"/>
      <c r="D230" s="136"/>
      <c r="E230" s="64"/>
      <c r="F230" s="64"/>
      <c r="G230" s="64"/>
      <c r="H230" s="136"/>
      <c r="I230" s="136"/>
      <c r="J230" s="136"/>
    </row>
    <row r="236" spans="2:10" x14ac:dyDescent="0.3">
      <c r="B236" s="136"/>
      <c r="C236" s="136"/>
      <c r="D236" s="136"/>
      <c r="E236" s="64"/>
      <c r="F236" s="64"/>
      <c r="G236" s="64"/>
      <c r="H236" s="136"/>
      <c r="I236" s="136"/>
      <c r="J236" s="136"/>
    </row>
    <row r="237" spans="2:10" x14ac:dyDescent="0.3">
      <c r="B237" s="136"/>
      <c r="C237" s="136"/>
      <c r="D237" s="136"/>
      <c r="E237" s="64"/>
      <c r="F237" s="64"/>
      <c r="G237" s="64"/>
      <c r="H237" s="136"/>
      <c r="I237" s="136"/>
      <c r="J237" s="136"/>
    </row>
    <row r="238" spans="2:10" x14ac:dyDescent="0.3">
      <c r="B238" s="136"/>
      <c r="C238" s="136"/>
      <c r="D238" s="136"/>
      <c r="E238" s="64"/>
      <c r="F238" s="64"/>
      <c r="G238" s="64"/>
      <c r="H238" s="136"/>
      <c r="I238" s="136"/>
      <c r="J238" s="136"/>
    </row>
    <row r="242" spans="2:10" x14ac:dyDescent="0.3">
      <c r="B242" s="136"/>
      <c r="C242" s="136"/>
      <c r="D242" s="136"/>
      <c r="E242" s="64"/>
      <c r="F242" s="64"/>
      <c r="G242" s="64"/>
      <c r="H242" s="136"/>
      <c r="I242" s="136"/>
      <c r="J242" s="136"/>
    </row>
    <row r="243" spans="2:10" x14ac:dyDescent="0.3">
      <c r="B243" s="136"/>
      <c r="C243" s="136"/>
      <c r="D243" s="136"/>
      <c r="E243" s="64"/>
      <c r="F243" s="64"/>
      <c r="G243" s="64"/>
      <c r="H243" s="136"/>
      <c r="I243" s="136"/>
      <c r="J243" s="136"/>
    </row>
    <row r="248" spans="2:10" x14ac:dyDescent="0.3">
      <c r="B248" s="136"/>
      <c r="C248" s="136"/>
      <c r="D248" s="136"/>
      <c r="E248" s="64"/>
      <c r="F248" s="64"/>
      <c r="G248" s="64"/>
      <c r="H248" s="136"/>
      <c r="I248" s="136"/>
      <c r="J248" s="136"/>
    </row>
    <row r="254" spans="2:10" x14ac:dyDescent="0.3">
      <c r="B254" s="136"/>
      <c r="C254" s="136"/>
      <c r="D254" s="136"/>
      <c r="E254" s="64"/>
      <c r="F254" s="64"/>
      <c r="G254" s="64"/>
      <c r="H254" s="136"/>
      <c r="I254" s="136"/>
      <c r="J254" s="136"/>
    </row>
    <row r="255" spans="2:10" x14ac:dyDescent="0.3">
      <c r="B255" s="136"/>
      <c r="C255" s="136"/>
      <c r="D255" s="136"/>
      <c r="E255" s="64"/>
      <c r="F255" s="64"/>
      <c r="G255" s="64"/>
      <c r="H255" s="136"/>
      <c r="I255" s="136"/>
      <c r="J255" s="136"/>
    </row>
    <row r="256" spans="2:10" x14ac:dyDescent="0.3">
      <c r="B256" s="136"/>
      <c r="C256" s="136"/>
      <c r="D256" s="136"/>
      <c r="E256" s="64"/>
      <c r="F256" s="64"/>
      <c r="G256" s="64"/>
      <c r="H256" s="136"/>
      <c r="I256" s="136"/>
      <c r="J256" s="136"/>
    </row>
    <row r="257" spans="2:10" x14ac:dyDescent="0.3">
      <c r="B257" s="136"/>
      <c r="C257" s="136"/>
      <c r="D257" s="136"/>
      <c r="E257" s="64"/>
      <c r="F257" s="64"/>
      <c r="G257" s="64"/>
      <c r="H257" s="136"/>
      <c r="I257" s="136"/>
      <c r="J257" s="136"/>
    </row>
    <row r="260" spans="2:10" x14ac:dyDescent="0.3">
      <c r="B260" s="136"/>
      <c r="C260" s="136"/>
      <c r="D260" s="136"/>
      <c r="E260" s="64"/>
      <c r="F260" s="64"/>
      <c r="G260" s="64"/>
      <c r="H260" s="136"/>
      <c r="I260" s="136"/>
      <c r="J260" s="136"/>
    </row>
    <row r="266" spans="2:10" x14ac:dyDescent="0.3">
      <c r="B266" s="136"/>
      <c r="C266" s="136"/>
      <c r="D266" s="136"/>
      <c r="E266" s="64"/>
      <c r="F266" s="64"/>
      <c r="G266" s="64"/>
      <c r="H266" s="136"/>
      <c r="I266" s="136"/>
      <c r="J266" s="136"/>
    </row>
    <row r="267" spans="2:10" x14ac:dyDescent="0.3">
      <c r="B267" s="136"/>
      <c r="C267" s="136"/>
      <c r="D267" s="136"/>
      <c r="E267" s="64"/>
      <c r="F267" s="64"/>
      <c r="G267" s="64"/>
      <c r="H267" s="136"/>
      <c r="I267" s="136"/>
      <c r="J267" s="136"/>
    </row>
    <row r="272" spans="2:10" x14ac:dyDescent="0.3">
      <c r="B272" s="136"/>
      <c r="C272" s="136"/>
      <c r="D272" s="136"/>
      <c r="E272" s="64"/>
      <c r="F272" s="64"/>
      <c r="G272" s="64"/>
      <c r="H272" s="136"/>
      <c r="I272" s="136"/>
      <c r="J272" s="136"/>
    </row>
    <row r="273" spans="2:10" x14ac:dyDescent="0.3">
      <c r="B273" s="136"/>
      <c r="C273" s="136"/>
      <c r="D273" s="136"/>
      <c r="E273" s="64"/>
      <c r="F273" s="64"/>
      <c r="G273" s="64"/>
      <c r="H273" s="136"/>
      <c r="I273" s="136"/>
      <c r="J273" s="136"/>
    </row>
    <row r="274" spans="2:10" x14ac:dyDescent="0.3">
      <c r="B274" s="136"/>
      <c r="C274" s="136"/>
      <c r="D274" s="136"/>
      <c r="E274" s="64"/>
      <c r="F274" s="64"/>
      <c r="G274" s="64"/>
      <c r="H274" s="136"/>
      <c r="I274" s="136"/>
      <c r="J274" s="136"/>
    </row>
    <row r="275" spans="2:10" x14ac:dyDescent="0.3">
      <c r="B275" s="136"/>
      <c r="C275" s="136"/>
      <c r="D275" s="136"/>
      <c r="E275" s="64"/>
      <c r="F275" s="64"/>
      <c r="G275" s="64"/>
      <c r="H275" s="136"/>
      <c r="I275" s="136"/>
      <c r="J275" s="136"/>
    </row>
    <row r="278" spans="2:10" x14ac:dyDescent="0.3">
      <c r="B278" s="136"/>
      <c r="C278" s="136"/>
      <c r="D278" s="136"/>
      <c r="E278" s="64"/>
      <c r="F278" s="64"/>
      <c r="G278" s="64"/>
      <c r="H278" s="136"/>
      <c r="I278" s="136"/>
      <c r="J278" s="136"/>
    </row>
    <row r="284" spans="2:10" x14ac:dyDescent="0.3">
      <c r="B284" s="136"/>
      <c r="C284" s="136"/>
      <c r="D284" s="136"/>
      <c r="E284" s="64"/>
      <c r="F284" s="64"/>
      <c r="G284" s="64"/>
      <c r="H284" s="136"/>
      <c r="I284" s="136"/>
      <c r="J284" s="136"/>
    </row>
    <row r="290" spans="2:10" x14ac:dyDescent="0.3">
      <c r="B290" s="136"/>
      <c r="C290" s="136"/>
      <c r="D290" s="136"/>
      <c r="E290" s="64"/>
      <c r="F290" s="64"/>
      <c r="G290" s="64"/>
      <c r="H290" s="136"/>
      <c r="I290" s="136"/>
      <c r="J290" s="136"/>
    </row>
    <row r="296" spans="2:10" x14ac:dyDescent="0.3">
      <c r="B296" s="136"/>
      <c r="C296" s="136"/>
      <c r="D296" s="136"/>
      <c r="E296" s="64"/>
      <c r="F296" s="64"/>
      <c r="G296" s="64"/>
      <c r="H296" s="136"/>
      <c r="I296" s="136"/>
      <c r="J296" s="136"/>
    </row>
    <row r="302" spans="2:10" x14ac:dyDescent="0.3">
      <c r="B302" s="136"/>
      <c r="C302" s="136"/>
      <c r="D302" s="136"/>
      <c r="E302" s="64"/>
      <c r="F302" s="64"/>
      <c r="G302" s="64"/>
      <c r="H302" s="136"/>
      <c r="I302" s="136"/>
      <c r="J302" s="136"/>
    </row>
    <row r="303" spans="2:10" x14ac:dyDescent="0.3">
      <c r="B303" s="136"/>
      <c r="C303" s="136"/>
      <c r="D303" s="136"/>
      <c r="E303" s="64"/>
      <c r="F303" s="64"/>
      <c r="G303" s="64"/>
      <c r="H303" s="136"/>
      <c r="I303" s="136"/>
      <c r="J303" s="136"/>
    </row>
    <row r="308" spans="2:10" x14ac:dyDescent="0.3">
      <c r="B308" s="136"/>
      <c r="C308" s="136"/>
      <c r="D308" s="136"/>
      <c r="E308" s="64"/>
      <c r="F308" s="64"/>
      <c r="G308" s="64"/>
      <c r="H308" s="136"/>
      <c r="I308" s="136"/>
      <c r="J308" s="136"/>
    </row>
    <row r="309" spans="2:10" x14ac:dyDescent="0.3">
      <c r="B309" s="136"/>
      <c r="C309" s="136"/>
      <c r="D309" s="136"/>
      <c r="E309" s="64"/>
      <c r="F309" s="64"/>
      <c r="G309" s="64"/>
      <c r="H309" s="136"/>
      <c r="I309" s="136"/>
      <c r="J309" s="136"/>
    </row>
    <row r="314" spans="2:10" x14ac:dyDescent="0.3">
      <c r="B314" s="136"/>
      <c r="C314" s="136"/>
      <c r="D314" s="136"/>
      <c r="E314" s="64"/>
      <c r="F314" s="64"/>
      <c r="G314" s="64"/>
      <c r="H314" s="136"/>
      <c r="I314" s="136"/>
      <c r="J314" s="136"/>
    </row>
    <row r="320" spans="2:10" x14ac:dyDescent="0.3">
      <c r="B320" s="136"/>
      <c r="C320" s="136"/>
      <c r="D320" s="136"/>
      <c r="E320" s="64"/>
      <c r="F320" s="64"/>
      <c r="G320" s="64"/>
      <c r="H320" s="136"/>
      <c r="I320" s="136"/>
      <c r="J320" s="136"/>
    </row>
    <row r="326" spans="2:10" x14ac:dyDescent="0.3">
      <c r="B326" s="136"/>
      <c r="C326" s="136"/>
      <c r="D326" s="136"/>
      <c r="E326" s="64"/>
      <c r="F326" s="64"/>
      <c r="G326" s="64"/>
      <c r="H326" s="136"/>
      <c r="I326" s="136"/>
      <c r="J326" s="136"/>
    </row>
    <row r="327" spans="2:10" x14ac:dyDescent="0.3">
      <c r="B327" s="136"/>
      <c r="C327" s="136"/>
      <c r="D327" s="136"/>
      <c r="E327" s="64"/>
      <c r="F327" s="64"/>
      <c r="G327" s="64"/>
      <c r="H327" s="136"/>
      <c r="I327" s="136"/>
      <c r="J327" s="136"/>
    </row>
    <row r="332" spans="2:10" x14ac:dyDescent="0.3">
      <c r="B332" s="136"/>
      <c r="C332" s="136"/>
      <c r="D332" s="136"/>
      <c r="E332" s="64"/>
      <c r="F332" s="64"/>
      <c r="G332" s="64"/>
      <c r="H332" s="136"/>
      <c r="I332" s="136"/>
      <c r="J332" s="136"/>
    </row>
    <row r="333" spans="2:10" x14ac:dyDescent="0.3">
      <c r="B333" s="136"/>
      <c r="C333" s="136"/>
      <c r="D333" s="136"/>
      <c r="E333" s="64"/>
      <c r="F333" s="64"/>
      <c r="G333" s="64"/>
      <c r="H333" s="136"/>
      <c r="I333" s="136"/>
      <c r="J333" s="136"/>
    </row>
    <row r="334" spans="2:10" x14ac:dyDescent="0.3">
      <c r="B334" s="136"/>
      <c r="C334" s="136"/>
      <c r="D334" s="136"/>
      <c r="E334" s="64"/>
      <c r="F334" s="64"/>
      <c r="G334" s="64"/>
      <c r="H334" s="136"/>
      <c r="I334" s="136"/>
      <c r="J334" s="136"/>
    </row>
    <row r="338" spans="2:10" x14ac:dyDescent="0.3">
      <c r="B338" s="136"/>
      <c r="C338" s="136"/>
      <c r="D338" s="136"/>
      <c r="E338" s="64"/>
      <c r="F338" s="64"/>
      <c r="G338" s="64"/>
      <c r="H338" s="136"/>
      <c r="I338" s="136"/>
      <c r="J338" s="136"/>
    </row>
    <row r="339" spans="2:10" x14ac:dyDescent="0.3">
      <c r="B339" s="136"/>
      <c r="C339" s="136"/>
      <c r="D339" s="136"/>
      <c r="E339" s="64"/>
      <c r="F339" s="64"/>
      <c r="G339" s="64"/>
      <c r="H339" s="136"/>
      <c r="I339" s="136"/>
      <c r="J339" s="136"/>
    </row>
    <row r="344" spans="2:10" x14ac:dyDescent="0.3">
      <c r="B344" s="136"/>
      <c r="C344" s="136"/>
      <c r="D344" s="136"/>
      <c r="E344" s="64"/>
      <c r="F344" s="64"/>
      <c r="G344" s="64"/>
      <c r="H344" s="136"/>
      <c r="I344" s="136"/>
      <c r="J344" s="136"/>
    </row>
    <row r="350" spans="2:10" x14ac:dyDescent="0.3">
      <c r="B350" s="136"/>
      <c r="C350" s="136"/>
      <c r="D350" s="136"/>
      <c r="E350" s="64"/>
      <c r="F350" s="64"/>
      <c r="G350" s="64"/>
      <c r="H350" s="136"/>
      <c r="I350" s="136"/>
      <c r="J350" s="136"/>
    </row>
    <row r="351" spans="2:10" x14ac:dyDescent="0.3">
      <c r="B351" s="136"/>
      <c r="C351" s="136"/>
      <c r="D351" s="136"/>
      <c r="E351" s="64"/>
      <c r="F351" s="64"/>
      <c r="G351" s="64"/>
      <c r="H351" s="136"/>
      <c r="I351" s="136"/>
      <c r="J351" s="136"/>
    </row>
    <row r="352" spans="2:10" x14ac:dyDescent="0.3">
      <c r="B352" s="136"/>
      <c r="C352" s="136"/>
      <c r="D352" s="136"/>
      <c r="E352" s="64"/>
      <c r="F352" s="64"/>
      <c r="G352" s="64"/>
      <c r="H352" s="136"/>
      <c r="I352" s="136"/>
      <c r="J352" s="136"/>
    </row>
    <row r="356" spans="2:10" x14ac:dyDescent="0.3">
      <c r="B356" s="136"/>
      <c r="C356" s="136"/>
      <c r="D356" s="136"/>
      <c r="E356" s="64"/>
      <c r="F356" s="64"/>
      <c r="G356" s="64"/>
      <c r="H356" s="136"/>
      <c r="I356" s="136"/>
      <c r="J356" s="136"/>
    </row>
    <row r="357" spans="2:10" x14ac:dyDescent="0.3">
      <c r="B357" s="136"/>
      <c r="C357" s="136"/>
      <c r="D357" s="136"/>
      <c r="E357" s="64"/>
      <c r="F357" s="64"/>
      <c r="G357" s="64"/>
      <c r="H357" s="136"/>
      <c r="I357" s="136"/>
      <c r="J357" s="136"/>
    </row>
    <row r="362" spans="2:10" x14ac:dyDescent="0.3">
      <c r="B362" s="136"/>
      <c r="C362" s="136"/>
      <c r="D362" s="136"/>
      <c r="E362" s="64"/>
      <c r="F362" s="64"/>
      <c r="G362" s="64"/>
      <c r="H362" s="136"/>
      <c r="I362" s="136"/>
      <c r="J362" s="136"/>
    </row>
    <row r="368" spans="2:10" x14ac:dyDescent="0.3">
      <c r="B368" s="136"/>
      <c r="C368" s="136"/>
      <c r="D368" s="136"/>
      <c r="E368" s="64"/>
      <c r="F368" s="64"/>
      <c r="G368" s="64"/>
      <c r="H368" s="136"/>
      <c r="I368" s="136"/>
      <c r="J368" s="136"/>
    </row>
    <row r="369" spans="2:10" x14ac:dyDescent="0.3">
      <c r="B369" s="136"/>
      <c r="C369" s="136"/>
      <c r="D369" s="136"/>
      <c r="E369" s="64"/>
      <c r="F369" s="64"/>
      <c r="G369" s="64"/>
      <c r="H369" s="136"/>
      <c r="I369" s="136"/>
      <c r="J369" s="136"/>
    </row>
    <row r="370" spans="2:10" x14ac:dyDescent="0.3">
      <c r="B370" s="136"/>
      <c r="C370" s="136"/>
      <c r="D370" s="136"/>
      <c r="E370" s="64"/>
      <c r="F370" s="64"/>
      <c r="G370" s="64"/>
      <c r="H370" s="136"/>
      <c r="I370" s="136"/>
      <c r="J370" s="136"/>
    </row>
    <row r="371" spans="2:10" x14ac:dyDescent="0.3">
      <c r="B371" s="136"/>
      <c r="C371" s="136"/>
      <c r="D371" s="136"/>
      <c r="E371" s="64"/>
      <c r="F371" s="64"/>
      <c r="G371" s="64"/>
      <c r="H371" s="136"/>
      <c r="I371" s="136"/>
      <c r="J371" s="136"/>
    </row>
    <row r="374" spans="2:10" x14ac:dyDescent="0.3">
      <c r="B374" s="136"/>
      <c r="C374" s="136"/>
      <c r="D374" s="136"/>
      <c r="E374" s="64"/>
      <c r="F374" s="64"/>
      <c r="G374" s="64"/>
      <c r="H374" s="136"/>
      <c r="I374" s="136"/>
      <c r="J374" s="136"/>
    </row>
    <row r="380" spans="2:10" x14ac:dyDescent="0.3">
      <c r="B380" s="136"/>
      <c r="C380" s="136"/>
      <c r="D380" s="136"/>
      <c r="E380" s="64"/>
      <c r="F380" s="64"/>
      <c r="G380" s="64"/>
      <c r="H380" s="136"/>
      <c r="I380" s="136"/>
      <c r="J380" s="136"/>
    </row>
    <row r="381" spans="2:10" x14ac:dyDescent="0.3">
      <c r="B381" s="136"/>
      <c r="C381" s="136"/>
      <c r="D381" s="136"/>
      <c r="E381" s="64"/>
      <c r="F381" s="64"/>
      <c r="G381" s="64"/>
      <c r="H381" s="136"/>
      <c r="I381" s="136"/>
      <c r="J381" s="136"/>
    </row>
    <row r="383" spans="2:10" x14ac:dyDescent="0.3">
      <c r="B383" s="136"/>
      <c r="C383" s="136"/>
      <c r="D383" s="136"/>
      <c r="E383" s="64"/>
      <c r="F383" s="64"/>
      <c r="G383" s="64"/>
      <c r="H383" s="136"/>
      <c r="I383" s="136"/>
      <c r="J383" s="136"/>
    </row>
    <row r="389" spans="2:10" x14ac:dyDescent="0.3">
      <c r="B389" s="136"/>
      <c r="C389" s="136"/>
      <c r="D389" s="136"/>
      <c r="E389" s="64"/>
      <c r="F389" s="64"/>
      <c r="G389" s="64"/>
      <c r="H389" s="136"/>
      <c r="I389" s="136"/>
      <c r="J389" s="136"/>
    </row>
    <row r="390" spans="2:10" x14ac:dyDescent="0.3">
      <c r="B390" s="136"/>
      <c r="C390" s="136"/>
      <c r="D390" s="136"/>
      <c r="E390" s="64"/>
      <c r="F390" s="64"/>
      <c r="G390" s="64"/>
      <c r="H390" s="136"/>
      <c r="I390" s="136"/>
      <c r="J390" s="136"/>
    </row>
    <row r="395" spans="2:10" x14ac:dyDescent="0.3">
      <c r="B395" s="136"/>
      <c r="C395" s="136"/>
      <c r="D395" s="136"/>
      <c r="E395" s="64"/>
      <c r="F395" s="64"/>
      <c r="G395" s="64"/>
      <c r="H395" s="136"/>
      <c r="I395" s="136"/>
      <c r="J395" s="136"/>
    </row>
    <row r="396" spans="2:10" x14ac:dyDescent="0.3">
      <c r="B396" s="136"/>
      <c r="C396" s="136"/>
      <c r="D396" s="136"/>
      <c r="E396" s="64"/>
      <c r="F396" s="64"/>
      <c r="G396" s="64"/>
      <c r="H396" s="136"/>
      <c r="I396" s="136"/>
      <c r="J396" s="136"/>
    </row>
    <row r="397" spans="2:10" x14ac:dyDescent="0.3">
      <c r="B397" s="136"/>
      <c r="C397" s="136"/>
      <c r="D397" s="136"/>
      <c r="E397" s="64"/>
      <c r="F397" s="64"/>
      <c r="G397" s="64"/>
      <c r="H397" s="136"/>
      <c r="I397" s="136"/>
      <c r="J397" s="136"/>
    </row>
    <row r="398" spans="2:10" x14ac:dyDescent="0.3">
      <c r="B398" s="136"/>
      <c r="C398" s="136"/>
      <c r="D398" s="136"/>
      <c r="E398" s="64"/>
      <c r="F398" s="64"/>
      <c r="G398" s="64"/>
      <c r="H398" s="136"/>
      <c r="I398" s="136"/>
      <c r="J398" s="136"/>
    </row>
    <row r="399" spans="2:10" x14ac:dyDescent="0.3">
      <c r="B399" s="136"/>
      <c r="C399" s="136"/>
      <c r="D399" s="136"/>
      <c r="E399" s="64"/>
      <c r="F399" s="64"/>
      <c r="G399" s="64"/>
      <c r="H399" s="136"/>
      <c r="I399" s="136"/>
      <c r="J399" s="136"/>
    </row>
    <row r="400" spans="2:10" x14ac:dyDescent="0.3">
      <c r="B400" s="136"/>
      <c r="C400" s="136"/>
      <c r="D400" s="136"/>
      <c r="E400" s="64"/>
      <c r="F400" s="64"/>
      <c r="G400" s="64"/>
      <c r="H400" s="136"/>
      <c r="I400" s="136"/>
      <c r="J400" s="136"/>
    </row>
    <row r="401" spans="2:10" x14ac:dyDescent="0.3">
      <c r="B401" s="136"/>
      <c r="C401" s="136"/>
      <c r="D401" s="136"/>
      <c r="E401" s="64"/>
      <c r="F401" s="64"/>
      <c r="G401" s="64"/>
      <c r="H401" s="136"/>
      <c r="I401" s="136"/>
      <c r="J401" s="136"/>
    </row>
    <row r="402" spans="2:10" x14ac:dyDescent="0.3">
      <c r="B402" s="136"/>
      <c r="C402" s="136"/>
      <c r="D402" s="136"/>
      <c r="E402" s="64"/>
      <c r="F402" s="64"/>
      <c r="G402" s="64"/>
      <c r="H402" s="136"/>
      <c r="I402" s="136"/>
      <c r="J402" s="136"/>
    </row>
  </sheetData>
  <autoFilter ref="K2:M2" xr:uid="{CE989A00-3C9C-4649-9815-06CC07EBF763}">
    <sortState xmlns:xlrd2="http://schemas.microsoft.com/office/spreadsheetml/2017/richdata2" ref="K3:M23">
      <sortCondition descending="1" ref="L2"/>
    </sortState>
  </autoFilter>
  <sortState xmlns:xlrd2="http://schemas.microsoft.com/office/spreadsheetml/2017/richdata2" ref="K3:L25">
    <sortCondition descending="1" ref="L3:L25"/>
  </sortState>
  <mergeCells count="219">
    <mergeCell ref="M1:O1"/>
    <mergeCell ref="P1:R1"/>
    <mergeCell ref="S1:U1"/>
    <mergeCell ref="V1:X1"/>
    <mergeCell ref="B70:D70"/>
    <mergeCell ref="H70:J70"/>
    <mergeCell ref="B64:D64"/>
    <mergeCell ref="H64:J64"/>
    <mergeCell ref="B82:D82"/>
    <mergeCell ref="H82:J82"/>
    <mergeCell ref="B1:I1"/>
    <mergeCell ref="B83:D83"/>
    <mergeCell ref="H83:J83"/>
    <mergeCell ref="B76:D76"/>
    <mergeCell ref="H76:J76"/>
    <mergeCell ref="B94:D94"/>
    <mergeCell ref="H94:J94"/>
    <mergeCell ref="B88:D88"/>
    <mergeCell ref="H88:J88"/>
    <mergeCell ref="B89:D89"/>
    <mergeCell ref="H89:J89"/>
    <mergeCell ref="B106:D106"/>
    <mergeCell ref="H106:J106"/>
    <mergeCell ref="B107:D107"/>
    <mergeCell ref="H107:J107"/>
    <mergeCell ref="B100:D100"/>
    <mergeCell ref="H100:J100"/>
    <mergeCell ref="B112:D112"/>
    <mergeCell ref="H112:J112"/>
    <mergeCell ref="B113:D113"/>
    <mergeCell ref="H113:J113"/>
    <mergeCell ref="B114:D114"/>
    <mergeCell ref="H114:J114"/>
    <mergeCell ref="B124:D124"/>
    <mergeCell ref="H124:J124"/>
    <mergeCell ref="B118:D118"/>
    <mergeCell ref="H118:J118"/>
    <mergeCell ref="B119:D119"/>
    <mergeCell ref="H119:J119"/>
    <mergeCell ref="B130:D130"/>
    <mergeCell ref="H130:J130"/>
    <mergeCell ref="B131:D131"/>
    <mergeCell ref="H131:J131"/>
    <mergeCell ref="B132:D132"/>
    <mergeCell ref="H132:J132"/>
    <mergeCell ref="B151:D151"/>
    <mergeCell ref="H151:J151"/>
    <mergeCell ref="B142:D142"/>
    <mergeCell ref="H142:J142"/>
    <mergeCell ref="B136:D136"/>
    <mergeCell ref="H136:J136"/>
    <mergeCell ref="B137:D137"/>
    <mergeCell ref="H137:J137"/>
    <mergeCell ref="B148:D148"/>
    <mergeCell ref="H148:J148"/>
    <mergeCell ref="B149:D149"/>
    <mergeCell ref="H149:J149"/>
    <mergeCell ref="B150:D150"/>
    <mergeCell ref="H150:J150"/>
    <mergeCell ref="B160:D160"/>
    <mergeCell ref="H160:J160"/>
    <mergeCell ref="B161:D161"/>
    <mergeCell ref="H161:J161"/>
    <mergeCell ref="B154:D154"/>
    <mergeCell ref="H154:J154"/>
    <mergeCell ref="B176:D176"/>
    <mergeCell ref="H176:J176"/>
    <mergeCell ref="B170:D170"/>
    <mergeCell ref="H170:J170"/>
    <mergeCell ref="B164:D164"/>
    <mergeCell ref="H164:J164"/>
    <mergeCell ref="B188:D188"/>
    <mergeCell ref="H188:J188"/>
    <mergeCell ref="B189:D189"/>
    <mergeCell ref="H189:J189"/>
    <mergeCell ref="B182:D182"/>
    <mergeCell ref="H182:J182"/>
    <mergeCell ref="B200:D200"/>
    <mergeCell ref="H200:J200"/>
    <mergeCell ref="B194:D194"/>
    <mergeCell ref="H194:J194"/>
    <mergeCell ref="B195:D195"/>
    <mergeCell ref="H195:J195"/>
    <mergeCell ref="B212:D212"/>
    <mergeCell ref="H212:J212"/>
    <mergeCell ref="B213:D213"/>
    <mergeCell ref="H213:J213"/>
    <mergeCell ref="B206:D206"/>
    <mergeCell ref="H206:J206"/>
    <mergeCell ref="B218:D218"/>
    <mergeCell ref="H218:J218"/>
    <mergeCell ref="B219:D219"/>
    <mergeCell ref="H219:J219"/>
    <mergeCell ref="B220:D220"/>
    <mergeCell ref="H220:J220"/>
    <mergeCell ref="B230:D230"/>
    <mergeCell ref="H230:J230"/>
    <mergeCell ref="B224:D224"/>
    <mergeCell ref="H224:J224"/>
    <mergeCell ref="B225:D225"/>
    <mergeCell ref="H225:J225"/>
    <mergeCell ref="B236:D236"/>
    <mergeCell ref="H236:J236"/>
    <mergeCell ref="B237:D237"/>
    <mergeCell ref="H237:J237"/>
    <mergeCell ref="B238:D238"/>
    <mergeCell ref="H238:J238"/>
    <mergeCell ref="B248:D248"/>
    <mergeCell ref="H248:J248"/>
    <mergeCell ref="B242:D242"/>
    <mergeCell ref="H242:J242"/>
    <mergeCell ref="B243:D243"/>
    <mergeCell ref="H243:J243"/>
    <mergeCell ref="B260:D260"/>
    <mergeCell ref="H260:J260"/>
    <mergeCell ref="B254:D254"/>
    <mergeCell ref="H254:J254"/>
    <mergeCell ref="B255:D255"/>
    <mergeCell ref="H255:J255"/>
    <mergeCell ref="B256:D256"/>
    <mergeCell ref="H256:J256"/>
    <mergeCell ref="B257:D257"/>
    <mergeCell ref="H257:J257"/>
    <mergeCell ref="B275:D275"/>
    <mergeCell ref="H275:J275"/>
    <mergeCell ref="B266:D266"/>
    <mergeCell ref="H266:J266"/>
    <mergeCell ref="B267:D267"/>
    <mergeCell ref="H267:J267"/>
    <mergeCell ref="B272:D272"/>
    <mergeCell ref="H272:J272"/>
    <mergeCell ref="B273:D273"/>
    <mergeCell ref="H273:J273"/>
    <mergeCell ref="B274:D274"/>
    <mergeCell ref="H274:J274"/>
    <mergeCell ref="B368:D368"/>
    <mergeCell ref="H368:J368"/>
    <mergeCell ref="B369:D369"/>
    <mergeCell ref="H369:J369"/>
    <mergeCell ref="B370:D370"/>
    <mergeCell ref="H370:J370"/>
    <mergeCell ref="B371:D371"/>
    <mergeCell ref="H371:J371"/>
    <mergeCell ref="B401:D401"/>
    <mergeCell ref="H401:J401"/>
    <mergeCell ref="B389:D389"/>
    <mergeCell ref="H389:J389"/>
    <mergeCell ref="B390:D390"/>
    <mergeCell ref="H390:J390"/>
    <mergeCell ref="B383:D383"/>
    <mergeCell ref="H383:J383"/>
    <mergeCell ref="B380:D380"/>
    <mergeCell ref="H380:J380"/>
    <mergeCell ref="B381:D381"/>
    <mergeCell ref="H381:J381"/>
    <mergeCell ref="B374:D374"/>
    <mergeCell ref="H374:J374"/>
    <mergeCell ref="B402:D402"/>
    <mergeCell ref="H402:J402"/>
    <mergeCell ref="B395:D395"/>
    <mergeCell ref="H395:J395"/>
    <mergeCell ref="B396:D396"/>
    <mergeCell ref="H396:J396"/>
    <mergeCell ref="B397:D397"/>
    <mergeCell ref="H397:J397"/>
    <mergeCell ref="B398:D398"/>
    <mergeCell ref="H398:J398"/>
    <mergeCell ref="B399:D399"/>
    <mergeCell ref="H399:J399"/>
    <mergeCell ref="B400:D400"/>
    <mergeCell ref="H400:J400"/>
    <mergeCell ref="B362:D362"/>
    <mergeCell ref="H362:J362"/>
    <mergeCell ref="B356:D356"/>
    <mergeCell ref="H356:J356"/>
    <mergeCell ref="B357:D357"/>
    <mergeCell ref="H357:J357"/>
    <mergeCell ref="B350:D350"/>
    <mergeCell ref="H350:J350"/>
    <mergeCell ref="B351:D351"/>
    <mergeCell ref="H351:J351"/>
    <mergeCell ref="B352:D352"/>
    <mergeCell ref="H352:J352"/>
    <mergeCell ref="B344:D344"/>
    <mergeCell ref="H344:J344"/>
    <mergeCell ref="B338:D338"/>
    <mergeCell ref="H338:J338"/>
    <mergeCell ref="B339:D339"/>
    <mergeCell ref="H339:J339"/>
    <mergeCell ref="B332:D332"/>
    <mergeCell ref="H332:J332"/>
    <mergeCell ref="B333:D333"/>
    <mergeCell ref="H333:J333"/>
    <mergeCell ref="B334:D334"/>
    <mergeCell ref="H334:J334"/>
    <mergeCell ref="B326:D326"/>
    <mergeCell ref="H326:J326"/>
    <mergeCell ref="B327:D327"/>
    <mergeCell ref="H327:J327"/>
    <mergeCell ref="B320:D320"/>
    <mergeCell ref="H320:J320"/>
    <mergeCell ref="B314:D314"/>
    <mergeCell ref="H314:J314"/>
    <mergeCell ref="B308:D308"/>
    <mergeCell ref="H308:J308"/>
    <mergeCell ref="B309:D309"/>
    <mergeCell ref="H309:J309"/>
    <mergeCell ref="B278:D278"/>
    <mergeCell ref="H278:J278"/>
    <mergeCell ref="B302:D302"/>
    <mergeCell ref="H302:J302"/>
    <mergeCell ref="B303:D303"/>
    <mergeCell ref="H303:J303"/>
    <mergeCell ref="B296:D296"/>
    <mergeCell ref="H296:J296"/>
    <mergeCell ref="B290:D290"/>
    <mergeCell ref="H290:J290"/>
    <mergeCell ref="B284:D284"/>
    <mergeCell ref="H284:J284"/>
  </mergeCells>
  <phoneticPr fontId="10" type="noConversion"/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E42DB-B221-4F05-851F-2A9304BBC275}">
  <sheetPr codeName="Planilha34"/>
  <dimension ref="A1:F229"/>
  <sheetViews>
    <sheetView zoomScale="85" zoomScaleNormal="85" workbookViewId="0">
      <selection activeCell="A63" sqref="A63:E69"/>
    </sheetView>
  </sheetViews>
  <sheetFormatPr defaultRowHeight="14.4" x14ac:dyDescent="0.3"/>
  <cols>
    <col min="1" max="1" width="15.33203125" style="12" customWidth="1"/>
    <col min="2" max="4" width="6.33203125" style="2" customWidth="1"/>
    <col min="5" max="5" width="15.33203125" style="13" customWidth="1"/>
  </cols>
  <sheetData>
    <row r="1" spans="1:5" x14ac:dyDescent="0.3">
      <c r="A1" s="12" t="s">
        <v>99</v>
      </c>
    </row>
    <row r="2" spans="1:5" x14ac:dyDescent="0.3">
      <c r="A2" s="12" t="s">
        <v>12</v>
      </c>
      <c r="B2" s="2">
        <v>2</v>
      </c>
      <c r="C2" s="2" t="s">
        <v>33</v>
      </c>
      <c r="D2" s="2">
        <v>1</v>
      </c>
      <c r="E2" s="13" t="s">
        <v>122</v>
      </c>
    </row>
    <row r="3" spans="1:5" x14ac:dyDescent="0.3">
      <c r="A3" s="12" t="s">
        <v>5</v>
      </c>
      <c r="B3" s="2">
        <v>2</v>
      </c>
      <c r="C3" s="2" t="s">
        <v>33</v>
      </c>
      <c r="D3" s="2">
        <v>1</v>
      </c>
      <c r="E3" s="13" t="s">
        <v>6</v>
      </c>
    </row>
    <row r="4" spans="1:5" x14ac:dyDescent="0.3">
      <c r="A4" s="12" t="s">
        <v>14</v>
      </c>
      <c r="B4" s="2">
        <v>1</v>
      </c>
      <c r="C4" s="2" t="s">
        <v>33</v>
      </c>
      <c r="D4" s="2">
        <v>2</v>
      </c>
      <c r="E4" s="13" t="s">
        <v>9</v>
      </c>
    </row>
    <row r="5" spans="1:5" x14ac:dyDescent="0.3">
      <c r="A5" s="12" t="s">
        <v>8</v>
      </c>
      <c r="B5" s="2">
        <v>2</v>
      </c>
      <c r="C5" s="2" t="s">
        <v>33</v>
      </c>
      <c r="D5" s="2">
        <v>0</v>
      </c>
      <c r="E5" s="13" t="s">
        <v>123</v>
      </c>
    </row>
    <row r="6" spans="1:5" x14ac:dyDescent="0.3">
      <c r="A6" s="12" t="s">
        <v>13</v>
      </c>
      <c r="B6" s="2">
        <v>2</v>
      </c>
      <c r="C6" s="2" t="s">
        <v>33</v>
      </c>
      <c r="D6" s="2">
        <v>0</v>
      </c>
      <c r="E6" s="13" t="s">
        <v>18</v>
      </c>
    </row>
    <row r="7" spans="1:5" x14ac:dyDescent="0.3">
      <c r="A7" s="12" t="s">
        <v>11</v>
      </c>
      <c r="B7" s="2">
        <v>2</v>
      </c>
      <c r="C7" s="2" t="s">
        <v>33</v>
      </c>
      <c r="D7" s="2">
        <v>1</v>
      </c>
      <c r="E7" s="13" t="s">
        <v>16</v>
      </c>
    </row>
    <row r="8" spans="1:5" x14ac:dyDescent="0.3">
      <c r="A8" s="12" t="s">
        <v>15</v>
      </c>
      <c r="B8" s="2">
        <v>2</v>
      </c>
      <c r="C8" s="2" t="s">
        <v>33</v>
      </c>
      <c r="D8" s="2">
        <v>1</v>
      </c>
      <c r="E8" s="13" t="s">
        <v>10</v>
      </c>
    </row>
    <row r="9" spans="1:5" x14ac:dyDescent="0.3">
      <c r="A9" s="12" t="s">
        <v>17</v>
      </c>
      <c r="B9" s="2">
        <v>2</v>
      </c>
      <c r="C9" s="2" t="s">
        <v>33</v>
      </c>
      <c r="D9" s="2">
        <v>2</v>
      </c>
      <c r="E9" s="13" t="s">
        <v>19</v>
      </c>
    </row>
    <row r="11" spans="1:5" x14ac:dyDescent="0.3">
      <c r="A11" s="12" t="s">
        <v>100</v>
      </c>
    </row>
    <row r="12" spans="1:5" x14ac:dyDescent="0.3">
      <c r="A12" s="12" t="s">
        <v>12</v>
      </c>
      <c r="B12" s="2">
        <v>1</v>
      </c>
      <c r="C12" s="2" t="s">
        <v>33</v>
      </c>
      <c r="D12" s="2">
        <v>1</v>
      </c>
      <c r="E12" s="13" t="s">
        <v>122</v>
      </c>
    </row>
    <row r="13" spans="1:5" x14ac:dyDescent="0.3">
      <c r="A13" s="12" t="s">
        <v>5</v>
      </c>
      <c r="B13" s="2">
        <v>1</v>
      </c>
      <c r="C13" s="2" t="s">
        <v>33</v>
      </c>
      <c r="D13" s="2">
        <v>1</v>
      </c>
      <c r="E13" s="13" t="s">
        <v>6</v>
      </c>
    </row>
    <row r="14" spans="1:5" x14ac:dyDescent="0.3">
      <c r="A14" s="12" t="s">
        <v>14</v>
      </c>
      <c r="B14" s="2">
        <v>1</v>
      </c>
      <c r="C14" s="2" t="s">
        <v>33</v>
      </c>
      <c r="D14" s="2">
        <v>1</v>
      </c>
      <c r="E14" s="13" t="s">
        <v>9</v>
      </c>
    </row>
    <row r="15" spans="1:5" x14ac:dyDescent="0.3">
      <c r="A15" s="12" t="s">
        <v>8</v>
      </c>
      <c r="B15" s="2">
        <v>1</v>
      </c>
      <c r="C15" s="2" t="s">
        <v>33</v>
      </c>
      <c r="D15" s="2">
        <v>1</v>
      </c>
      <c r="E15" s="13" t="s">
        <v>123</v>
      </c>
    </row>
    <row r="16" spans="1:5" x14ac:dyDescent="0.3">
      <c r="A16" s="12" t="s">
        <v>13</v>
      </c>
      <c r="B16" s="2">
        <v>1</v>
      </c>
      <c r="C16" s="2" t="s">
        <v>33</v>
      </c>
      <c r="D16" s="2">
        <v>1</v>
      </c>
      <c r="E16" s="13" t="s">
        <v>18</v>
      </c>
    </row>
    <row r="17" spans="1:5" x14ac:dyDescent="0.3">
      <c r="A17" s="12" t="s">
        <v>11</v>
      </c>
      <c r="B17" s="2">
        <v>1</v>
      </c>
      <c r="C17" s="2" t="s">
        <v>33</v>
      </c>
      <c r="D17" s="2">
        <v>1</v>
      </c>
      <c r="E17" s="13" t="s">
        <v>16</v>
      </c>
    </row>
    <row r="18" spans="1:5" x14ac:dyDescent="0.3">
      <c r="A18" s="12" t="s">
        <v>15</v>
      </c>
      <c r="B18" s="2">
        <v>1</v>
      </c>
      <c r="C18" s="2" t="s">
        <v>33</v>
      </c>
      <c r="D18" s="2">
        <v>1</v>
      </c>
      <c r="E18" s="13" t="s">
        <v>10</v>
      </c>
    </row>
    <row r="19" spans="1:5" x14ac:dyDescent="0.3">
      <c r="A19" s="12" t="s">
        <v>17</v>
      </c>
      <c r="B19" s="2">
        <v>1</v>
      </c>
      <c r="C19" s="2" t="s">
        <v>33</v>
      </c>
      <c r="D19" s="2">
        <v>1</v>
      </c>
      <c r="E19" s="13" t="s">
        <v>19</v>
      </c>
    </row>
    <row r="21" spans="1:5" x14ac:dyDescent="0.3">
      <c r="A21" s="12" t="s">
        <v>101</v>
      </c>
    </row>
    <row r="22" spans="1:5" x14ac:dyDescent="0.3">
      <c r="A22" s="12" t="s">
        <v>12</v>
      </c>
      <c r="B22" s="2">
        <v>2</v>
      </c>
      <c r="C22" s="2" t="s">
        <v>33</v>
      </c>
      <c r="D22" s="2">
        <v>1</v>
      </c>
      <c r="E22" s="13" t="s">
        <v>122</v>
      </c>
    </row>
    <row r="23" spans="1:5" x14ac:dyDescent="0.3">
      <c r="A23" s="12" t="s">
        <v>5</v>
      </c>
      <c r="B23" s="2">
        <v>2</v>
      </c>
      <c r="C23" s="2" t="s">
        <v>33</v>
      </c>
      <c r="D23" s="2">
        <v>0</v>
      </c>
      <c r="E23" s="13" t="s">
        <v>6</v>
      </c>
    </row>
    <row r="24" spans="1:5" x14ac:dyDescent="0.3">
      <c r="A24" s="12" t="s">
        <v>14</v>
      </c>
      <c r="B24" s="2">
        <v>1</v>
      </c>
      <c r="C24" s="2" t="s">
        <v>33</v>
      </c>
      <c r="D24" s="2">
        <v>2</v>
      </c>
      <c r="E24" s="13" t="s">
        <v>9</v>
      </c>
    </row>
    <row r="25" spans="1:5" x14ac:dyDescent="0.3">
      <c r="A25" s="12" t="s">
        <v>8</v>
      </c>
      <c r="B25" s="2">
        <v>2</v>
      </c>
      <c r="C25" s="2" t="s">
        <v>33</v>
      </c>
      <c r="D25" s="2">
        <v>0</v>
      </c>
      <c r="E25" s="13" t="s">
        <v>123</v>
      </c>
    </row>
    <row r="26" spans="1:5" x14ac:dyDescent="0.3">
      <c r="A26" s="12" t="s">
        <v>13</v>
      </c>
      <c r="B26" s="2">
        <v>1</v>
      </c>
      <c r="C26" s="2" t="s">
        <v>33</v>
      </c>
      <c r="D26" s="2">
        <v>2</v>
      </c>
      <c r="E26" s="13" t="s">
        <v>18</v>
      </c>
    </row>
    <row r="27" spans="1:5" x14ac:dyDescent="0.3">
      <c r="A27" s="12" t="s">
        <v>11</v>
      </c>
      <c r="B27" s="2">
        <v>2</v>
      </c>
      <c r="C27" s="2" t="s">
        <v>33</v>
      </c>
      <c r="D27" s="2">
        <v>0</v>
      </c>
      <c r="E27" s="13" t="s">
        <v>16</v>
      </c>
    </row>
    <row r="28" spans="1:5" x14ac:dyDescent="0.3">
      <c r="A28" s="12" t="s">
        <v>15</v>
      </c>
      <c r="B28" s="2">
        <v>1</v>
      </c>
      <c r="C28" s="2" t="s">
        <v>33</v>
      </c>
      <c r="D28" s="2">
        <v>3</v>
      </c>
      <c r="E28" s="13" t="s">
        <v>10</v>
      </c>
    </row>
    <row r="29" spans="1:5" x14ac:dyDescent="0.3">
      <c r="A29" s="12" t="s">
        <v>17</v>
      </c>
      <c r="B29" s="2">
        <v>1</v>
      </c>
      <c r="C29" s="2" t="s">
        <v>33</v>
      </c>
      <c r="D29" s="2">
        <v>0</v>
      </c>
      <c r="E29" s="13" t="s">
        <v>19</v>
      </c>
    </row>
    <row r="31" spans="1:5" x14ac:dyDescent="0.3">
      <c r="A31" s="12" t="s">
        <v>102</v>
      </c>
    </row>
    <row r="32" spans="1:5" x14ac:dyDescent="0.3">
      <c r="A32" s="12" t="s">
        <v>12</v>
      </c>
      <c r="B32" s="2">
        <v>3</v>
      </c>
      <c r="C32" s="2" t="s">
        <v>33</v>
      </c>
      <c r="D32" s="2">
        <v>2</v>
      </c>
      <c r="E32" s="13" t="s">
        <v>122</v>
      </c>
    </row>
    <row r="33" spans="1:5" x14ac:dyDescent="0.3">
      <c r="A33" s="12" t="s">
        <v>5</v>
      </c>
      <c r="B33" s="2">
        <v>3</v>
      </c>
      <c r="C33" s="2" t="s">
        <v>33</v>
      </c>
      <c r="D33" s="2">
        <v>1</v>
      </c>
      <c r="E33" s="13" t="s">
        <v>6</v>
      </c>
    </row>
    <row r="34" spans="1:5" x14ac:dyDescent="0.3">
      <c r="A34" s="12" t="s">
        <v>14</v>
      </c>
      <c r="B34" s="2">
        <v>2</v>
      </c>
      <c r="C34" s="2" t="s">
        <v>33</v>
      </c>
      <c r="D34" s="2">
        <v>3</v>
      </c>
      <c r="E34" s="13" t="s">
        <v>9</v>
      </c>
    </row>
    <row r="35" spans="1:5" x14ac:dyDescent="0.3">
      <c r="A35" s="12" t="s">
        <v>8</v>
      </c>
      <c r="B35" s="2">
        <v>3</v>
      </c>
      <c r="C35" s="2" t="s">
        <v>33</v>
      </c>
      <c r="D35" s="2">
        <v>2</v>
      </c>
      <c r="E35" s="13" t="s">
        <v>123</v>
      </c>
    </row>
    <row r="36" spans="1:5" x14ac:dyDescent="0.3">
      <c r="A36" s="12" t="s">
        <v>13</v>
      </c>
      <c r="B36" s="2">
        <v>3</v>
      </c>
      <c r="C36" s="2" t="s">
        <v>33</v>
      </c>
      <c r="D36" s="2">
        <v>2</v>
      </c>
      <c r="E36" s="13" t="s">
        <v>18</v>
      </c>
    </row>
    <row r="37" spans="1:5" x14ac:dyDescent="0.3">
      <c r="A37" s="12" t="s">
        <v>11</v>
      </c>
      <c r="B37" s="2">
        <v>3</v>
      </c>
      <c r="C37" s="2" t="s">
        <v>33</v>
      </c>
      <c r="D37" s="2">
        <v>2</v>
      </c>
      <c r="E37" s="13" t="s">
        <v>16</v>
      </c>
    </row>
    <row r="38" spans="1:5" x14ac:dyDescent="0.3">
      <c r="A38" s="12" t="s">
        <v>15</v>
      </c>
      <c r="B38" s="2">
        <v>1</v>
      </c>
      <c r="C38" s="2" t="s">
        <v>33</v>
      </c>
      <c r="D38" s="2">
        <v>3</v>
      </c>
      <c r="E38" s="13" t="s">
        <v>10</v>
      </c>
    </row>
    <row r="39" spans="1:5" x14ac:dyDescent="0.3">
      <c r="A39" s="12" t="s">
        <v>17</v>
      </c>
      <c r="B39" s="2">
        <v>3</v>
      </c>
      <c r="C39" s="2" t="s">
        <v>33</v>
      </c>
      <c r="D39" s="2">
        <v>1</v>
      </c>
      <c r="E39" s="13" t="s">
        <v>19</v>
      </c>
    </row>
    <row r="41" spans="1:5" x14ac:dyDescent="0.3">
      <c r="A41" s="12" t="s">
        <v>103</v>
      </c>
    </row>
    <row r="42" spans="1:5" x14ac:dyDescent="0.3">
      <c r="A42" s="12" t="s">
        <v>12</v>
      </c>
      <c r="B42" s="2">
        <v>1</v>
      </c>
      <c r="C42" s="2" t="s">
        <v>33</v>
      </c>
      <c r="D42" s="2">
        <v>0</v>
      </c>
      <c r="E42" s="13" t="s">
        <v>122</v>
      </c>
    </row>
    <row r="43" spans="1:5" x14ac:dyDescent="0.3">
      <c r="A43" s="12" t="s">
        <v>5</v>
      </c>
      <c r="B43" s="2">
        <v>2</v>
      </c>
      <c r="C43" s="2" t="s">
        <v>33</v>
      </c>
      <c r="D43" s="2">
        <v>0</v>
      </c>
      <c r="E43" s="13" t="s">
        <v>6</v>
      </c>
    </row>
    <row r="44" spans="1:5" x14ac:dyDescent="0.3">
      <c r="A44" s="12" t="s">
        <v>14</v>
      </c>
      <c r="B44" s="2">
        <v>2</v>
      </c>
      <c r="C44" s="2" t="s">
        <v>33</v>
      </c>
      <c r="D44" s="2">
        <v>1</v>
      </c>
      <c r="E44" s="13" t="s">
        <v>9</v>
      </c>
    </row>
    <row r="45" spans="1:5" x14ac:dyDescent="0.3">
      <c r="A45" s="12" t="s">
        <v>8</v>
      </c>
      <c r="B45" s="2">
        <v>2</v>
      </c>
      <c r="C45" s="2" t="s">
        <v>33</v>
      </c>
      <c r="D45" s="2">
        <v>1</v>
      </c>
      <c r="E45" s="13" t="s">
        <v>123</v>
      </c>
    </row>
    <row r="46" spans="1:5" x14ac:dyDescent="0.3">
      <c r="A46" s="12" t="s">
        <v>13</v>
      </c>
      <c r="B46" s="2">
        <v>1</v>
      </c>
      <c r="C46" s="2" t="s">
        <v>33</v>
      </c>
      <c r="D46" s="2">
        <v>1</v>
      </c>
      <c r="E46" s="13" t="s">
        <v>18</v>
      </c>
    </row>
    <row r="47" spans="1:5" x14ac:dyDescent="0.3">
      <c r="A47" s="12" t="s">
        <v>11</v>
      </c>
      <c r="B47" s="2">
        <v>1</v>
      </c>
      <c r="C47" s="2" t="s">
        <v>33</v>
      </c>
      <c r="D47" s="2">
        <v>0</v>
      </c>
      <c r="E47" s="13" t="s">
        <v>16</v>
      </c>
    </row>
    <row r="48" spans="1:5" x14ac:dyDescent="0.3">
      <c r="A48" s="12" t="s">
        <v>15</v>
      </c>
      <c r="B48" s="2">
        <v>1</v>
      </c>
      <c r="C48" s="2" t="s">
        <v>33</v>
      </c>
      <c r="D48" s="2">
        <v>1</v>
      </c>
      <c r="E48" s="13" t="s">
        <v>10</v>
      </c>
    </row>
    <row r="49" spans="1:5" x14ac:dyDescent="0.3">
      <c r="A49" s="12" t="s">
        <v>17</v>
      </c>
      <c r="B49" s="2">
        <v>2</v>
      </c>
      <c r="C49" s="2" t="s">
        <v>33</v>
      </c>
      <c r="D49" s="2">
        <v>2</v>
      </c>
      <c r="E49" s="13" t="s">
        <v>19</v>
      </c>
    </row>
    <row r="51" spans="1:5" x14ac:dyDescent="0.3">
      <c r="A51" s="12" t="s">
        <v>104</v>
      </c>
    </row>
    <row r="52" spans="1:5" x14ac:dyDescent="0.3">
      <c r="A52" s="12" t="s">
        <v>12</v>
      </c>
      <c r="B52" s="2">
        <v>2</v>
      </c>
      <c r="C52" s="2" t="s">
        <v>33</v>
      </c>
      <c r="D52" s="2">
        <v>0</v>
      </c>
      <c r="E52" s="13" t="s">
        <v>122</v>
      </c>
    </row>
    <row r="53" spans="1:5" x14ac:dyDescent="0.3">
      <c r="A53" s="12" t="s">
        <v>5</v>
      </c>
      <c r="B53" s="2">
        <v>2</v>
      </c>
      <c r="C53" s="2" t="s">
        <v>33</v>
      </c>
      <c r="D53" s="2">
        <v>1</v>
      </c>
      <c r="E53" s="13" t="s">
        <v>6</v>
      </c>
    </row>
    <row r="54" spans="1:5" x14ac:dyDescent="0.3">
      <c r="A54" s="12" t="s">
        <v>14</v>
      </c>
      <c r="B54" s="2">
        <v>1</v>
      </c>
      <c r="C54" s="2" t="s">
        <v>33</v>
      </c>
      <c r="D54" s="2">
        <v>0</v>
      </c>
      <c r="E54" s="13" t="s">
        <v>9</v>
      </c>
    </row>
    <row r="55" spans="1:5" x14ac:dyDescent="0.3">
      <c r="A55" s="12" t="s">
        <v>8</v>
      </c>
      <c r="B55" s="2">
        <v>2</v>
      </c>
      <c r="C55" s="2" t="s">
        <v>33</v>
      </c>
      <c r="D55" s="2">
        <v>0</v>
      </c>
      <c r="E55" s="13" t="s">
        <v>123</v>
      </c>
    </row>
    <row r="56" spans="1:5" x14ac:dyDescent="0.3">
      <c r="A56" s="12" t="s">
        <v>13</v>
      </c>
      <c r="B56" s="2">
        <v>3</v>
      </c>
      <c r="C56" s="2" t="s">
        <v>33</v>
      </c>
      <c r="D56" s="2">
        <v>1</v>
      </c>
      <c r="E56" s="13" t="s">
        <v>18</v>
      </c>
    </row>
    <row r="57" spans="1:5" x14ac:dyDescent="0.3">
      <c r="A57" s="12" t="s">
        <v>11</v>
      </c>
      <c r="B57" s="2">
        <v>2</v>
      </c>
      <c r="C57" s="2" t="s">
        <v>33</v>
      </c>
      <c r="D57" s="2">
        <v>0</v>
      </c>
      <c r="E57" s="13" t="s">
        <v>16</v>
      </c>
    </row>
    <row r="58" spans="1:5" x14ac:dyDescent="0.3">
      <c r="A58" s="12" t="s">
        <v>15</v>
      </c>
      <c r="B58" s="2">
        <v>1</v>
      </c>
      <c r="C58" s="2" t="s">
        <v>33</v>
      </c>
      <c r="D58" s="2">
        <v>2</v>
      </c>
      <c r="E58" s="13" t="s">
        <v>10</v>
      </c>
    </row>
    <row r="59" spans="1:5" x14ac:dyDescent="0.3">
      <c r="A59" s="12" t="s">
        <v>17</v>
      </c>
      <c r="B59" s="2">
        <v>1</v>
      </c>
      <c r="C59" s="2" t="s">
        <v>33</v>
      </c>
      <c r="D59" s="2">
        <v>0</v>
      </c>
      <c r="E59" s="13" t="s">
        <v>19</v>
      </c>
    </row>
    <row r="61" spans="1:5" x14ac:dyDescent="0.3">
      <c r="A61" s="12" t="s">
        <v>105</v>
      </c>
    </row>
    <row r="62" spans="1:5" x14ac:dyDescent="0.3">
      <c r="A62" s="12" t="s">
        <v>12</v>
      </c>
      <c r="B62" s="2">
        <v>2</v>
      </c>
      <c r="C62" s="2" t="s">
        <v>33</v>
      </c>
      <c r="D62" s="2">
        <v>0</v>
      </c>
      <c r="E62" s="13" t="s">
        <v>122</v>
      </c>
    </row>
    <row r="63" spans="1:5" x14ac:dyDescent="0.3">
      <c r="A63" s="12" t="s">
        <v>5</v>
      </c>
      <c r="B63" s="2">
        <v>1</v>
      </c>
      <c r="C63" s="2" t="s">
        <v>33</v>
      </c>
      <c r="D63" s="2">
        <v>0</v>
      </c>
      <c r="E63" s="13" t="s">
        <v>6</v>
      </c>
    </row>
    <row r="64" spans="1:5" x14ac:dyDescent="0.3">
      <c r="A64" s="12" t="s">
        <v>14</v>
      </c>
      <c r="B64" s="2">
        <v>1</v>
      </c>
      <c r="C64" s="2" t="s">
        <v>33</v>
      </c>
      <c r="D64" s="2">
        <v>2</v>
      </c>
      <c r="E64" s="13" t="s">
        <v>9</v>
      </c>
    </row>
    <row r="65" spans="1:5" x14ac:dyDescent="0.3">
      <c r="A65" s="12" t="s">
        <v>8</v>
      </c>
      <c r="B65" s="2">
        <v>1</v>
      </c>
      <c r="C65" s="2" t="s">
        <v>33</v>
      </c>
      <c r="D65" s="2">
        <v>0</v>
      </c>
      <c r="E65" s="13" t="s">
        <v>123</v>
      </c>
    </row>
    <row r="66" spans="1:5" x14ac:dyDescent="0.3">
      <c r="A66" s="12" t="s">
        <v>13</v>
      </c>
      <c r="B66" s="2">
        <v>2</v>
      </c>
      <c r="C66" s="2" t="s">
        <v>33</v>
      </c>
      <c r="D66" s="2">
        <v>0</v>
      </c>
      <c r="E66" s="13" t="s">
        <v>18</v>
      </c>
    </row>
    <row r="67" spans="1:5" x14ac:dyDescent="0.3">
      <c r="A67" s="12" t="s">
        <v>11</v>
      </c>
      <c r="B67" s="2">
        <v>3</v>
      </c>
      <c r="C67" s="2" t="s">
        <v>33</v>
      </c>
      <c r="D67" s="2">
        <v>0</v>
      </c>
      <c r="E67" s="13" t="s">
        <v>16</v>
      </c>
    </row>
    <row r="68" spans="1:5" x14ac:dyDescent="0.3">
      <c r="A68" s="12" t="s">
        <v>15</v>
      </c>
      <c r="B68" s="2">
        <v>0</v>
      </c>
      <c r="C68" s="2" t="s">
        <v>33</v>
      </c>
      <c r="D68" s="2">
        <v>2</v>
      </c>
      <c r="E68" s="13" t="s">
        <v>10</v>
      </c>
    </row>
    <row r="69" spans="1:5" x14ac:dyDescent="0.3">
      <c r="A69" s="12" t="s">
        <v>17</v>
      </c>
      <c r="B69" s="2">
        <v>2</v>
      </c>
      <c r="C69" s="2" t="s">
        <v>33</v>
      </c>
      <c r="D69" s="2">
        <v>1</v>
      </c>
      <c r="E69" s="13" t="s">
        <v>19</v>
      </c>
    </row>
    <row r="71" spans="1:5" x14ac:dyDescent="0.3">
      <c r="A71" s="12" t="s">
        <v>106</v>
      </c>
    </row>
    <row r="72" spans="1:5" x14ac:dyDescent="0.3">
      <c r="A72" s="12" t="s">
        <v>12</v>
      </c>
      <c r="B72" s="2">
        <v>2</v>
      </c>
      <c r="C72" s="2" t="s">
        <v>33</v>
      </c>
      <c r="D72" s="2">
        <v>0</v>
      </c>
      <c r="E72" s="13" t="s">
        <v>122</v>
      </c>
    </row>
    <row r="73" spans="1:5" x14ac:dyDescent="0.3">
      <c r="A73" s="12" t="s">
        <v>5</v>
      </c>
      <c r="B73" s="2">
        <v>2</v>
      </c>
      <c r="C73" s="2" t="s">
        <v>33</v>
      </c>
      <c r="D73" s="2">
        <v>1</v>
      </c>
      <c r="E73" s="13" t="s">
        <v>6</v>
      </c>
    </row>
    <row r="74" spans="1:5" x14ac:dyDescent="0.3">
      <c r="A74" s="12" t="s">
        <v>14</v>
      </c>
      <c r="B74" s="2">
        <v>2</v>
      </c>
      <c r="C74" s="2" t="s">
        <v>33</v>
      </c>
      <c r="D74" s="2">
        <v>2</v>
      </c>
      <c r="E74" s="13" t="s">
        <v>9</v>
      </c>
    </row>
    <row r="75" spans="1:5" x14ac:dyDescent="0.3">
      <c r="A75" s="12" t="s">
        <v>8</v>
      </c>
      <c r="B75" s="2">
        <v>2</v>
      </c>
      <c r="C75" s="2" t="s">
        <v>33</v>
      </c>
      <c r="D75" s="2">
        <v>1</v>
      </c>
      <c r="E75" s="13" t="s">
        <v>123</v>
      </c>
    </row>
    <row r="76" spans="1:5" x14ac:dyDescent="0.3">
      <c r="A76" s="12" t="s">
        <v>13</v>
      </c>
      <c r="B76" s="2">
        <v>2</v>
      </c>
      <c r="C76" s="2" t="s">
        <v>33</v>
      </c>
      <c r="D76" s="2">
        <v>0</v>
      </c>
      <c r="E76" s="13" t="s">
        <v>18</v>
      </c>
    </row>
    <row r="77" spans="1:5" x14ac:dyDescent="0.3">
      <c r="A77" s="12" t="s">
        <v>11</v>
      </c>
      <c r="B77" s="2">
        <v>2</v>
      </c>
      <c r="C77" s="2" t="s">
        <v>33</v>
      </c>
      <c r="D77" s="2">
        <v>0</v>
      </c>
      <c r="E77" s="13" t="s">
        <v>16</v>
      </c>
    </row>
    <row r="78" spans="1:5" x14ac:dyDescent="0.3">
      <c r="A78" s="12" t="s">
        <v>15</v>
      </c>
      <c r="B78" s="2">
        <v>1</v>
      </c>
      <c r="C78" s="2" t="s">
        <v>33</v>
      </c>
      <c r="D78" s="2">
        <v>0</v>
      </c>
      <c r="E78" s="13" t="s">
        <v>10</v>
      </c>
    </row>
    <row r="79" spans="1:5" x14ac:dyDescent="0.3">
      <c r="A79" s="12" t="s">
        <v>17</v>
      </c>
      <c r="B79" s="2">
        <v>0</v>
      </c>
      <c r="C79" s="2" t="s">
        <v>33</v>
      </c>
      <c r="D79" s="2">
        <v>0</v>
      </c>
      <c r="E79" s="13" t="s">
        <v>19</v>
      </c>
    </row>
    <row r="81" spans="1:5" x14ac:dyDescent="0.3">
      <c r="A81" s="12" t="s">
        <v>107</v>
      </c>
    </row>
    <row r="82" spans="1:5" x14ac:dyDescent="0.3">
      <c r="A82" s="12" t="s">
        <v>12</v>
      </c>
      <c r="B82" s="2">
        <v>1</v>
      </c>
      <c r="C82" s="2" t="s">
        <v>33</v>
      </c>
      <c r="D82" s="2">
        <v>0</v>
      </c>
      <c r="E82" s="13" t="s">
        <v>122</v>
      </c>
    </row>
    <row r="83" spans="1:5" x14ac:dyDescent="0.3">
      <c r="A83" s="12" t="s">
        <v>5</v>
      </c>
      <c r="B83" s="2">
        <v>2</v>
      </c>
      <c r="C83" s="2" t="s">
        <v>33</v>
      </c>
      <c r="D83" s="2">
        <v>0</v>
      </c>
      <c r="E83" s="13" t="s">
        <v>6</v>
      </c>
    </row>
    <row r="84" spans="1:5" x14ac:dyDescent="0.3">
      <c r="A84" s="12" t="s">
        <v>14</v>
      </c>
      <c r="B84" s="2">
        <v>1</v>
      </c>
      <c r="C84" s="2" t="s">
        <v>33</v>
      </c>
      <c r="D84" s="2">
        <v>1</v>
      </c>
      <c r="E84" s="13" t="s">
        <v>9</v>
      </c>
    </row>
    <row r="85" spans="1:5" x14ac:dyDescent="0.3">
      <c r="A85" s="12" t="s">
        <v>8</v>
      </c>
      <c r="B85" s="2">
        <v>2</v>
      </c>
      <c r="C85" s="2" t="s">
        <v>33</v>
      </c>
      <c r="D85" s="2">
        <v>0</v>
      </c>
      <c r="E85" s="13" t="s">
        <v>123</v>
      </c>
    </row>
    <row r="86" spans="1:5" x14ac:dyDescent="0.3">
      <c r="A86" s="12" t="s">
        <v>13</v>
      </c>
      <c r="B86" s="2">
        <v>1</v>
      </c>
      <c r="C86" s="2" t="s">
        <v>33</v>
      </c>
      <c r="D86" s="2">
        <v>0</v>
      </c>
      <c r="E86" s="13" t="s">
        <v>18</v>
      </c>
    </row>
    <row r="87" spans="1:5" x14ac:dyDescent="0.3">
      <c r="A87" s="12" t="s">
        <v>11</v>
      </c>
      <c r="B87" s="2">
        <v>3</v>
      </c>
      <c r="C87" s="2" t="s">
        <v>33</v>
      </c>
      <c r="D87" s="2">
        <v>0</v>
      </c>
      <c r="E87" s="13" t="s">
        <v>16</v>
      </c>
    </row>
    <row r="88" spans="1:5" x14ac:dyDescent="0.3">
      <c r="A88" s="12" t="s">
        <v>15</v>
      </c>
      <c r="B88" s="2">
        <v>0</v>
      </c>
      <c r="C88" s="2" t="s">
        <v>33</v>
      </c>
      <c r="D88" s="2">
        <v>1</v>
      </c>
      <c r="E88" s="13" t="s">
        <v>10</v>
      </c>
    </row>
    <row r="89" spans="1:5" x14ac:dyDescent="0.3">
      <c r="A89" s="12" t="s">
        <v>17</v>
      </c>
      <c r="B89" s="2">
        <v>1</v>
      </c>
      <c r="C89" s="2" t="s">
        <v>33</v>
      </c>
      <c r="D89" s="2">
        <v>1</v>
      </c>
      <c r="E89" s="13" t="s">
        <v>19</v>
      </c>
    </row>
    <row r="91" spans="1:5" x14ac:dyDescent="0.3">
      <c r="A91" s="12" t="s">
        <v>108</v>
      </c>
    </row>
    <row r="92" spans="1:5" x14ac:dyDescent="0.3">
      <c r="A92" s="12" t="s">
        <v>12</v>
      </c>
      <c r="B92" s="2">
        <v>1</v>
      </c>
      <c r="C92" s="2" t="s">
        <v>33</v>
      </c>
      <c r="D92" s="2">
        <v>2</v>
      </c>
      <c r="E92" s="13" t="s">
        <v>122</v>
      </c>
    </row>
    <row r="93" spans="1:5" x14ac:dyDescent="0.3">
      <c r="A93" s="12" t="s">
        <v>5</v>
      </c>
      <c r="B93" s="2">
        <v>1</v>
      </c>
      <c r="C93" s="2" t="s">
        <v>33</v>
      </c>
      <c r="D93" s="2">
        <v>0</v>
      </c>
      <c r="E93" s="13" t="s">
        <v>6</v>
      </c>
    </row>
    <row r="94" spans="1:5" x14ac:dyDescent="0.3">
      <c r="A94" s="12" t="s">
        <v>14</v>
      </c>
      <c r="B94" s="2">
        <v>2</v>
      </c>
      <c r="C94" s="2" t="s">
        <v>33</v>
      </c>
      <c r="D94" s="2">
        <v>1</v>
      </c>
      <c r="E94" s="13" t="s">
        <v>9</v>
      </c>
    </row>
    <row r="95" spans="1:5" x14ac:dyDescent="0.3">
      <c r="A95" s="12" t="s">
        <v>8</v>
      </c>
      <c r="B95" s="2">
        <v>2</v>
      </c>
      <c r="C95" s="2" t="s">
        <v>33</v>
      </c>
      <c r="D95" s="2">
        <v>1</v>
      </c>
      <c r="E95" s="13" t="s">
        <v>123</v>
      </c>
    </row>
    <row r="96" spans="1:5" x14ac:dyDescent="0.3">
      <c r="A96" s="12" t="s">
        <v>13</v>
      </c>
      <c r="B96" s="2">
        <v>2</v>
      </c>
      <c r="C96" s="2" t="s">
        <v>33</v>
      </c>
      <c r="D96" s="2">
        <v>0</v>
      </c>
      <c r="E96" s="13" t="s">
        <v>18</v>
      </c>
    </row>
    <row r="97" spans="1:5" x14ac:dyDescent="0.3">
      <c r="A97" s="12" t="s">
        <v>11</v>
      </c>
      <c r="B97" s="2">
        <v>3</v>
      </c>
      <c r="C97" s="2" t="s">
        <v>33</v>
      </c>
      <c r="D97" s="2">
        <v>1</v>
      </c>
      <c r="E97" s="13" t="s">
        <v>16</v>
      </c>
    </row>
    <row r="98" spans="1:5" x14ac:dyDescent="0.3">
      <c r="A98" s="12" t="s">
        <v>15</v>
      </c>
      <c r="B98" s="2">
        <v>0</v>
      </c>
      <c r="C98" s="2" t="s">
        <v>33</v>
      </c>
      <c r="D98" s="2">
        <v>1</v>
      </c>
      <c r="E98" s="13" t="s">
        <v>10</v>
      </c>
    </row>
    <row r="99" spans="1:5" x14ac:dyDescent="0.3">
      <c r="A99" s="12" t="s">
        <v>17</v>
      </c>
      <c r="B99" s="2">
        <v>2</v>
      </c>
      <c r="C99" s="2" t="s">
        <v>33</v>
      </c>
      <c r="D99" s="2">
        <v>2</v>
      </c>
      <c r="E99" s="13" t="s">
        <v>19</v>
      </c>
    </row>
    <row r="101" spans="1:5" x14ac:dyDescent="0.3">
      <c r="A101" s="12" t="s">
        <v>109</v>
      </c>
    </row>
    <row r="102" spans="1:5" x14ac:dyDescent="0.3">
      <c r="A102" s="12" t="s">
        <v>12</v>
      </c>
      <c r="B102" s="2">
        <v>2</v>
      </c>
      <c r="C102" s="2" t="s">
        <v>33</v>
      </c>
      <c r="D102" s="2">
        <v>1</v>
      </c>
      <c r="E102" s="13" t="s">
        <v>122</v>
      </c>
    </row>
    <row r="103" spans="1:5" x14ac:dyDescent="0.3">
      <c r="A103" s="12" t="s">
        <v>5</v>
      </c>
      <c r="B103" s="2">
        <v>2</v>
      </c>
      <c r="C103" s="2" t="s">
        <v>33</v>
      </c>
      <c r="D103" s="2">
        <v>0</v>
      </c>
      <c r="E103" s="13" t="s">
        <v>6</v>
      </c>
    </row>
    <row r="104" spans="1:5" x14ac:dyDescent="0.3">
      <c r="A104" s="12" t="s">
        <v>14</v>
      </c>
      <c r="B104" s="2">
        <v>1</v>
      </c>
      <c r="C104" s="2" t="s">
        <v>33</v>
      </c>
      <c r="D104" s="2">
        <v>2</v>
      </c>
      <c r="E104" s="13" t="s">
        <v>9</v>
      </c>
    </row>
    <row r="105" spans="1:5" x14ac:dyDescent="0.3">
      <c r="A105" s="12" t="s">
        <v>8</v>
      </c>
      <c r="B105" s="2">
        <v>2</v>
      </c>
      <c r="C105" s="2" t="s">
        <v>33</v>
      </c>
      <c r="D105" s="2">
        <v>0</v>
      </c>
      <c r="E105" s="13" t="s">
        <v>123</v>
      </c>
    </row>
    <row r="106" spans="1:5" x14ac:dyDescent="0.3">
      <c r="A106" s="12" t="s">
        <v>13</v>
      </c>
      <c r="B106" s="2">
        <v>1</v>
      </c>
      <c r="C106" s="2" t="s">
        <v>33</v>
      </c>
      <c r="D106" s="2">
        <v>0</v>
      </c>
      <c r="E106" s="13" t="s">
        <v>18</v>
      </c>
    </row>
    <row r="107" spans="1:5" x14ac:dyDescent="0.3">
      <c r="A107" s="12" t="s">
        <v>11</v>
      </c>
      <c r="B107" s="2">
        <v>1</v>
      </c>
      <c r="C107" s="2" t="s">
        <v>33</v>
      </c>
      <c r="D107" s="2">
        <v>0</v>
      </c>
      <c r="E107" s="13" t="s">
        <v>16</v>
      </c>
    </row>
    <row r="108" spans="1:5" x14ac:dyDescent="0.3">
      <c r="A108" s="12" t="s">
        <v>15</v>
      </c>
      <c r="B108" s="2">
        <v>1</v>
      </c>
      <c r="C108" s="2" t="s">
        <v>33</v>
      </c>
      <c r="D108" s="2">
        <v>2</v>
      </c>
      <c r="E108" s="13" t="s">
        <v>10</v>
      </c>
    </row>
    <row r="109" spans="1:5" x14ac:dyDescent="0.3">
      <c r="A109" s="12" t="s">
        <v>17</v>
      </c>
      <c r="B109" s="2">
        <v>1</v>
      </c>
      <c r="C109" s="2" t="s">
        <v>33</v>
      </c>
      <c r="D109" s="2">
        <v>0</v>
      </c>
      <c r="E109" s="13" t="s">
        <v>19</v>
      </c>
    </row>
    <row r="111" spans="1:5" x14ac:dyDescent="0.3">
      <c r="A111" s="12" t="s">
        <v>110</v>
      </c>
    </row>
    <row r="112" spans="1:5" x14ac:dyDescent="0.3">
      <c r="A112" s="12" t="s">
        <v>12</v>
      </c>
      <c r="B112" s="2">
        <v>1</v>
      </c>
      <c r="C112" s="2" t="s">
        <v>33</v>
      </c>
      <c r="D112" s="2">
        <v>2</v>
      </c>
      <c r="E112" s="13" t="s">
        <v>122</v>
      </c>
    </row>
    <row r="113" spans="1:5" x14ac:dyDescent="0.3">
      <c r="A113" s="12" t="s">
        <v>5</v>
      </c>
      <c r="B113" s="2">
        <v>1</v>
      </c>
      <c r="C113" s="2" t="s">
        <v>33</v>
      </c>
      <c r="D113" s="2">
        <v>1</v>
      </c>
      <c r="E113" s="13" t="s">
        <v>6</v>
      </c>
    </row>
    <row r="114" spans="1:5" x14ac:dyDescent="0.3">
      <c r="A114" s="12" t="s">
        <v>14</v>
      </c>
      <c r="B114" s="2">
        <v>0</v>
      </c>
      <c r="C114" s="2" t="s">
        <v>33</v>
      </c>
      <c r="D114" s="2">
        <v>2</v>
      </c>
      <c r="E114" s="13" t="s">
        <v>9</v>
      </c>
    </row>
    <row r="115" spans="1:5" x14ac:dyDescent="0.3">
      <c r="A115" s="12" t="s">
        <v>8</v>
      </c>
      <c r="B115" s="2">
        <v>2</v>
      </c>
      <c r="C115" s="2" t="s">
        <v>33</v>
      </c>
      <c r="D115" s="2">
        <v>0</v>
      </c>
      <c r="E115" s="13" t="s">
        <v>123</v>
      </c>
    </row>
    <row r="116" spans="1:5" x14ac:dyDescent="0.3">
      <c r="A116" s="12" t="s">
        <v>13</v>
      </c>
      <c r="B116" s="2">
        <v>3</v>
      </c>
      <c r="C116" s="2" t="s">
        <v>33</v>
      </c>
      <c r="D116" s="2">
        <v>1</v>
      </c>
      <c r="E116" s="13" t="s">
        <v>18</v>
      </c>
    </row>
    <row r="117" spans="1:5" x14ac:dyDescent="0.3">
      <c r="A117" s="12" t="s">
        <v>11</v>
      </c>
      <c r="B117" s="2">
        <v>2</v>
      </c>
      <c r="C117" s="2" t="s">
        <v>33</v>
      </c>
      <c r="D117" s="2">
        <v>0</v>
      </c>
      <c r="E117" s="13" t="s">
        <v>16</v>
      </c>
    </row>
    <row r="118" spans="1:5" x14ac:dyDescent="0.3">
      <c r="A118" s="12" t="s">
        <v>15</v>
      </c>
      <c r="B118" s="2">
        <v>1</v>
      </c>
      <c r="C118" s="2" t="s">
        <v>33</v>
      </c>
      <c r="D118" s="2">
        <v>2</v>
      </c>
      <c r="E118" s="13" t="s">
        <v>10</v>
      </c>
    </row>
    <row r="119" spans="1:5" x14ac:dyDescent="0.3">
      <c r="A119" s="12" t="s">
        <v>17</v>
      </c>
      <c r="B119" s="2">
        <v>0</v>
      </c>
      <c r="C119" s="2" t="s">
        <v>33</v>
      </c>
      <c r="D119" s="2">
        <v>1</v>
      </c>
      <c r="E119" s="13" t="s">
        <v>19</v>
      </c>
    </row>
    <row r="121" spans="1:5" x14ac:dyDescent="0.3">
      <c r="A121" s="12" t="s">
        <v>111</v>
      </c>
    </row>
    <row r="122" spans="1:5" x14ac:dyDescent="0.3">
      <c r="A122" s="12" t="s">
        <v>12</v>
      </c>
      <c r="B122" s="2">
        <v>1</v>
      </c>
      <c r="C122" s="2" t="s">
        <v>33</v>
      </c>
      <c r="D122" s="2">
        <v>1</v>
      </c>
      <c r="E122" s="13" t="s">
        <v>122</v>
      </c>
    </row>
    <row r="123" spans="1:5" x14ac:dyDescent="0.3">
      <c r="A123" s="12" t="s">
        <v>5</v>
      </c>
      <c r="B123" s="2">
        <v>2</v>
      </c>
      <c r="C123" s="2" t="s">
        <v>33</v>
      </c>
      <c r="D123" s="2">
        <v>1</v>
      </c>
      <c r="E123" s="13" t="s">
        <v>6</v>
      </c>
    </row>
    <row r="124" spans="1:5" x14ac:dyDescent="0.3">
      <c r="A124" s="12" t="s">
        <v>14</v>
      </c>
      <c r="B124" s="2">
        <v>2</v>
      </c>
      <c r="C124" s="2" t="s">
        <v>33</v>
      </c>
      <c r="D124" s="2">
        <v>0</v>
      </c>
      <c r="E124" s="13" t="s">
        <v>9</v>
      </c>
    </row>
    <row r="125" spans="1:5" x14ac:dyDescent="0.3">
      <c r="A125" s="12" t="s">
        <v>8</v>
      </c>
      <c r="B125" s="2">
        <v>2</v>
      </c>
      <c r="C125" s="2" t="s">
        <v>33</v>
      </c>
      <c r="D125" s="2">
        <v>0</v>
      </c>
      <c r="E125" s="13" t="s">
        <v>123</v>
      </c>
    </row>
    <row r="126" spans="1:5" x14ac:dyDescent="0.3">
      <c r="A126" s="12" t="s">
        <v>13</v>
      </c>
      <c r="B126" s="2">
        <v>4</v>
      </c>
      <c r="C126" s="2" t="s">
        <v>33</v>
      </c>
      <c r="D126" s="2">
        <v>0</v>
      </c>
      <c r="E126" s="13" t="s">
        <v>18</v>
      </c>
    </row>
    <row r="127" spans="1:5" x14ac:dyDescent="0.3">
      <c r="A127" s="12" t="s">
        <v>11</v>
      </c>
      <c r="B127" s="2">
        <v>2</v>
      </c>
      <c r="C127" s="2" t="s">
        <v>33</v>
      </c>
      <c r="D127" s="2">
        <v>1</v>
      </c>
      <c r="E127" s="13" t="s">
        <v>16</v>
      </c>
    </row>
    <row r="128" spans="1:5" x14ac:dyDescent="0.3">
      <c r="A128" s="12" t="s">
        <v>15</v>
      </c>
      <c r="B128" s="2">
        <v>1</v>
      </c>
      <c r="C128" s="2" t="s">
        <v>33</v>
      </c>
      <c r="D128" s="2">
        <v>3</v>
      </c>
      <c r="E128" s="13" t="s">
        <v>10</v>
      </c>
    </row>
    <row r="129" spans="1:6" x14ac:dyDescent="0.3">
      <c r="A129" s="12" t="s">
        <v>17</v>
      </c>
      <c r="B129" s="2">
        <v>1</v>
      </c>
      <c r="C129" s="2" t="s">
        <v>33</v>
      </c>
      <c r="D129" s="2">
        <v>0</v>
      </c>
      <c r="E129" s="13" t="s">
        <v>19</v>
      </c>
    </row>
    <row r="131" spans="1:6" x14ac:dyDescent="0.3">
      <c r="A131" s="12" t="s">
        <v>112</v>
      </c>
    </row>
    <row r="132" spans="1:6" x14ac:dyDescent="0.3">
      <c r="A132" s="12" t="s">
        <v>12</v>
      </c>
      <c r="B132" s="2">
        <v>1</v>
      </c>
      <c r="C132" s="2" t="s">
        <v>33</v>
      </c>
      <c r="D132" s="2">
        <v>0</v>
      </c>
      <c r="E132" s="13" t="s">
        <v>124</v>
      </c>
      <c r="F132" t="s">
        <v>125</v>
      </c>
    </row>
    <row r="133" spans="1:6" x14ac:dyDescent="0.3">
      <c r="A133" s="12" t="s">
        <v>5</v>
      </c>
      <c r="B133" s="2">
        <v>2</v>
      </c>
      <c r="C133" s="2" t="s">
        <v>33</v>
      </c>
      <c r="D133" s="2">
        <v>0</v>
      </c>
      <c r="E133" s="13" t="s">
        <v>6</v>
      </c>
    </row>
    <row r="134" spans="1:6" x14ac:dyDescent="0.3">
      <c r="A134" s="12" t="s">
        <v>14</v>
      </c>
      <c r="B134" s="2">
        <v>2</v>
      </c>
      <c r="C134" s="2" t="s">
        <v>33</v>
      </c>
      <c r="D134" s="2">
        <v>1</v>
      </c>
      <c r="E134" s="13" t="s">
        <v>9</v>
      </c>
    </row>
    <row r="135" spans="1:6" x14ac:dyDescent="0.3">
      <c r="A135" s="12" t="s">
        <v>8</v>
      </c>
      <c r="B135" s="2">
        <v>2</v>
      </c>
      <c r="C135" s="2" t="s">
        <v>33</v>
      </c>
      <c r="D135" s="2">
        <v>0</v>
      </c>
      <c r="E135" s="13" t="s">
        <v>123</v>
      </c>
    </row>
    <row r="136" spans="1:6" x14ac:dyDescent="0.3">
      <c r="A136" s="12" t="s">
        <v>13</v>
      </c>
      <c r="B136" s="2">
        <v>1</v>
      </c>
      <c r="C136" s="2" t="s">
        <v>33</v>
      </c>
      <c r="D136" s="2">
        <v>0</v>
      </c>
      <c r="E136" s="13" t="s">
        <v>18</v>
      </c>
    </row>
    <row r="137" spans="1:6" x14ac:dyDescent="0.3">
      <c r="A137" s="12" t="s">
        <v>11</v>
      </c>
      <c r="B137" s="2">
        <v>3</v>
      </c>
      <c r="C137" s="2" t="s">
        <v>33</v>
      </c>
      <c r="D137" s="2">
        <v>0</v>
      </c>
      <c r="E137" s="13" t="s">
        <v>16</v>
      </c>
    </row>
    <row r="138" spans="1:6" x14ac:dyDescent="0.3">
      <c r="A138" s="12" t="s">
        <v>15</v>
      </c>
      <c r="B138" s="2">
        <v>1</v>
      </c>
      <c r="C138" s="2" t="s">
        <v>33</v>
      </c>
      <c r="D138" s="2">
        <v>2</v>
      </c>
      <c r="E138" s="13" t="s">
        <v>10</v>
      </c>
    </row>
    <row r="139" spans="1:6" x14ac:dyDescent="0.3">
      <c r="A139" s="12" t="s">
        <v>17</v>
      </c>
      <c r="B139" s="2">
        <v>1</v>
      </c>
      <c r="C139" s="2" t="s">
        <v>33</v>
      </c>
      <c r="D139" s="2">
        <v>0</v>
      </c>
      <c r="E139" s="13" t="s">
        <v>19</v>
      </c>
    </row>
    <row r="141" spans="1:6" x14ac:dyDescent="0.3">
      <c r="A141" s="12" t="s">
        <v>113</v>
      </c>
    </row>
    <row r="142" spans="1:6" x14ac:dyDescent="0.3">
      <c r="A142" s="12" t="s">
        <v>12</v>
      </c>
      <c r="B142" s="2">
        <v>1</v>
      </c>
      <c r="C142" s="2" t="s">
        <v>33</v>
      </c>
      <c r="D142" s="2">
        <v>0</v>
      </c>
      <c r="E142" s="13" t="s">
        <v>122</v>
      </c>
    </row>
    <row r="143" spans="1:6" x14ac:dyDescent="0.3">
      <c r="A143" s="12" t="s">
        <v>5</v>
      </c>
      <c r="B143" s="2">
        <v>0</v>
      </c>
      <c r="C143" s="2" t="s">
        <v>33</v>
      </c>
      <c r="D143" s="2">
        <v>1</v>
      </c>
      <c r="E143" s="13" t="s">
        <v>6</v>
      </c>
    </row>
    <row r="144" spans="1:6" x14ac:dyDescent="0.3">
      <c r="A144" s="12" t="s">
        <v>14</v>
      </c>
      <c r="B144" s="2">
        <v>1</v>
      </c>
      <c r="C144" s="2" t="s">
        <v>33</v>
      </c>
      <c r="D144" s="2">
        <v>0</v>
      </c>
      <c r="E144" s="13" t="s">
        <v>9</v>
      </c>
    </row>
    <row r="145" spans="1:5" x14ac:dyDescent="0.3">
      <c r="A145" s="12" t="s">
        <v>8</v>
      </c>
      <c r="B145" s="2">
        <v>0</v>
      </c>
      <c r="C145" s="2" t="s">
        <v>33</v>
      </c>
      <c r="D145" s="2">
        <v>1</v>
      </c>
      <c r="E145" s="13" t="s">
        <v>123</v>
      </c>
    </row>
    <row r="146" spans="1:5" x14ac:dyDescent="0.3">
      <c r="A146" s="12" t="s">
        <v>13</v>
      </c>
      <c r="B146" s="2">
        <v>1</v>
      </c>
      <c r="C146" s="2" t="s">
        <v>33</v>
      </c>
      <c r="D146" s="2">
        <v>0</v>
      </c>
      <c r="E146" s="13" t="s">
        <v>18</v>
      </c>
    </row>
    <row r="147" spans="1:5" x14ac:dyDescent="0.3">
      <c r="A147" s="12" t="s">
        <v>11</v>
      </c>
      <c r="B147" s="2">
        <v>1</v>
      </c>
      <c r="C147" s="2" t="s">
        <v>33</v>
      </c>
      <c r="D147" s="2">
        <v>0</v>
      </c>
      <c r="E147" s="13" t="s">
        <v>16</v>
      </c>
    </row>
    <row r="148" spans="1:5" x14ac:dyDescent="0.3">
      <c r="A148" s="12" t="s">
        <v>15</v>
      </c>
      <c r="B148" s="2">
        <v>0</v>
      </c>
      <c r="C148" s="2" t="s">
        <v>33</v>
      </c>
      <c r="D148" s="2">
        <v>1</v>
      </c>
      <c r="E148" s="13" t="s">
        <v>10</v>
      </c>
    </row>
    <row r="149" spans="1:5" x14ac:dyDescent="0.3">
      <c r="A149" s="12" t="s">
        <v>17</v>
      </c>
      <c r="B149" s="2">
        <v>1</v>
      </c>
      <c r="C149" s="2" t="s">
        <v>33</v>
      </c>
      <c r="D149" s="2">
        <v>0</v>
      </c>
      <c r="E149" s="13" t="s">
        <v>19</v>
      </c>
    </row>
    <row r="151" spans="1:5" x14ac:dyDescent="0.3">
      <c r="A151" s="12" t="s">
        <v>114</v>
      </c>
    </row>
    <row r="152" spans="1:5" x14ac:dyDescent="0.3">
      <c r="A152" s="12" t="s">
        <v>12</v>
      </c>
      <c r="B152" s="2">
        <v>1</v>
      </c>
      <c r="C152" s="2" t="s">
        <v>33</v>
      </c>
      <c r="D152" s="2">
        <v>2</v>
      </c>
      <c r="E152" s="13" t="s">
        <v>122</v>
      </c>
    </row>
    <row r="153" spans="1:5" x14ac:dyDescent="0.3">
      <c r="A153" s="12" t="s">
        <v>5</v>
      </c>
      <c r="B153" s="2">
        <v>2</v>
      </c>
      <c r="C153" s="2" t="s">
        <v>33</v>
      </c>
      <c r="D153" s="2">
        <v>1</v>
      </c>
      <c r="E153" s="13" t="s">
        <v>6</v>
      </c>
    </row>
    <row r="154" spans="1:5" x14ac:dyDescent="0.3">
      <c r="A154" s="12" t="s">
        <v>14</v>
      </c>
      <c r="B154" s="2">
        <v>2</v>
      </c>
      <c r="C154" s="2" t="s">
        <v>33</v>
      </c>
      <c r="D154" s="2">
        <v>1</v>
      </c>
      <c r="E154" s="13" t="s">
        <v>9</v>
      </c>
    </row>
    <row r="155" spans="1:5" x14ac:dyDescent="0.3">
      <c r="A155" s="12" t="s">
        <v>8</v>
      </c>
      <c r="B155" s="2">
        <v>2</v>
      </c>
      <c r="C155" s="2" t="s">
        <v>33</v>
      </c>
      <c r="D155" s="2">
        <v>1</v>
      </c>
      <c r="E155" s="13" t="s">
        <v>123</v>
      </c>
    </row>
    <row r="156" spans="1:5" x14ac:dyDescent="0.3">
      <c r="A156" s="12" t="s">
        <v>13</v>
      </c>
      <c r="B156" s="2">
        <v>1</v>
      </c>
      <c r="C156" s="2" t="s">
        <v>33</v>
      </c>
      <c r="D156" s="2">
        <v>2</v>
      </c>
      <c r="E156" s="13" t="s">
        <v>18</v>
      </c>
    </row>
    <row r="157" spans="1:5" x14ac:dyDescent="0.3">
      <c r="A157" s="12" t="s">
        <v>11</v>
      </c>
      <c r="B157" s="2">
        <v>2</v>
      </c>
      <c r="C157" s="2" t="s">
        <v>33</v>
      </c>
      <c r="D157" s="2">
        <v>1</v>
      </c>
      <c r="E157" s="13" t="s">
        <v>16</v>
      </c>
    </row>
    <row r="158" spans="1:5" x14ac:dyDescent="0.3">
      <c r="A158" s="12" t="s">
        <v>15</v>
      </c>
      <c r="B158" s="2">
        <v>1</v>
      </c>
      <c r="C158" s="2" t="s">
        <v>33</v>
      </c>
      <c r="D158" s="2">
        <v>2</v>
      </c>
      <c r="E158" s="13" t="s">
        <v>10</v>
      </c>
    </row>
    <row r="159" spans="1:5" x14ac:dyDescent="0.3">
      <c r="A159" s="12" t="s">
        <v>17</v>
      </c>
      <c r="B159" s="2">
        <v>2</v>
      </c>
      <c r="C159" s="2" t="s">
        <v>33</v>
      </c>
      <c r="D159" s="2">
        <v>1</v>
      </c>
      <c r="E159" s="13" t="s">
        <v>19</v>
      </c>
    </row>
    <row r="161" spans="1:5" x14ac:dyDescent="0.3">
      <c r="A161" s="12" t="s">
        <v>115</v>
      </c>
    </row>
    <row r="162" spans="1:5" x14ac:dyDescent="0.3">
      <c r="A162" s="12" t="s">
        <v>12</v>
      </c>
      <c r="B162" s="2">
        <v>2</v>
      </c>
      <c r="C162" s="2" t="s">
        <v>33</v>
      </c>
      <c r="D162" s="2">
        <v>1</v>
      </c>
      <c r="E162" s="13" t="s">
        <v>122</v>
      </c>
    </row>
    <row r="163" spans="1:5" x14ac:dyDescent="0.3">
      <c r="A163" s="12" t="s">
        <v>5</v>
      </c>
      <c r="B163" s="2">
        <v>1</v>
      </c>
      <c r="C163" s="2" t="s">
        <v>33</v>
      </c>
      <c r="D163" s="2">
        <v>0</v>
      </c>
      <c r="E163" s="13" t="s">
        <v>6</v>
      </c>
    </row>
    <row r="164" spans="1:5" x14ac:dyDescent="0.3">
      <c r="A164" s="12" t="s">
        <v>14</v>
      </c>
      <c r="B164" s="2">
        <v>2</v>
      </c>
      <c r="C164" s="2" t="s">
        <v>33</v>
      </c>
      <c r="D164" s="2">
        <v>1</v>
      </c>
      <c r="E164" s="13" t="s">
        <v>9</v>
      </c>
    </row>
    <row r="165" spans="1:5" x14ac:dyDescent="0.3">
      <c r="A165" s="12" t="s">
        <v>8</v>
      </c>
      <c r="B165" s="2">
        <v>2</v>
      </c>
      <c r="C165" s="2" t="s">
        <v>33</v>
      </c>
      <c r="D165" s="2">
        <v>0</v>
      </c>
      <c r="E165" s="13" t="s">
        <v>123</v>
      </c>
    </row>
    <row r="166" spans="1:5" x14ac:dyDescent="0.3">
      <c r="A166" s="12" t="s">
        <v>13</v>
      </c>
      <c r="B166" s="2">
        <v>1</v>
      </c>
      <c r="C166" s="2" t="s">
        <v>33</v>
      </c>
      <c r="D166" s="2">
        <v>0</v>
      </c>
      <c r="E166" s="13" t="s">
        <v>18</v>
      </c>
    </row>
    <row r="167" spans="1:5" x14ac:dyDescent="0.3">
      <c r="A167" s="12" t="s">
        <v>11</v>
      </c>
      <c r="B167" s="2">
        <v>2</v>
      </c>
      <c r="C167" s="2" t="s">
        <v>33</v>
      </c>
      <c r="D167" s="2">
        <v>0</v>
      </c>
      <c r="E167" s="13" t="s">
        <v>16</v>
      </c>
    </row>
    <row r="168" spans="1:5" x14ac:dyDescent="0.3">
      <c r="A168" s="12" t="s">
        <v>15</v>
      </c>
      <c r="B168" s="2">
        <v>0</v>
      </c>
      <c r="C168" s="2" t="s">
        <v>33</v>
      </c>
      <c r="D168" s="2">
        <v>1</v>
      </c>
      <c r="E168" s="13" t="s">
        <v>10</v>
      </c>
    </row>
    <row r="169" spans="1:5" x14ac:dyDescent="0.3">
      <c r="A169" s="12" t="s">
        <v>17</v>
      </c>
      <c r="B169" s="2">
        <v>2</v>
      </c>
      <c r="C169" s="2" t="s">
        <v>33</v>
      </c>
      <c r="D169" s="2">
        <v>1</v>
      </c>
      <c r="E169" s="13" t="s">
        <v>19</v>
      </c>
    </row>
    <row r="171" spans="1:5" x14ac:dyDescent="0.3">
      <c r="A171" s="12" t="s">
        <v>116</v>
      </c>
    </row>
    <row r="172" spans="1:5" x14ac:dyDescent="0.3">
      <c r="A172" s="12" t="s">
        <v>12</v>
      </c>
      <c r="B172" s="2">
        <v>1</v>
      </c>
      <c r="C172" s="2" t="s">
        <v>33</v>
      </c>
      <c r="D172" s="2">
        <v>2</v>
      </c>
      <c r="E172" s="13" t="s">
        <v>122</v>
      </c>
    </row>
    <row r="173" spans="1:5" x14ac:dyDescent="0.3">
      <c r="A173" s="12" t="s">
        <v>5</v>
      </c>
      <c r="B173" s="2">
        <v>1</v>
      </c>
      <c r="C173" s="2" t="s">
        <v>33</v>
      </c>
      <c r="D173" s="2">
        <v>0</v>
      </c>
      <c r="E173" s="13" t="s">
        <v>6</v>
      </c>
    </row>
    <row r="174" spans="1:5" x14ac:dyDescent="0.3">
      <c r="A174" s="12" t="s">
        <v>14</v>
      </c>
      <c r="B174" s="2">
        <v>2</v>
      </c>
      <c r="C174" s="2" t="s">
        <v>33</v>
      </c>
      <c r="D174" s="2">
        <v>1</v>
      </c>
      <c r="E174" s="13" t="s">
        <v>9</v>
      </c>
    </row>
    <row r="175" spans="1:5" x14ac:dyDescent="0.3">
      <c r="A175" s="12" t="s">
        <v>8</v>
      </c>
      <c r="B175" s="2">
        <v>1</v>
      </c>
      <c r="C175" s="2" t="s">
        <v>33</v>
      </c>
      <c r="D175" s="2">
        <v>0</v>
      </c>
      <c r="E175" s="13" t="s">
        <v>123</v>
      </c>
    </row>
    <row r="176" spans="1:5" x14ac:dyDescent="0.3">
      <c r="A176" s="12" t="s">
        <v>13</v>
      </c>
      <c r="B176" s="2">
        <v>0</v>
      </c>
      <c r="C176" s="2" t="s">
        <v>33</v>
      </c>
      <c r="D176" s="2">
        <v>1</v>
      </c>
      <c r="E176" s="13" t="s">
        <v>18</v>
      </c>
    </row>
    <row r="177" spans="1:5" x14ac:dyDescent="0.3">
      <c r="A177" s="12" t="s">
        <v>11</v>
      </c>
      <c r="B177" s="2">
        <v>2</v>
      </c>
      <c r="C177" s="2" t="s">
        <v>33</v>
      </c>
      <c r="D177" s="2">
        <v>0</v>
      </c>
      <c r="E177" s="13" t="s">
        <v>16</v>
      </c>
    </row>
    <row r="178" spans="1:5" x14ac:dyDescent="0.3">
      <c r="A178" s="12" t="s">
        <v>15</v>
      </c>
      <c r="B178" s="2">
        <v>0</v>
      </c>
      <c r="C178" s="2" t="s">
        <v>33</v>
      </c>
      <c r="D178" s="2">
        <v>2</v>
      </c>
      <c r="E178" s="13" t="s">
        <v>10</v>
      </c>
    </row>
    <row r="179" spans="1:5" x14ac:dyDescent="0.3">
      <c r="A179" s="12" t="s">
        <v>17</v>
      </c>
      <c r="B179" s="2">
        <v>1</v>
      </c>
      <c r="C179" s="2" t="s">
        <v>33</v>
      </c>
      <c r="D179" s="2">
        <v>1</v>
      </c>
      <c r="E179" s="13" t="s">
        <v>19</v>
      </c>
    </row>
    <row r="181" spans="1:5" x14ac:dyDescent="0.3">
      <c r="A181" s="12" t="s">
        <v>117</v>
      </c>
    </row>
    <row r="182" spans="1:5" x14ac:dyDescent="0.3">
      <c r="A182" s="12" t="s">
        <v>12</v>
      </c>
      <c r="B182" s="2">
        <v>3</v>
      </c>
      <c r="C182" s="2" t="s">
        <v>33</v>
      </c>
      <c r="D182" s="2">
        <v>0</v>
      </c>
      <c r="E182" s="13" t="s">
        <v>122</v>
      </c>
    </row>
    <row r="183" spans="1:5" x14ac:dyDescent="0.3">
      <c r="A183" s="12" t="s">
        <v>5</v>
      </c>
      <c r="B183" s="2">
        <v>2</v>
      </c>
      <c r="C183" s="2" t="s">
        <v>33</v>
      </c>
      <c r="D183" s="2">
        <v>1</v>
      </c>
      <c r="E183" s="13" t="s">
        <v>6</v>
      </c>
    </row>
    <row r="184" spans="1:5" x14ac:dyDescent="0.3">
      <c r="A184" s="12" t="s">
        <v>14</v>
      </c>
      <c r="B184" s="2">
        <v>3</v>
      </c>
      <c r="C184" s="2" t="s">
        <v>33</v>
      </c>
      <c r="D184" s="2">
        <v>2</v>
      </c>
      <c r="E184" s="13" t="s">
        <v>9</v>
      </c>
    </row>
    <row r="185" spans="1:5" x14ac:dyDescent="0.3">
      <c r="A185" s="12" t="s">
        <v>8</v>
      </c>
      <c r="B185" s="2">
        <v>3</v>
      </c>
      <c r="C185" s="2" t="s">
        <v>33</v>
      </c>
      <c r="D185" s="2">
        <v>0</v>
      </c>
      <c r="E185" s="13" t="s">
        <v>123</v>
      </c>
    </row>
    <row r="186" spans="1:5" x14ac:dyDescent="0.3">
      <c r="A186" s="12" t="s">
        <v>13</v>
      </c>
      <c r="B186" s="2">
        <v>2</v>
      </c>
      <c r="C186" s="2" t="s">
        <v>33</v>
      </c>
      <c r="D186" s="2">
        <v>1</v>
      </c>
      <c r="E186" s="13" t="s">
        <v>18</v>
      </c>
    </row>
    <row r="187" spans="1:5" x14ac:dyDescent="0.3">
      <c r="A187" s="12" t="s">
        <v>11</v>
      </c>
      <c r="B187" s="2">
        <v>1</v>
      </c>
      <c r="C187" s="2" t="s">
        <v>33</v>
      </c>
      <c r="D187" s="2">
        <v>0</v>
      </c>
      <c r="E187" s="13" t="s">
        <v>16</v>
      </c>
    </row>
    <row r="188" spans="1:5" x14ac:dyDescent="0.3">
      <c r="A188" s="12" t="s">
        <v>15</v>
      </c>
      <c r="B188" s="2">
        <v>1</v>
      </c>
      <c r="C188" s="2" t="s">
        <v>33</v>
      </c>
      <c r="D188" s="2">
        <v>4</v>
      </c>
      <c r="E188" s="13" t="s">
        <v>10</v>
      </c>
    </row>
    <row r="189" spans="1:5" x14ac:dyDescent="0.3">
      <c r="A189" s="12" t="s">
        <v>17</v>
      </c>
      <c r="B189" s="2">
        <v>3</v>
      </c>
      <c r="C189" s="2" t="s">
        <v>33</v>
      </c>
      <c r="D189" s="2">
        <v>2</v>
      </c>
      <c r="E189" s="13" t="s">
        <v>19</v>
      </c>
    </row>
    <row r="191" spans="1:5" x14ac:dyDescent="0.3">
      <c r="A191" s="12" t="s">
        <v>118</v>
      </c>
    </row>
    <row r="192" spans="1:5" x14ac:dyDescent="0.3">
      <c r="A192" s="12" t="s">
        <v>12</v>
      </c>
      <c r="B192" s="2">
        <v>2</v>
      </c>
      <c r="C192" s="2" t="s">
        <v>33</v>
      </c>
      <c r="D192" s="2">
        <v>1</v>
      </c>
      <c r="E192" s="13" t="s">
        <v>122</v>
      </c>
    </row>
    <row r="193" spans="1:5" x14ac:dyDescent="0.3">
      <c r="A193" s="12" t="s">
        <v>5</v>
      </c>
      <c r="B193" s="2">
        <v>2</v>
      </c>
      <c r="C193" s="2" t="s">
        <v>33</v>
      </c>
      <c r="D193" s="2">
        <v>0</v>
      </c>
      <c r="E193" s="13" t="s">
        <v>6</v>
      </c>
    </row>
    <row r="194" spans="1:5" x14ac:dyDescent="0.3">
      <c r="A194" s="12" t="s">
        <v>14</v>
      </c>
      <c r="B194" s="2">
        <v>1</v>
      </c>
      <c r="C194" s="2" t="s">
        <v>33</v>
      </c>
      <c r="D194" s="2">
        <v>0</v>
      </c>
      <c r="E194" s="13" t="s">
        <v>9</v>
      </c>
    </row>
    <row r="195" spans="1:5" x14ac:dyDescent="0.3">
      <c r="A195" s="12" t="s">
        <v>8</v>
      </c>
      <c r="B195" s="2">
        <v>2</v>
      </c>
      <c r="C195" s="2" t="s">
        <v>33</v>
      </c>
      <c r="D195" s="2">
        <v>0</v>
      </c>
      <c r="E195" s="13" t="s">
        <v>123</v>
      </c>
    </row>
    <row r="196" spans="1:5" x14ac:dyDescent="0.3">
      <c r="A196" s="12" t="s">
        <v>13</v>
      </c>
      <c r="B196" s="2">
        <v>2</v>
      </c>
      <c r="C196" s="2" t="s">
        <v>33</v>
      </c>
      <c r="D196" s="2">
        <v>1</v>
      </c>
      <c r="E196" s="13" t="s">
        <v>18</v>
      </c>
    </row>
    <row r="197" spans="1:5" x14ac:dyDescent="0.3">
      <c r="A197" s="12" t="s">
        <v>11</v>
      </c>
      <c r="B197" s="2">
        <v>2</v>
      </c>
      <c r="C197" s="2" t="s">
        <v>33</v>
      </c>
      <c r="D197" s="2">
        <v>0</v>
      </c>
      <c r="E197" s="13" t="s">
        <v>16</v>
      </c>
    </row>
    <row r="198" spans="1:5" x14ac:dyDescent="0.3">
      <c r="A198" s="12" t="s">
        <v>15</v>
      </c>
      <c r="B198" s="2">
        <v>0</v>
      </c>
      <c r="C198" s="2" t="s">
        <v>33</v>
      </c>
      <c r="D198" s="2">
        <v>2</v>
      </c>
      <c r="E198" s="13" t="s">
        <v>10</v>
      </c>
    </row>
    <row r="199" spans="1:5" x14ac:dyDescent="0.3">
      <c r="A199" s="12" t="s">
        <v>17</v>
      </c>
      <c r="B199" s="2">
        <v>2</v>
      </c>
      <c r="C199" s="2" t="s">
        <v>33</v>
      </c>
      <c r="D199" s="2">
        <v>1</v>
      </c>
      <c r="E199" s="13" t="s">
        <v>19</v>
      </c>
    </row>
    <row r="201" spans="1:5" x14ac:dyDescent="0.3">
      <c r="A201" s="12" t="s">
        <v>119</v>
      </c>
    </row>
    <row r="202" spans="1:5" x14ac:dyDescent="0.3">
      <c r="A202" s="12" t="s">
        <v>12</v>
      </c>
      <c r="B202" s="2">
        <v>1</v>
      </c>
      <c r="C202" s="2" t="s">
        <v>33</v>
      </c>
      <c r="D202" s="2">
        <v>0</v>
      </c>
      <c r="E202" s="13" t="s">
        <v>122</v>
      </c>
    </row>
    <row r="203" spans="1:5" x14ac:dyDescent="0.3">
      <c r="A203" s="12" t="s">
        <v>5</v>
      </c>
      <c r="B203" s="2">
        <v>2</v>
      </c>
      <c r="C203" s="2" t="s">
        <v>33</v>
      </c>
      <c r="D203" s="2">
        <v>1</v>
      </c>
      <c r="E203" s="13" t="s">
        <v>6</v>
      </c>
    </row>
    <row r="204" spans="1:5" x14ac:dyDescent="0.3">
      <c r="A204" s="12" t="s">
        <v>14</v>
      </c>
      <c r="B204" s="2">
        <v>2</v>
      </c>
      <c r="C204" s="2" t="s">
        <v>33</v>
      </c>
      <c r="D204" s="2">
        <v>1</v>
      </c>
      <c r="E204" s="13" t="s">
        <v>9</v>
      </c>
    </row>
    <row r="205" spans="1:5" x14ac:dyDescent="0.3">
      <c r="A205" s="12" t="s">
        <v>8</v>
      </c>
      <c r="B205" s="2">
        <v>2</v>
      </c>
      <c r="C205" s="2" t="s">
        <v>33</v>
      </c>
      <c r="D205" s="2">
        <v>1</v>
      </c>
      <c r="E205" s="13" t="s">
        <v>123</v>
      </c>
    </row>
    <row r="206" spans="1:5" x14ac:dyDescent="0.3">
      <c r="A206" s="12" t="s">
        <v>13</v>
      </c>
      <c r="B206" s="2">
        <v>1</v>
      </c>
      <c r="C206" s="2" t="s">
        <v>33</v>
      </c>
      <c r="D206" s="2">
        <v>1</v>
      </c>
      <c r="E206" s="13" t="s">
        <v>18</v>
      </c>
    </row>
    <row r="207" spans="1:5" x14ac:dyDescent="0.3">
      <c r="A207" s="12" t="s">
        <v>11</v>
      </c>
      <c r="B207" s="2">
        <v>1</v>
      </c>
      <c r="C207" s="2" t="s">
        <v>33</v>
      </c>
      <c r="D207" s="2">
        <v>1</v>
      </c>
      <c r="E207" s="13" t="s">
        <v>16</v>
      </c>
    </row>
    <row r="208" spans="1:5" x14ac:dyDescent="0.3">
      <c r="A208" s="12" t="s">
        <v>15</v>
      </c>
      <c r="B208" s="2">
        <v>1</v>
      </c>
      <c r="C208" s="2" t="s">
        <v>33</v>
      </c>
      <c r="D208" s="2">
        <v>1</v>
      </c>
      <c r="E208" s="13" t="s">
        <v>10</v>
      </c>
    </row>
    <row r="209" spans="1:5" x14ac:dyDescent="0.3">
      <c r="A209" s="12" t="s">
        <v>17</v>
      </c>
      <c r="B209" s="2">
        <v>2</v>
      </c>
      <c r="C209" s="2" t="s">
        <v>33</v>
      </c>
      <c r="D209" s="2">
        <v>1</v>
      </c>
      <c r="E209" s="13" t="s">
        <v>19</v>
      </c>
    </row>
    <row r="211" spans="1:5" x14ac:dyDescent="0.3">
      <c r="A211" s="12" t="s">
        <v>120</v>
      </c>
    </row>
    <row r="212" spans="1:5" x14ac:dyDescent="0.3">
      <c r="A212" s="12" t="s">
        <v>12</v>
      </c>
      <c r="B212" s="2">
        <v>1</v>
      </c>
      <c r="C212" s="2" t="s">
        <v>33</v>
      </c>
      <c r="D212" s="2">
        <v>2</v>
      </c>
      <c r="E212" s="13" t="s">
        <v>122</v>
      </c>
    </row>
    <row r="213" spans="1:5" x14ac:dyDescent="0.3">
      <c r="A213" s="12" t="s">
        <v>5</v>
      </c>
      <c r="B213" s="2">
        <v>2</v>
      </c>
      <c r="C213" s="2" t="s">
        <v>33</v>
      </c>
      <c r="D213" s="2">
        <v>1</v>
      </c>
      <c r="E213" s="13" t="s">
        <v>6</v>
      </c>
    </row>
    <row r="214" spans="1:5" x14ac:dyDescent="0.3">
      <c r="A214" s="12" t="s">
        <v>14</v>
      </c>
      <c r="B214" s="2">
        <v>1</v>
      </c>
      <c r="C214" s="2" t="s">
        <v>33</v>
      </c>
      <c r="D214" s="2">
        <v>0</v>
      </c>
      <c r="E214" s="13" t="s">
        <v>9</v>
      </c>
    </row>
    <row r="215" spans="1:5" x14ac:dyDescent="0.3">
      <c r="A215" s="12" t="s">
        <v>8</v>
      </c>
      <c r="B215" s="2">
        <v>2</v>
      </c>
      <c r="C215" s="2" t="s">
        <v>33</v>
      </c>
      <c r="D215" s="2">
        <v>1</v>
      </c>
      <c r="E215" s="13" t="s">
        <v>123</v>
      </c>
    </row>
    <row r="216" spans="1:5" x14ac:dyDescent="0.3">
      <c r="A216" s="12" t="s">
        <v>13</v>
      </c>
      <c r="B216" s="2">
        <v>0</v>
      </c>
      <c r="C216" s="2" t="s">
        <v>33</v>
      </c>
      <c r="D216" s="2">
        <v>1</v>
      </c>
      <c r="E216" s="13" t="s">
        <v>18</v>
      </c>
    </row>
    <row r="217" spans="1:5" x14ac:dyDescent="0.3">
      <c r="A217" s="12" t="s">
        <v>11</v>
      </c>
      <c r="B217" s="2">
        <v>2</v>
      </c>
      <c r="C217" s="2" t="s">
        <v>33</v>
      </c>
      <c r="D217" s="2">
        <v>0</v>
      </c>
      <c r="E217" s="13" t="s">
        <v>16</v>
      </c>
    </row>
    <row r="218" spans="1:5" x14ac:dyDescent="0.3">
      <c r="A218" s="12" t="s">
        <v>15</v>
      </c>
      <c r="B218" s="2">
        <v>1</v>
      </c>
      <c r="C218" s="2" t="s">
        <v>33</v>
      </c>
      <c r="D218" s="2">
        <v>0</v>
      </c>
      <c r="E218" s="13" t="s">
        <v>10</v>
      </c>
    </row>
    <row r="219" spans="1:5" x14ac:dyDescent="0.3">
      <c r="A219" s="12" t="s">
        <v>17</v>
      </c>
      <c r="B219" s="2">
        <v>1</v>
      </c>
      <c r="C219" s="2" t="s">
        <v>33</v>
      </c>
      <c r="D219" s="2">
        <v>0</v>
      </c>
      <c r="E219" s="13" t="s">
        <v>19</v>
      </c>
    </row>
    <row r="221" spans="1:5" x14ac:dyDescent="0.3">
      <c r="A221" s="12" t="s">
        <v>121</v>
      </c>
    </row>
    <row r="222" spans="1:5" x14ac:dyDescent="0.3">
      <c r="A222" s="12" t="s">
        <v>12</v>
      </c>
      <c r="B222" s="2">
        <v>1</v>
      </c>
      <c r="C222" s="2" t="s">
        <v>33</v>
      </c>
      <c r="D222" s="2">
        <v>0</v>
      </c>
      <c r="E222" s="13" t="s">
        <v>122</v>
      </c>
    </row>
    <row r="223" spans="1:5" x14ac:dyDescent="0.3">
      <c r="A223" s="12" t="s">
        <v>5</v>
      </c>
      <c r="B223" s="2">
        <v>2</v>
      </c>
      <c r="C223" s="2" t="s">
        <v>33</v>
      </c>
      <c r="D223" s="2">
        <v>1</v>
      </c>
      <c r="E223" s="13" t="s">
        <v>6</v>
      </c>
    </row>
    <row r="224" spans="1:5" x14ac:dyDescent="0.3">
      <c r="A224" s="12" t="s">
        <v>14</v>
      </c>
      <c r="B224" s="2">
        <v>1</v>
      </c>
      <c r="C224" s="2" t="s">
        <v>33</v>
      </c>
      <c r="D224" s="2">
        <v>2</v>
      </c>
      <c r="E224" s="13" t="s">
        <v>9</v>
      </c>
    </row>
    <row r="225" spans="1:5" x14ac:dyDescent="0.3">
      <c r="A225" s="12" t="s">
        <v>8</v>
      </c>
      <c r="B225" s="2">
        <v>2</v>
      </c>
      <c r="C225" s="2" t="s">
        <v>33</v>
      </c>
      <c r="D225" s="2">
        <v>1</v>
      </c>
      <c r="E225" s="13" t="s">
        <v>123</v>
      </c>
    </row>
    <row r="226" spans="1:5" x14ac:dyDescent="0.3">
      <c r="A226" s="12" t="s">
        <v>13</v>
      </c>
      <c r="B226" s="2">
        <v>1</v>
      </c>
      <c r="C226" s="2" t="s">
        <v>33</v>
      </c>
      <c r="D226" s="2">
        <v>1</v>
      </c>
      <c r="E226" s="13" t="s">
        <v>18</v>
      </c>
    </row>
    <row r="227" spans="1:5" x14ac:dyDescent="0.3">
      <c r="A227" s="12" t="s">
        <v>11</v>
      </c>
      <c r="B227" s="2">
        <v>2</v>
      </c>
      <c r="C227" s="2" t="s">
        <v>33</v>
      </c>
      <c r="D227" s="2">
        <v>0</v>
      </c>
      <c r="E227" s="13" t="s">
        <v>16</v>
      </c>
    </row>
    <row r="228" spans="1:5" x14ac:dyDescent="0.3">
      <c r="A228" s="12" t="s">
        <v>15</v>
      </c>
      <c r="B228" s="2">
        <v>1</v>
      </c>
      <c r="C228" s="2" t="s">
        <v>33</v>
      </c>
      <c r="D228" s="2">
        <v>2</v>
      </c>
      <c r="E228" s="13" t="s">
        <v>10</v>
      </c>
    </row>
    <row r="229" spans="1:5" x14ac:dyDescent="0.3">
      <c r="A229" s="12" t="s">
        <v>17</v>
      </c>
      <c r="B229" s="2">
        <v>0</v>
      </c>
      <c r="C229" s="2" t="s">
        <v>33</v>
      </c>
      <c r="D229" s="2">
        <v>1</v>
      </c>
      <c r="E229" s="13" t="s">
        <v>19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DF39F-3F82-40A1-8911-4EAF0D8AC5D2}">
  <sheetPr codeName="Planilha3"/>
  <dimension ref="A1:Y57"/>
  <sheetViews>
    <sheetView showGridLines="0" topLeftCell="A19" zoomScale="80" zoomScaleNormal="80" workbookViewId="0">
      <selection activeCell="E45" sqref="E45"/>
    </sheetView>
  </sheetViews>
  <sheetFormatPr defaultColWidth="8.88671875" defaultRowHeight="18" x14ac:dyDescent="0.3"/>
  <cols>
    <col min="1" max="1" width="19.44140625" style="12" customWidth="1"/>
    <col min="2" max="2" width="4.44140625" style="51" customWidth="1"/>
    <col min="3" max="3" width="5.33203125" style="4" customWidth="1"/>
    <col min="4" max="4" width="4.44140625" style="51" customWidth="1"/>
    <col min="5" max="5" width="19.44140625" style="13" customWidth="1"/>
    <col min="6" max="6" width="1.6640625" style="14" customWidth="1"/>
    <col min="7" max="7" width="19.44140625" style="12" customWidth="1"/>
    <col min="8" max="8" width="4.44140625" style="52" customWidth="1"/>
    <col min="9" max="9" width="5.33203125" style="3" customWidth="1"/>
    <col min="10" max="10" width="4.44140625" style="52" customWidth="1"/>
    <col min="11" max="11" width="19.44140625" style="13" customWidth="1"/>
    <col min="12" max="12" width="1.88671875" style="14" customWidth="1"/>
    <col min="13" max="14" width="1.88671875" style="3" customWidth="1"/>
    <col min="15" max="16" width="20.44140625" style="3" customWidth="1"/>
    <col min="17" max="17" width="1.88671875" style="3" customWidth="1"/>
    <col min="18" max="18" width="20.88671875" style="3" customWidth="1"/>
    <col min="19" max="19" width="17.6640625" style="104" bestFit="1" customWidth="1"/>
    <col min="20" max="20" width="6.88671875" style="4" customWidth="1"/>
    <col min="21" max="21" width="2.6640625" style="4" customWidth="1"/>
    <col min="22" max="22" width="6.88671875" style="4" customWidth="1"/>
    <col min="23" max="23" width="10.109375" style="105" bestFit="1" customWidth="1"/>
    <col min="24" max="24" width="3.77734375" style="3" customWidth="1"/>
    <col min="25" max="16384" width="8.88671875" style="3"/>
  </cols>
  <sheetData>
    <row r="1" spans="1:24" ht="16.8" thickTop="1" thickBot="1" x14ac:dyDescent="0.35">
      <c r="A1" s="203" t="s">
        <v>217</v>
      </c>
      <c r="B1" s="204"/>
      <c r="C1" s="204"/>
      <c r="D1" s="204"/>
      <c r="E1" s="204"/>
      <c r="F1" s="204"/>
      <c r="G1" s="204"/>
      <c r="H1" s="204"/>
      <c r="I1" s="204"/>
      <c r="J1" s="204"/>
      <c r="K1" s="205"/>
    </row>
    <row r="2" spans="1:24" ht="16.2" thickTop="1" x14ac:dyDescent="0.3">
      <c r="A2" s="145" t="s">
        <v>0</v>
      </c>
      <c r="B2" s="146"/>
      <c r="C2" s="146"/>
      <c r="D2" s="146"/>
      <c r="E2" s="146"/>
      <c r="F2" s="15"/>
      <c r="G2" s="146" t="s">
        <v>21</v>
      </c>
      <c r="H2" s="146"/>
      <c r="I2" s="146"/>
      <c r="J2" s="146"/>
      <c r="K2" s="169"/>
      <c r="O2" s="206" t="s">
        <v>253</v>
      </c>
      <c r="P2" s="207"/>
      <c r="R2" s="186" t="s">
        <v>215</v>
      </c>
      <c r="S2" s="187"/>
      <c r="T2" s="188"/>
      <c r="V2" s="177" t="s">
        <v>27</v>
      </c>
      <c r="W2" s="178"/>
      <c r="X2" s="179"/>
    </row>
    <row r="3" spans="1:24" ht="18" customHeight="1" x14ac:dyDescent="0.3">
      <c r="A3" s="56" t="s">
        <v>183</v>
      </c>
      <c r="B3" s="57">
        <v>0</v>
      </c>
      <c r="C3" s="58" t="s">
        <v>20</v>
      </c>
      <c r="D3" s="57">
        <v>0</v>
      </c>
      <c r="E3" s="29" t="s">
        <v>184</v>
      </c>
      <c r="F3" s="16"/>
      <c r="G3" s="47" t="s">
        <v>199</v>
      </c>
      <c r="H3" s="49">
        <v>3</v>
      </c>
      <c r="I3" s="6" t="s">
        <v>20</v>
      </c>
      <c r="J3" s="49">
        <v>1</v>
      </c>
      <c r="K3" s="45" t="s">
        <v>200</v>
      </c>
      <c r="O3" s="5" t="s">
        <v>183</v>
      </c>
      <c r="P3" s="9" t="s">
        <v>210</v>
      </c>
      <c r="R3" s="156">
        <f>V12*0.4</f>
        <v>168</v>
      </c>
      <c r="S3" s="157"/>
      <c r="T3" s="158"/>
      <c r="V3" s="194">
        <v>21</v>
      </c>
      <c r="W3" s="195"/>
      <c r="X3" s="196"/>
    </row>
    <row r="4" spans="1:24" ht="18" customHeight="1" x14ac:dyDescent="0.3">
      <c r="A4" s="56" t="s">
        <v>185</v>
      </c>
      <c r="B4" s="57">
        <v>0</v>
      </c>
      <c r="C4" s="58" t="s">
        <v>20</v>
      </c>
      <c r="D4" s="57">
        <v>0</v>
      </c>
      <c r="E4" s="29" t="s">
        <v>186</v>
      </c>
      <c r="F4" s="16"/>
      <c r="G4" s="47" t="s">
        <v>201</v>
      </c>
      <c r="H4" s="49">
        <v>1</v>
      </c>
      <c r="I4" s="6" t="s">
        <v>20</v>
      </c>
      <c r="J4" s="49">
        <v>1</v>
      </c>
      <c r="K4" s="45" t="s">
        <v>202</v>
      </c>
      <c r="O4" s="5" t="s">
        <v>209</v>
      </c>
      <c r="P4" s="9" t="s">
        <v>196</v>
      </c>
      <c r="R4" s="156"/>
      <c r="S4" s="157"/>
      <c r="T4" s="158"/>
      <c r="V4" s="194"/>
      <c r="W4" s="195"/>
      <c r="X4" s="196"/>
    </row>
    <row r="5" spans="1:24" ht="18" customHeight="1" x14ac:dyDescent="0.3">
      <c r="A5" s="56" t="s">
        <v>185</v>
      </c>
      <c r="B5" s="57">
        <v>2</v>
      </c>
      <c r="C5" s="58" t="s">
        <v>20</v>
      </c>
      <c r="D5" s="57">
        <v>0</v>
      </c>
      <c r="E5" s="29" t="s">
        <v>183</v>
      </c>
      <c r="F5" s="16"/>
      <c r="G5" s="47" t="s">
        <v>202</v>
      </c>
      <c r="H5" s="49">
        <v>2</v>
      </c>
      <c r="I5" s="6" t="s">
        <v>20</v>
      </c>
      <c r="J5" s="49">
        <v>1</v>
      </c>
      <c r="K5" s="45" t="s">
        <v>200</v>
      </c>
      <c r="O5" s="5" t="s">
        <v>212</v>
      </c>
      <c r="P5" s="9" t="s">
        <v>206</v>
      </c>
      <c r="R5" s="159"/>
      <c r="S5" s="160"/>
      <c r="T5" s="161"/>
      <c r="V5" s="197"/>
      <c r="W5" s="198"/>
      <c r="X5" s="199"/>
    </row>
    <row r="6" spans="1:24" x14ac:dyDescent="0.3">
      <c r="A6" s="56" t="s">
        <v>184</v>
      </c>
      <c r="B6" s="57">
        <v>2</v>
      </c>
      <c r="C6" s="58" t="s">
        <v>20</v>
      </c>
      <c r="D6" s="57">
        <v>1</v>
      </c>
      <c r="E6" s="29" t="s">
        <v>186</v>
      </c>
      <c r="F6" s="16"/>
      <c r="G6" s="47" t="s">
        <v>199</v>
      </c>
      <c r="H6" s="49">
        <v>0</v>
      </c>
      <c r="I6" s="6" t="s">
        <v>20</v>
      </c>
      <c r="J6" s="49">
        <v>0</v>
      </c>
      <c r="K6" s="45" t="s">
        <v>201</v>
      </c>
      <c r="O6" s="5" t="s">
        <v>188</v>
      </c>
      <c r="P6" s="9" t="s">
        <v>207</v>
      </c>
    </row>
    <row r="7" spans="1:24" x14ac:dyDescent="0.3">
      <c r="A7" s="56" t="s">
        <v>184</v>
      </c>
      <c r="B7" s="57">
        <v>2</v>
      </c>
      <c r="C7" s="58" t="s">
        <v>20</v>
      </c>
      <c r="D7" s="57">
        <v>2</v>
      </c>
      <c r="E7" s="29" t="s">
        <v>185</v>
      </c>
      <c r="F7" s="16"/>
      <c r="G7" s="47" t="s">
        <v>202</v>
      </c>
      <c r="H7" s="49">
        <v>2</v>
      </c>
      <c r="I7" s="6" t="s">
        <v>20</v>
      </c>
      <c r="J7" s="49">
        <v>0</v>
      </c>
      <c r="K7" s="45" t="s">
        <v>199</v>
      </c>
      <c r="O7" s="5" t="s">
        <v>192</v>
      </c>
      <c r="P7" s="9" t="s">
        <v>201</v>
      </c>
      <c r="R7" s="200" t="s">
        <v>30</v>
      </c>
      <c r="S7" s="201"/>
      <c r="T7" s="202"/>
      <c r="V7" s="177" t="s">
        <v>28</v>
      </c>
      <c r="W7" s="178"/>
      <c r="X7" s="179"/>
    </row>
    <row r="8" spans="1:24" x14ac:dyDescent="0.3">
      <c r="A8" s="56" t="s">
        <v>186</v>
      </c>
      <c r="B8" s="57">
        <v>4</v>
      </c>
      <c r="C8" s="58" t="s">
        <v>20</v>
      </c>
      <c r="D8" s="57">
        <v>4</v>
      </c>
      <c r="E8" s="29" t="s">
        <v>183</v>
      </c>
      <c r="F8" s="16"/>
      <c r="G8" s="47" t="s">
        <v>200</v>
      </c>
      <c r="H8" s="49">
        <v>0</v>
      </c>
      <c r="I8" s="6" t="s">
        <v>20</v>
      </c>
      <c r="J8" s="49">
        <v>4</v>
      </c>
      <c r="K8" s="45" t="s">
        <v>201</v>
      </c>
      <c r="O8" s="5" t="s">
        <v>191</v>
      </c>
      <c r="P8" s="9" t="s">
        <v>213</v>
      </c>
      <c r="R8" s="156">
        <f>V12*0.3</f>
        <v>126</v>
      </c>
      <c r="S8" s="157"/>
      <c r="T8" s="158"/>
      <c r="V8" s="171">
        <v>20</v>
      </c>
      <c r="W8" s="172"/>
      <c r="X8" s="173"/>
    </row>
    <row r="9" spans="1:24" ht="15.6" x14ac:dyDescent="0.3">
      <c r="A9" s="145" t="s">
        <v>1</v>
      </c>
      <c r="B9" s="146"/>
      <c r="C9" s="146"/>
      <c r="D9" s="146"/>
      <c r="E9" s="146"/>
      <c r="F9" s="16"/>
      <c r="G9" s="146" t="s">
        <v>22</v>
      </c>
      <c r="H9" s="146"/>
      <c r="I9" s="146"/>
      <c r="J9" s="146"/>
      <c r="K9" s="169"/>
      <c r="O9" s="5" t="s">
        <v>194</v>
      </c>
      <c r="P9" s="9" t="s">
        <v>185</v>
      </c>
      <c r="R9" s="159"/>
      <c r="S9" s="160"/>
      <c r="T9" s="161"/>
      <c r="V9" s="174"/>
      <c r="W9" s="175"/>
      <c r="X9" s="176"/>
    </row>
    <row r="10" spans="1:24" x14ac:dyDescent="0.3">
      <c r="A10" s="41" t="s">
        <v>187</v>
      </c>
      <c r="B10" s="49">
        <v>4</v>
      </c>
      <c r="C10" s="6" t="s">
        <v>20</v>
      </c>
      <c r="D10" s="49">
        <v>0</v>
      </c>
      <c r="E10" s="43" t="s">
        <v>188</v>
      </c>
      <c r="F10" s="16"/>
      <c r="G10" s="47" t="s">
        <v>203</v>
      </c>
      <c r="H10" s="49">
        <v>0</v>
      </c>
      <c r="I10" s="6" t="s">
        <v>20</v>
      </c>
      <c r="J10" s="49">
        <v>0</v>
      </c>
      <c r="K10" s="45" t="s">
        <v>218</v>
      </c>
      <c r="O10" s="5" t="s">
        <v>193</v>
      </c>
      <c r="P10" s="9" t="s">
        <v>186</v>
      </c>
    </row>
    <row r="11" spans="1:24" x14ac:dyDescent="0.3">
      <c r="A11" s="41" t="s">
        <v>189</v>
      </c>
      <c r="B11" s="49">
        <v>2</v>
      </c>
      <c r="C11" s="6" t="s">
        <v>20</v>
      </c>
      <c r="D11" s="49">
        <v>1</v>
      </c>
      <c r="E11" s="43" t="s">
        <v>190</v>
      </c>
      <c r="F11" s="16"/>
      <c r="G11" s="47" t="s">
        <v>205</v>
      </c>
      <c r="H11" s="49">
        <v>0</v>
      </c>
      <c r="I11" s="6" t="s">
        <v>20</v>
      </c>
      <c r="J11" s="49">
        <v>1</v>
      </c>
      <c r="K11" s="45" t="s">
        <v>206</v>
      </c>
      <c r="O11" s="5" t="s">
        <v>204</v>
      </c>
      <c r="P11" s="9" t="s">
        <v>187</v>
      </c>
      <c r="R11" s="183" t="s">
        <v>31</v>
      </c>
      <c r="S11" s="184"/>
      <c r="T11" s="185"/>
      <c r="V11" s="177" t="s">
        <v>29</v>
      </c>
      <c r="W11" s="178"/>
      <c r="X11" s="179"/>
    </row>
    <row r="12" spans="1:24" ht="15.75" customHeight="1" x14ac:dyDescent="0.3">
      <c r="A12" s="41" t="s">
        <v>190</v>
      </c>
      <c r="B12" s="49">
        <v>1</v>
      </c>
      <c r="C12" s="6" t="s">
        <v>20</v>
      </c>
      <c r="D12" s="49">
        <v>3</v>
      </c>
      <c r="E12" s="43" t="s">
        <v>188</v>
      </c>
      <c r="F12" s="16"/>
      <c r="G12" s="47" t="s">
        <v>206</v>
      </c>
      <c r="H12" s="49">
        <v>3</v>
      </c>
      <c r="I12" s="6" t="s">
        <v>20</v>
      </c>
      <c r="J12" s="49">
        <v>4</v>
      </c>
      <c r="K12" s="45" t="s">
        <v>218</v>
      </c>
      <c r="O12" s="5" t="s">
        <v>189</v>
      </c>
      <c r="P12" s="9" t="s">
        <v>214</v>
      </c>
      <c r="R12" s="156">
        <f>V12*0.2</f>
        <v>84</v>
      </c>
      <c r="S12" s="157"/>
      <c r="T12" s="158"/>
      <c r="V12" s="189">
        <f>V3*V8</f>
        <v>420</v>
      </c>
      <c r="W12" s="166"/>
      <c r="X12" s="190"/>
    </row>
    <row r="13" spans="1:24" ht="15.75" customHeight="1" x14ac:dyDescent="0.3">
      <c r="A13" s="41" t="s">
        <v>187</v>
      </c>
      <c r="B13" s="49">
        <v>0</v>
      </c>
      <c r="C13" s="6" t="s">
        <v>20</v>
      </c>
      <c r="D13" s="49">
        <v>1</v>
      </c>
      <c r="E13" s="43" t="s">
        <v>189</v>
      </c>
      <c r="F13" s="16"/>
      <c r="G13" s="47" t="s">
        <v>203</v>
      </c>
      <c r="H13" s="49">
        <v>4</v>
      </c>
      <c r="I13" s="6" t="s">
        <v>20</v>
      </c>
      <c r="J13" s="49">
        <v>2</v>
      </c>
      <c r="K13" s="45" t="s">
        <v>205</v>
      </c>
      <c r="O13" s="5" t="s">
        <v>195</v>
      </c>
      <c r="P13" s="9" t="s">
        <v>211</v>
      </c>
      <c r="R13" s="159"/>
      <c r="S13" s="160"/>
      <c r="T13" s="161"/>
      <c r="V13" s="191"/>
      <c r="W13" s="192"/>
      <c r="X13" s="193"/>
    </row>
    <row r="14" spans="1:24" ht="15.75" customHeight="1" x14ac:dyDescent="0.3">
      <c r="A14" s="41" t="s">
        <v>190</v>
      </c>
      <c r="B14" s="49">
        <v>0</v>
      </c>
      <c r="C14" s="6" t="s">
        <v>20</v>
      </c>
      <c r="D14" s="49">
        <v>2</v>
      </c>
      <c r="E14" s="43" t="s">
        <v>187</v>
      </c>
      <c r="F14" s="16"/>
      <c r="G14" s="47" t="s">
        <v>206</v>
      </c>
      <c r="H14" s="49">
        <v>0</v>
      </c>
      <c r="I14" s="6" t="s">
        <v>20</v>
      </c>
      <c r="J14" s="49">
        <v>0</v>
      </c>
      <c r="K14" s="45" t="s">
        <v>203</v>
      </c>
      <c r="O14" s="5" t="s">
        <v>198</v>
      </c>
      <c r="P14" s="9" t="s">
        <v>199</v>
      </c>
      <c r="V14" s="93"/>
      <c r="W14" s="106"/>
      <c r="X14" s="11"/>
    </row>
    <row r="15" spans="1:24" x14ac:dyDescent="0.3">
      <c r="A15" s="41" t="s">
        <v>188</v>
      </c>
      <c r="B15" s="49">
        <v>1</v>
      </c>
      <c r="C15" s="6" t="s">
        <v>20</v>
      </c>
      <c r="D15" s="49">
        <v>0</v>
      </c>
      <c r="E15" s="43" t="s">
        <v>189</v>
      </c>
      <c r="F15" s="16"/>
      <c r="G15" s="47" t="s">
        <v>204</v>
      </c>
      <c r="H15" s="49">
        <v>1</v>
      </c>
      <c r="I15" s="6" t="s">
        <v>20</v>
      </c>
      <c r="J15" s="49">
        <v>0</v>
      </c>
      <c r="K15" s="45" t="s">
        <v>205</v>
      </c>
      <c r="O15" s="5" t="s">
        <v>197</v>
      </c>
      <c r="P15" s="9" t="s">
        <v>190</v>
      </c>
      <c r="R15" s="180" t="s">
        <v>216</v>
      </c>
      <c r="S15" s="181"/>
      <c r="T15" s="182"/>
      <c r="V15" s="170"/>
      <c r="W15" s="170"/>
      <c r="X15" s="170"/>
    </row>
    <row r="16" spans="1:24" ht="21" customHeight="1" x14ac:dyDescent="0.3">
      <c r="A16" s="145" t="s">
        <v>2</v>
      </c>
      <c r="B16" s="146"/>
      <c r="C16" s="146"/>
      <c r="D16" s="146"/>
      <c r="E16" s="146"/>
      <c r="F16" s="16"/>
      <c r="G16" s="146" t="s">
        <v>23</v>
      </c>
      <c r="H16" s="146"/>
      <c r="I16" s="146"/>
      <c r="J16" s="146"/>
      <c r="K16" s="169"/>
      <c r="O16" s="5" t="s">
        <v>203</v>
      </c>
      <c r="P16" s="9" t="s">
        <v>205</v>
      </c>
      <c r="R16" s="156">
        <f>V12*0.1</f>
        <v>42</v>
      </c>
      <c r="S16" s="157"/>
      <c r="T16" s="158"/>
      <c r="V16" s="166"/>
      <c r="W16" s="166"/>
      <c r="X16" s="166"/>
    </row>
    <row r="17" spans="1:25" ht="21" customHeight="1" x14ac:dyDescent="0.3">
      <c r="A17" s="41" t="s">
        <v>191</v>
      </c>
      <c r="B17" s="49">
        <v>10</v>
      </c>
      <c r="C17" s="6" t="s">
        <v>20</v>
      </c>
      <c r="D17" s="49">
        <v>0</v>
      </c>
      <c r="E17" s="43" t="s">
        <v>192</v>
      </c>
      <c r="F17" s="16"/>
      <c r="G17" s="47" t="s">
        <v>207</v>
      </c>
      <c r="H17" s="49">
        <v>2</v>
      </c>
      <c r="I17" s="6" t="s">
        <v>20</v>
      </c>
      <c r="J17" s="49">
        <v>0</v>
      </c>
      <c r="K17" s="45" t="s">
        <v>208</v>
      </c>
      <c r="O17" s="5" t="s">
        <v>202</v>
      </c>
      <c r="P17" s="9" t="s">
        <v>200</v>
      </c>
      <c r="R17" s="159"/>
      <c r="S17" s="160"/>
      <c r="T17" s="161"/>
      <c r="V17" s="166"/>
      <c r="W17" s="166"/>
      <c r="X17" s="166"/>
    </row>
    <row r="18" spans="1:25" ht="18.600000000000001" thickBot="1" x14ac:dyDescent="0.35">
      <c r="A18" s="41" t="s">
        <v>193</v>
      </c>
      <c r="B18" s="49">
        <v>2</v>
      </c>
      <c r="C18" s="6" t="s">
        <v>20</v>
      </c>
      <c r="D18" s="49">
        <v>2</v>
      </c>
      <c r="E18" s="43" t="s">
        <v>194</v>
      </c>
      <c r="F18" s="16"/>
      <c r="G18" s="47" t="s">
        <v>209</v>
      </c>
      <c r="H18" s="49">
        <v>0</v>
      </c>
      <c r="I18" s="6" t="s">
        <v>20</v>
      </c>
      <c r="J18" s="49">
        <v>5</v>
      </c>
      <c r="K18" s="45" t="s">
        <v>210</v>
      </c>
      <c r="O18" s="7" t="s">
        <v>184</v>
      </c>
      <c r="P18" s="10" t="s">
        <v>208</v>
      </c>
    </row>
    <row r="19" spans="1:25" ht="18.600000000000001" thickTop="1" x14ac:dyDescent="0.3">
      <c r="A19" s="41" t="s">
        <v>194</v>
      </c>
      <c r="B19" s="49">
        <v>6</v>
      </c>
      <c r="C19" s="6" t="s">
        <v>20</v>
      </c>
      <c r="D19" s="49">
        <v>0</v>
      </c>
      <c r="E19" s="43" t="s">
        <v>192</v>
      </c>
      <c r="F19" s="16"/>
      <c r="G19" s="47" t="s">
        <v>210</v>
      </c>
      <c r="H19" s="49">
        <v>4</v>
      </c>
      <c r="I19" s="6" t="s">
        <v>20</v>
      </c>
      <c r="J19" s="49">
        <v>1</v>
      </c>
      <c r="K19" s="45" t="s">
        <v>208</v>
      </c>
    </row>
    <row r="20" spans="1:25" x14ac:dyDescent="0.3">
      <c r="A20" s="41" t="s">
        <v>191</v>
      </c>
      <c r="B20" s="49">
        <v>2</v>
      </c>
      <c r="C20" s="6" t="s">
        <v>20</v>
      </c>
      <c r="D20" s="49">
        <v>1</v>
      </c>
      <c r="E20" s="43" t="s">
        <v>193</v>
      </c>
      <c r="F20" s="16"/>
      <c r="G20" s="47" t="s">
        <v>207</v>
      </c>
      <c r="H20" s="49">
        <v>6</v>
      </c>
      <c r="I20" s="6" t="s">
        <v>20</v>
      </c>
      <c r="J20" s="49">
        <v>0</v>
      </c>
      <c r="K20" s="45" t="s">
        <v>209</v>
      </c>
      <c r="O20" s="155" t="s">
        <v>81</v>
      </c>
      <c r="P20" s="155"/>
      <c r="Q20" s="155"/>
      <c r="R20" s="167"/>
      <c r="S20" s="167"/>
      <c r="T20" s="167"/>
    </row>
    <row r="21" spans="1:25" x14ac:dyDescent="0.3">
      <c r="A21" s="41" t="s">
        <v>194</v>
      </c>
      <c r="B21" s="49">
        <v>1</v>
      </c>
      <c r="C21" s="6" t="s">
        <v>20</v>
      </c>
      <c r="D21" s="49">
        <v>0</v>
      </c>
      <c r="E21" s="43" t="s">
        <v>191</v>
      </c>
      <c r="F21" s="16"/>
      <c r="G21" s="47" t="s">
        <v>210</v>
      </c>
      <c r="H21" s="49">
        <v>2</v>
      </c>
      <c r="I21" s="6" t="s">
        <v>20</v>
      </c>
      <c r="J21" s="49">
        <v>5</v>
      </c>
      <c r="K21" s="45" t="s">
        <v>207</v>
      </c>
      <c r="O21" s="155" t="s">
        <v>82</v>
      </c>
      <c r="P21" s="155"/>
      <c r="Q21" s="155"/>
      <c r="R21" s="168"/>
      <c r="S21" s="168"/>
      <c r="T21" s="168"/>
    </row>
    <row r="22" spans="1:25" x14ac:dyDescent="0.3">
      <c r="A22" s="41" t="s">
        <v>192</v>
      </c>
      <c r="B22" s="49">
        <v>1</v>
      </c>
      <c r="C22" s="6" t="s">
        <v>20</v>
      </c>
      <c r="D22" s="49">
        <v>1</v>
      </c>
      <c r="E22" s="43" t="s">
        <v>193</v>
      </c>
      <c r="F22" s="16"/>
      <c r="G22" s="47" t="s">
        <v>208</v>
      </c>
      <c r="H22" s="49">
        <v>1</v>
      </c>
      <c r="I22" s="6" t="s">
        <v>20</v>
      </c>
      <c r="J22" s="49">
        <v>2</v>
      </c>
      <c r="K22" s="45" t="s">
        <v>209</v>
      </c>
    </row>
    <row r="23" spans="1:25" x14ac:dyDescent="0.3">
      <c r="A23" s="145" t="s">
        <v>3</v>
      </c>
      <c r="B23" s="146"/>
      <c r="C23" s="146"/>
      <c r="D23" s="146"/>
      <c r="E23" s="146"/>
      <c r="F23" s="16"/>
      <c r="G23" s="146" t="s">
        <v>24</v>
      </c>
      <c r="H23" s="146"/>
      <c r="I23" s="146"/>
      <c r="J23" s="146"/>
      <c r="K23" s="169"/>
      <c r="S23" s="165" t="s">
        <v>265</v>
      </c>
      <c r="T23" s="165"/>
      <c r="U23" s="165"/>
      <c r="V23" s="165"/>
      <c r="W23" s="165"/>
    </row>
    <row r="24" spans="1:25" x14ac:dyDescent="0.3">
      <c r="A24" s="41" t="s">
        <v>195</v>
      </c>
      <c r="B24" s="49">
        <v>2</v>
      </c>
      <c r="C24" s="6" t="s">
        <v>20</v>
      </c>
      <c r="D24" s="49">
        <v>0</v>
      </c>
      <c r="E24" s="43" t="s">
        <v>196</v>
      </c>
      <c r="F24" s="16"/>
      <c r="G24" s="47" t="s">
        <v>211</v>
      </c>
      <c r="H24" s="49">
        <v>1</v>
      </c>
      <c r="I24" s="6" t="s">
        <v>20</v>
      </c>
      <c r="J24" s="49">
        <v>1</v>
      </c>
      <c r="K24" s="45" t="s">
        <v>212</v>
      </c>
      <c r="S24" s="41" t="s">
        <v>204</v>
      </c>
      <c r="T24" s="49">
        <v>2</v>
      </c>
      <c r="U24" s="6" t="s">
        <v>33</v>
      </c>
      <c r="V24" s="49">
        <v>1</v>
      </c>
      <c r="W24" s="45" t="s">
        <v>201</v>
      </c>
    </row>
    <row r="25" spans="1:25" x14ac:dyDescent="0.3">
      <c r="A25" s="41" t="s">
        <v>197</v>
      </c>
      <c r="B25" s="49">
        <v>2</v>
      </c>
      <c r="C25" s="6" t="s">
        <v>20</v>
      </c>
      <c r="D25" s="49">
        <v>0</v>
      </c>
      <c r="E25" s="43" t="s">
        <v>198</v>
      </c>
      <c r="F25" s="16"/>
      <c r="G25" s="47" t="s">
        <v>213</v>
      </c>
      <c r="H25" s="49">
        <v>1</v>
      </c>
      <c r="I25" s="6" t="s">
        <v>20</v>
      </c>
      <c r="J25" s="49">
        <v>2</v>
      </c>
      <c r="K25" s="45" t="s">
        <v>214</v>
      </c>
      <c r="R25" s="147" t="s">
        <v>251</v>
      </c>
      <c r="S25" s="147"/>
      <c r="T25" s="147"/>
      <c r="U25" s="147"/>
      <c r="V25" s="147"/>
      <c r="W25" s="147"/>
    </row>
    <row r="26" spans="1:25" x14ac:dyDescent="0.3">
      <c r="A26" s="41" t="s">
        <v>197</v>
      </c>
      <c r="B26" s="49">
        <v>3</v>
      </c>
      <c r="C26" s="6" t="s">
        <v>20</v>
      </c>
      <c r="D26" s="49">
        <v>1</v>
      </c>
      <c r="E26" s="43" t="s">
        <v>195</v>
      </c>
      <c r="F26" s="16"/>
      <c r="G26" s="47" t="s">
        <v>211</v>
      </c>
      <c r="H26" s="49">
        <v>3</v>
      </c>
      <c r="I26" s="6" t="s">
        <v>20</v>
      </c>
      <c r="J26" s="49">
        <v>1</v>
      </c>
      <c r="K26" s="45" t="s">
        <v>213</v>
      </c>
      <c r="R26" s="148"/>
      <c r="S26" s="148"/>
      <c r="T26" s="148"/>
      <c r="U26" s="148"/>
      <c r="V26" s="148"/>
      <c r="W26" s="148"/>
    </row>
    <row r="27" spans="1:25" ht="18" customHeight="1" x14ac:dyDescent="0.3">
      <c r="A27" s="41" t="s">
        <v>196</v>
      </c>
      <c r="B27" s="49">
        <v>0</v>
      </c>
      <c r="C27" s="6" t="s">
        <v>20</v>
      </c>
      <c r="D27" s="49">
        <v>1</v>
      </c>
      <c r="E27" s="43" t="s">
        <v>198</v>
      </c>
      <c r="F27" s="16"/>
      <c r="G27" s="47" t="s">
        <v>214</v>
      </c>
      <c r="H27" s="49">
        <v>0</v>
      </c>
      <c r="I27" s="6" t="s">
        <v>20</v>
      </c>
      <c r="J27" s="49">
        <v>0</v>
      </c>
      <c r="K27" s="45" t="s">
        <v>212</v>
      </c>
      <c r="R27" s="117" t="s">
        <v>219</v>
      </c>
      <c r="S27" s="118" t="s">
        <v>204</v>
      </c>
      <c r="T27" s="119">
        <v>0</v>
      </c>
      <c r="U27" s="120" t="s">
        <v>33</v>
      </c>
      <c r="V27" s="119">
        <v>0</v>
      </c>
      <c r="W27" s="121" t="s">
        <v>201</v>
      </c>
      <c r="X27" s="105">
        <v>0</v>
      </c>
      <c r="Y27" s="3" t="s">
        <v>266</v>
      </c>
    </row>
    <row r="28" spans="1:25" ht="18" customHeight="1" x14ac:dyDescent="0.3">
      <c r="A28" s="41" t="s">
        <v>198</v>
      </c>
      <c r="B28" s="49">
        <v>0</v>
      </c>
      <c r="C28" s="6" t="s">
        <v>20</v>
      </c>
      <c r="D28" s="49">
        <v>3</v>
      </c>
      <c r="E28" s="43" t="s">
        <v>195</v>
      </c>
      <c r="F28" s="16"/>
      <c r="G28" s="47" t="s">
        <v>214</v>
      </c>
      <c r="H28" s="49">
        <v>0</v>
      </c>
      <c r="I28" s="6" t="s">
        <v>20</v>
      </c>
      <c r="J28" s="49">
        <v>3</v>
      </c>
      <c r="K28" s="45" t="s">
        <v>211</v>
      </c>
      <c r="R28" s="122" t="s">
        <v>222</v>
      </c>
      <c r="S28" s="123" t="s">
        <v>204</v>
      </c>
      <c r="T28" s="124">
        <v>2</v>
      </c>
      <c r="U28" s="125" t="s">
        <v>33</v>
      </c>
      <c r="V28" s="124">
        <v>1</v>
      </c>
      <c r="W28" s="126" t="s">
        <v>201</v>
      </c>
      <c r="X28" s="105">
        <v>25</v>
      </c>
      <c r="Y28" s="3" t="s">
        <v>266</v>
      </c>
    </row>
    <row r="29" spans="1:25" ht="18.600000000000001" customHeight="1" thickBot="1" x14ac:dyDescent="0.35">
      <c r="A29" s="42" t="s">
        <v>196</v>
      </c>
      <c r="B29" s="50">
        <v>1</v>
      </c>
      <c r="C29" s="8" t="s">
        <v>20</v>
      </c>
      <c r="D29" s="50">
        <v>1</v>
      </c>
      <c r="E29" s="44" t="s">
        <v>197</v>
      </c>
      <c r="F29" s="17"/>
      <c r="G29" s="48" t="s">
        <v>212</v>
      </c>
      <c r="H29" s="50">
        <v>2</v>
      </c>
      <c r="I29" s="8" t="s">
        <v>20</v>
      </c>
      <c r="J29" s="50">
        <v>0</v>
      </c>
      <c r="K29" s="46" t="s">
        <v>213</v>
      </c>
      <c r="R29" s="117" t="s">
        <v>221</v>
      </c>
      <c r="S29" s="118" t="s">
        <v>204</v>
      </c>
      <c r="T29" s="119">
        <v>2</v>
      </c>
      <c r="U29" s="120" t="s">
        <v>33</v>
      </c>
      <c r="V29" s="119">
        <v>1</v>
      </c>
      <c r="W29" s="121" t="s">
        <v>201</v>
      </c>
      <c r="X29" s="105">
        <v>25</v>
      </c>
      <c r="Y29" s="3" t="s">
        <v>266</v>
      </c>
    </row>
    <row r="30" spans="1:25" ht="19.2" customHeight="1" thickTop="1" thickBot="1" x14ac:dyDescent="0.35">
      <c r="R30" s="122" t="s">
        <v>223</v>
      </c>
      <c r="S30" s="123" t="s">
        <v>204</v>
      </c>
      <c r="T30" s="124">
        <v>3</v>
      </c>
      <c r="U30" s="125" t="s">
        <v>33</v>
      </c>
      <c r="V30" s="124">
        <v>2</v>
      </c>
      <c r="W30" s="126" t="s">
        <v>201</v>
      </c>
      <c r="X30" s="105">
        <v>10</v>
      </c>
      <c r="Y30" s="3" t="s">
        <v>266</v>
      </c>
    </row>
    <row r="31" spans="1:25" ht="16.2" customHeight="1" thickTop="1" x14ac:dyDescent="0.3">
      <c r="A31" s="142" t="s">
        <v>126</v>
      </c>
      <c r="B31" s="143"/>
      <c r="C31" s="143"/>
      <c r="D31" s="143"/>
      <c r="E31" s="144"/>
      <c r="G31" s="145" t="s">
        <v>129</v>
      </c>
      <c r="H31" s="146"/>
      <c r="I31" s="146"/>
      <c r="J31" s="146"/>
      <c r="K31" s="146"/>
      <c r="R31" s="117" t="s">
        <v>45</v>
      </c>
      <c r="S31" s="118" t="s">
        <v>204</v>
      </c>
      <c r="T31" s="119">
        <v>1</v>
      </c>
      <c r="U31" s="120" t="s">
        <v>33</v>
      </c>
      <c r="V31" s="119">
        <v>1</v>
      </c>
      <c r="W31" s="121" t="s">
        <v>201</v>
      </c>
      <c r="X31" s="105">
        <v>5</v>
      </c>
      <c r="Y31" s="3" t="s">
        <v>266</v>
      </c>
    </row>
    <row r="32" spans="1:25" x14ac:dyDescent="0.3">
      <c r="A32" s="41" t="s">
        <v>185</v>
      </c>
      <c r="B32" s="49">
        <v>1</v>
      </c>
      <c r="C32" s="6" t="s">
        <v>33</v>
      </c>
      <c r="D32" s="49">
        <v>0</v>
      </c>
      <c r="E32" s="45" t="s">
        <v>189</v>
      </c>
      <c r="G32" s="162"/>
      <c r="H32" s="163"/>
      <c r="I32" s="163"/>
      <c r="J32" s="163"/>
      <c r="K32" s="164"/>
      <c r="R32" s="127" t="s">
        <v>232</v>
      </c>
      <c r="S32" s="128" t="s">
        <v>204</v>
      </c>
      <c r="T32" s="129">
        <v>1</v>
      </c>
      <c r="U32" s="130" t="s">
        <v>33</v>
      </c>
      <c r="V32" s="129">
        <v>0</v>
      </c>
      <c r="W32" s="131" t="s">
        <v>201</v>
      </c>
      <c r="X32" s="105">
        <v>10</v>
      </c>
      <c r="Y32" s="3" t="s">
        <v>266</v>
      </c>
    </row>
    <row r="33" spans="1:25" x14ac:dyDescent="0.3">
      <c r="A33" s="41" t="s">
        <v>194</v>
      </c>
      <c r="B33" s="49">
        <v>1</v>
      </c>
      <c r="C33" s="6" t="s">
        <v>33</v>
      </c>
      <c r="D33" s="49">
        <v>4</v>
      </c>
      <c r="E33" s="45" t="s">
        <v>195</v>
      </c>
      <c r="R33" s="117" t="s">
        <v>65</v>
      </c>
      <c r="S33" s="118" t="s">
        <v>204</v>
      </c>
      <c r="T33" s="119">
        <v>2</v>
      </c>
      <c r="U33" s="120" t="s">
        <v>33</v>
      </c>
      <c r="V33" s="119">
        <v>0</v>
      </c>
      <c r="W33" s="121" t="s">
        <v>201</v>
      </c>
      <c r="X33" s="105">
        <v>15</v>
      </c>
      <c r="Y33" s="3" t="s">
        <v>266</v>
      </c>
    </row>
    <row r="34" spans="1:25" x14ac:dyDescent="0.3">
      <c r="A34" s="41" t="s">
        <v>202</v>
      </c>
      <c r="B34" s="49">
        <v>0</v>
      </c>
      <c r="C34" s="6" t="s">
        <v>33</v>
      </c>
      <c r="D34" s="49">
        <v>2</v>
      </c>
      <c r="E34" s="45" t="s">
        <v>203</v>
      </c>
      <c r="G34" s="151" t="s">
        <v>82</v>
      </c>
      <c r="H34" s="152"/>
      <c r="I34" s="152"/>
      <c r="J34" s="152"/>
      <c r="K34" s="152"/>
      <c r="R34" s="127" t="s">
        <v>225</v>
      </c>
      <c r="S34" s="128" t="s">
        <v>204</v>
      </c>
      <c r="T34" s="129">
        <v>3</v>
      </c>
      <c r="U34" s="130" t="s">
        <v>33</v>
      </c>
      <c r="V34" s="129">
        <v>0</v>
      </c>
      <c r="W34" s="131" t="s">
        <v>201</v>
      </c>
      <c r="X34" s="105">
        <v>10</v>
      </c>
      <c r="Y34" s="3" t="s">
        <v>266</v>
      </c>
    </row>
    <row r="35" spans="1:25" x14ac:dyDescent="0.3">
      <c r="A35" s="41" t="s">
        <v>207</v>
      </c>
      <c r="B35" s="49">
        <v>3</v>
      </c>
      <c r="C35" s="6" t="s">
        <v>33</v>
      </c>
      <c r="D35" s="49">
        <v>4</v>
      </c>
      <c r="E35" s="45" t="s">
        <v>212</v>
      </c>
      <c r="G35" s="153"/>
      <c r="H35" s="153"/>
      <c r="I35" s="153"/>
      <c r="J35" s="153"/>
      <c r="K35" s="153"/>
      <c r="R35" s="117" t="s">
        <v>224</v>
      </c>
      <c r="S35" s="118" t="s">
        <v>204</v>
      </c>
      <c r="T35" s="119">
        <v>2</v>
      </c>
      <c r="U35" s="120" t="s">
        <v>33</v>
      </c>
      <c r="V35" s="119">
        <v>0</v>
      </c>
      <c r="W35" s="121" t="s">
        <v>201</v>
      </c>
      <c r="X35" s="105">
        <v>15</v>
      </c>
      <c r="Y35" s="3" t="s">
        <v>266</v>
      </c>
    </row>
    <row r="36" spans="1:25" x14ac:dyDescent="0.3">
      <c r="A36" s="41" t="s">
        <v>187</v>
      </c>
      <c r="B36" s="49">
        <v>4</v>
      </c>
      <c r="C36" s="6" t="s">
        <v>33</v>
      </c>
      <c r="D36" s="49">
        <v>0</v>
      </c>
      <c r="E36" s="45" t="s">
        <v>184</v>
      </c>
      <c r="R36" s="127" t="s">
        <v>227</v>
      </c>
      <c r="S36" s="128" t="s">
        <v>204</v>
      </c>
      <c r="T36" s="129">
        <v>1</v>
      </c>
      <c r="U36" s="130" t="s">
        <v>33</v>
      </c>
      <c r="V36" s="129">
        <v>1</v>
      </c>
      <c r="W36" s="131" t="s">
        <v>201</v>
      </c>
      <c r="X36" s="105">
        <v>5</v>
      </c>
      <c r="Y36" s="3" t="s">
        <v>266</v>
      </c>
    </row>
    <row r="37" spans="1:25" x14ac:dyDescent="0.3">
      <c r="A37" s="41" t="s">
        <v>197</v>
      </c>
      <c r="B37" s="49">
        <v>2</v>
      </c>
      <c r="C37" s="6" t="s">
        <v>33</v>
      </c>
      <c r="D37" s="49">
        <v>4</v>
      </c>
      <c r="E37" s="45" t="s">
        <v>288</v>
      </c>
      <c r="R37" s="117" t="s">
        <v>226</v>
      </c>
      <c r="S37" s="118" t="s">
        <v>204</v>
      </c>
      <c r="T37" s="119">
        <v>1</v>
      </c>
      <c r="U37" s="120" t="s">
        <v>33</v>
      </c>
      <c r="V37" s="119">
        <v>3</v>
      </c>
      <c r="W37" s="121" t="s">
        <v>201</v>
      </c>
      <c r="X37" s="105">
        <v>0</v>
      </c>
      <c r="Y37" s="3" t="s">
        <v>266</v>
      </c>
    </row>
    <row r="38" spans="1:25" x14ac:dyDescent="0.3">
      <c r="A38" s="41" t="s">
        <v>204</v>
      </c>
      <c r="B38" s="49">
        <v>2</v>
      </c>
      <c r="C38" s="6" t="s">
        <v>33</v>
      </c>
      <c r="D38" s="49">
        <v>1</v>
      </c>
      <c r="E38" s="45" t="s">
        <v>201</v>
      </c>
      <c r="R38" s="127" t="s">
        <v>59</v>
      </c>
      <c r="S38" s="128" t="s">
        <v>204</v>
      </c>
      <c r="T38" s="129">
        <v>2</v>
      </c>
      <c r="U38" s="130" t="s">
        <v>33</v>
      </c>
      <c r="V38" s="129">
        <v>3</v>
      </c>
      <c r="W38" s="131" t="s">
        <v>201</v>
      </c>
      <c r="X38" s="105">
        <v>5</v>
      </c>
      <c r="Y38" s="3" t="s">
        <v>266</v>
      </c>
    </row>
    <row r="39" spans="1:25" ht="18.600000000000001" thickBot="1" x14ac:dyDescent="0.35">
      <c r="A39" s="42" t="s">
        <v>211</v>
      </c>
      <c r="B39" s="50">
        <v>1</v>
      </c>
      <c r="C39" s="8" t="s">
        <v>33</v>
      </c>
      <c r="D39" s="50">
        <v>0</v>
      </c>
      <c r="E39" s="46" t="s">
        <v>210</v>
      </c>
      <c r="G39" s="154"/>
      <c r="H39" s="154"/>
      <c r="I39" s="154"/>
      <c r="J39" s="154"/>
      <c r="K39" s="154"/>
      <c r="R39" s="117" t="s">
        <v>228</v>
      </c>
      <c r="S39" s="118" t="s">
        <v>204</v>
      </c>
      <c r="T39" s="119">
        <v>1</v>
      </c>
      <c r="U39" s="120" t="s">
        <v>33</v>
      </c>
      <c r="V39" s="119">
        <v>0</v>
      </c>
      <c r="W39" s="121" t="s">
        <v>201</v>
      </c>
      <c r="X39" s="105">
        <v>10</v>
      </c>
      <c r="Y39" s="3" t="s">
        <v>266</v>
      </c>
    </row>
    <row r="40" spans="1:25" ht="19.2" thickTop="1" thickBot="1" x14ac:dyDescent="0.35">
      <c r="G40" s="100"/>
      <c r="H40" s="101"/>
      <c r="I40" s="102"/>
      <c r="J40" s="101"/>
      <c r="K40" s="103"/>
      <c r="R40" s="127" t="s">
        <v>234</v>
      </c>
      <c r="S40" s="128" t="s">
        <v>204</v>
      </c>
      <c r="T40" s="129">
        <v>1</v>
      </c>
      <c r="U40" s="130" t="s">
        <v>33</v>
      </c>
      <c r="V40" s="129">
        <v>2</v>
      </c>
      <c r="W40" s="131" t="s">
        <v>201</v>
      </c>
      <c r="X40" s="105">
        <v>0</v>
      </c>
      <c r="Y40" s="3" t="s">
        <v>266</v>
      </c>
    </row>
    <row r="41" spans="1:25" ht="18.600000000000001" thickTop="1" x14ac:dyDescent="0.3">
      <c r="A41" s="142" t="s">
        <v>95</v>
      </c>
      <c r="B41" s="143"/>
      <c r="C41" s="143"/>
      <c r="D41" s="143"/>
      <c r="E41" s="144"/>
      <c r="G41" s="100"/>
      <c r="H41" s="101"/>
      <c r="I41" s="102"/>
      <c r="J41" s="101"/>
      <c r="K41" s="103"/>
      <c r="R41" s="117" t="s">
        <v>47</v>
      </c>
      <c r="S41" s="118" t="s">
        <v>204</v>
      </c>
      <c r="T41" s="119">
        <v>1</v>
      </c>
      <c r="U41" s="120" t="s">
        <v>33</v>
      </c>
      <c r="V41" s="119">
        <v>1</v>
      </c>
      <c r="W41" s="121" t="s">
        <v>201</v>
      </c>
      <c r="X41" s="105">
        <v>5</v>
      </c>
      <c r="Y41" s="3" t="s">
        <v>266</v>
      </c>
    </row>
    <row r="42" spans="1:25" x14ac:dyDescent="0.3">
      <c r="A42" s="41" t="s">
        <v>185</v>
      </c>
      <c r="B42" s="49"/>
      <c r="C42" s="6" t="s">
        <v>33</v>
      </c>
      <c r="D42" s="49"/>
      <c r="E42" s="45" t="s">
        <v>195</v>
      </c>
      <c r="G42" s="100"/>
      <c r="H42" s="101"/>
      <c r="I42" s="102"/>
      <c r="J42" s="101"/>
      <c r="K42" s="103"/>
      <c r="R42" s="127" t="s">
        <v>229</v>
      </c>
      <c r="S42" s="128" t="s">
        <v>204</v>
      </c>
      <c r="T42" s="129">
        <v>2</v>
      </c>
      <c r="U42" s="130" t="s">
        <v>33</v>
      </c>
      <c r="V42" s="129">
        <v>1</v>
      </c>
      <c r="W42" s="131" t="s">
        <v>201</v>
      </c>
      <c r="X42" s="105">
        <v>25</v>
      </c>
      <c r="Y42" s="3" t="s">
        <v>266</v>
      </c>
    </row>
    <row r="43" spans="1:25" x14ac:dyDescent="0.3">
      <c r="A43" s="41" t="s">
        <v>203</v>
      </c>
      <c r="B43" s="49"/>
      <c r="C43" s="6" t="s">
        <v>33</v>
      </c>
      <c r="D43" s="49"/>
      <c r="E43" s="45" t="s">
        <v>212</v>
      </c>
      <c r="G43" s="100"/>
      <c r="H43" s="101"/>
      <c r="I43" s="102"/>
      <c r="J43" s="101"/>
      <c r="K43" s="103"/>
      <c r="R43" s="117" t="s">
        <v>50</v>
      </c>
      <c r="S43" s="118" t="s">
        <v>204</v>
      </c>
      <c r="T43" s="119">
        <v>0</v>
      </c>
      <c r="U43" s="120" t="s">
        <v>33</v>
      </c>
      <c r="V43" s="119">
        <v>1</v>
      </c>
      <c r="W43" s="121" t="s">
        <v>201</v>
      </c>
      <c r="X43" s="105">
        <v>5</v>
      </c>
      <c r="Y43" s="3" t="s">
        <v>266</v>
      </c>
    </row>
    <row r="44" spans="1:25" x14ac:dyDescent="0.3">
      <c r="A44" s="41" t="s">
        <v>187</v>
      </c>
      <c r="B44" s="49"/>
      <c r="C44" s="6" t="s">
        <v>33</v>
      </c>
      <c r="D44" s="49"/>
      <c r="E44" s="45" t="s">
        <v>191</v>
      </c>
      <c r="G44" s="100"/>
      <c r="H44" s="101"/>
      <c r="I44" s="102"/>
      <c r="J44" s="101"/>
      <c r="K44" s="103"/>
      <c r="R44" s="127" t="s">
        <v>230</v>
      </c>
      <c r="S44" s="128" t="s">
        <v>204</v>
      </c>
      <c r="T44" s="129">
        <v>2</v>
      </c>
      <c r="U44" s="130" t="s">
        <v>33</v>
      </c>
      <c r="V44" s="129">
        <v>0</v>
      </c>
      <c r="W44" s="131" t="s">
        <v>201</v>
      </c>
      <c r="X44" s="105">
        <v>15</v>
      </c>
      <c r="Y44" s="3" t="s">
        <v>266</v>
      </c>
    </row>
    <row r="45" spans="1:25" ht="18.600000000000001" thickBot="1" x14ac:dyDescent="0.35">
      <c r="A45" s="42" t="s">
        <v>204</v>
      </c>
      <c r="B45" s="50"/>
      <c r="C45" s="8" t="s">
        <v>33</v>
      </c>
      <c r="D45" s="50"/>
      <c r="E45" s="46" t="s">
        <v>211</v>
      </c>
      <c r="G45" s="100"/>
      <c r="H45" s="101"/>
      <c r="I45" s="102"/>
      <c r="J45" s="101"/>
      <c r="K45" s="103"/>
      <c r="R45" s="117" t="s">
        <v>233</v>
      </c>
      <c r="S45" s="118" t="s">
        <v>204</v>
      </c>
      <c r="T45" s="119">
        <v>3</v>
      </c>
      <c r="U45" s="120" t="s">
        <v>33</v>
      </c>
      <c r="V45" s="119">
        <v>0</v>
      </c>
      <c r="W45" s="121" t="s">
        <v>201</v>
      </c>
      <c r="X45" s="105">
        <v>10</v>
      </c>
      <c r="Y45" s="3" t="s">
        <v>266</v>
      </c>
    </row>
    <row r="46" spans="1:25" ht="18.600000000000001" thickTop="1" x14ac:dyDescent="0.3">
      <c r="G46" s="100"/>
      <c r="H46" s="101"/>
      <c r="I46" s="102"/>
      <c r="J46" s="101"/>
      <c r="K46" s="103"/>
      <c r="R46" s="127" t="s">
        <v>246</v>
      </c>
      <c r="S46" s="128" t="s">
        <v>204</v>
      </c>
      <c r="T46" s="129">
        <v>3</v>
      </c>
      <c r="U46" s="130" t="s">
        <v>33</v>
      </c>
      <c r="V46" s="129">
        <v>0</v>
      </c>
      <c r="W46" s="131" t="s">
        <v>201</v>
      </c>
      <c r="X46" s="105">
        <v>10</v>
      </c>
      <c r="Y46" s="3" t="s">
        <v>266</v>
      </c>
    </row>
    <row r="47" spans="1:25" x14ac:dyDescent="0.3">
      <c r="A47" s="145" t="s">
        <v>96</v>
      </c>
      <c r="B47" s="146"/>
      <c r="C47" s="146"/>
      <c r="D47" s="146"/>
      <c r="E47" s="146"/>
      <c r="G47" s="100"/>
      <c r="H47" s="101"/>
      <c r="I47" s="102"/>
      <c r="J47" s="101"/>
      <c r="K47" s="103"/>
      <c r="R47" s="117" t="s">
        <v>247</v>
      </c>
      <c r="S47" s="118" t="s">
        <v>204</v>
      </c>
      <c r="T47" s="119">
        <v>2</v>
      </c>
      <c r="U47" s="120" t="s">
        <v>33</v>
      </c>
      <c r="V47" s="119">
        <v>0</v>
      </c>
      <c r="W47" s="121" t="s">
        <v>201</v>
      </c>
      <c r="X47" s="105">
        <v>15</v>
      </c>
      <c r="Y47" s="3" t="s">
        <v>266</v>
      </c>
    </row>
    <row r="48" spans="1:25" x14ac:dyDescent="0.3">
      <c r="A48" s="41"/>
      <c r="B48" s="49"/>
      <c r="C48" s="6" t="s">
        <v>33</v>
      </c>
      <c r="D48" s="49"/>
      <c r="E48" s="43"/>
      <c r="G48" s="100"/>
      <c r="H48" s="101"/>
      <c r="I48" s="102"/>
      <c r="J48" s="101"/>
      <c r="K48" s="103"/>
    </row>
    <row r="49" spans="1:11" x14ac:dyDescent="0.3">
      <c r="A49" s="41"/>
      <c r="B49" s="49"/>
      <c r="C49" s="6" t="s">
        <v>33</v>
      </c>
      <c r="D49" s="49"/>
      <c r="E49" s="43"/>
      <c r="G49" s="100"/>
      <c r="H49" s="101"/>
      <c r="I49" s="102"/>
      <c r="J49" s="101"/>
      <c r="K49" s="103"/>
    </row>
    <row r="50" spans="1:11" x14ac:dyDescent="0.3">
      <c r="G50" s="100"/>
      <c r="H50" s="101"/>
      <c r="I50" s="102"/>
      <c r="J50" s="101"/>
      <c r="K50" s="103"/>
    </row>
    <row r="51" spans="1:11" x14ac:dyDescent="0.3">
      <c r="A51" s="145" t="s">
        <v>97</v>
      </c>
      <c r="B51" s="146"/>
      <c r="C51" s="146"/>
      <c r="D51" s="146"/>
      <c r="E51" s="146"/>
      <c r="G51" s="100"/>
      <c r="H51" s="101"/>
      <c r="I51" s="102"/>
      <c r="J51" s="101"/>
      <c r="K51" s="103"/>
    </row>
    <row r="52" spans="1:11" x14ac:dyDescent="0.3">
      <c r="A52" s="41"/>
      <c r="B52" s="49"/>
      <c r="C52" s="6" t="s">
        <v>33</v>
      </c>
      <c r="D52" s="49"/>
      <c r="E52" s="43"/>
      <c r="G52" s="100"/>
      <c r="H52" s="101"/>
      <c r="I52" s="102"/>
      <c r="J52" s="101"/>
      <c r="K52" s="103"/>
    </row>
    <row r="53" spans="1:11" x14ac:dyDescent="0.3">
      <c r="B53" s="52"/>
      <c r="C53" s="3"/>
      <c r="D53" s="52"/>
      <c r="G53" s="100"/>
      <c r="H53" s="101"/>
      <c r="I53" s="102"/>
      <c r="J53" s="101"/>
      <c r="K53" s="103"/>
    </row>
    <row r="54" spans="1:11" x14ac:dyDescent="0.3">
      <c r="A54" s="149" t="s">
        <v>98</v>
      </c>
      <c r="B54" s="150"/>
      <c r="C54" s="150"/>
      <c r="D54" s="150"/>
      <c r="E54" s="150"/>
      <c r="G54" s="100"/>
      <c r="H54" s="101"/>
      <c r="I54" s="102"/>
      <c r="J54" s="101"/>
      <c r="K54" s="103"/>
    </row>
    <row r="55" spans="1:11" x14ac:dyDescent="0.3">
      <c r="A55" s="41"/>
      <c r="B55" s="49"/>
      <c r="C55" s="6" t="s">
        <v>33</v>
      </c>
      <c r="D55" s="49"/>
      <c r="E55" s="43"/>
      <c r="G55" s="100"/>
      <c r="H55" s="101"/>
      <c r="I55" s="102"/>
      <c r="J55" s="101"/>
      <c r="K55" s="103"/>
    </row>
    <row r="56" spans="1:11" x14ac:dyDescent="0.3">
      <c r="G56" s="100"/>
      <c r="H56" s="101"/>
      <c r="I56" s="102"/>
      <c r="J56" s="101"/>
      <c r="K56" s="103"/>
    </row>
    <row r="57" spans="1:11" x14ac:dyDescent="0.3">
      <c r="G57" s="100"/>
      <c r="H57" s="101"/>
      <c r="I57" s="102"/>
      <c r="J57" s="101"/>
      <c r="K57" s="103"/>
    </row>
  </sheetData>
  <mergeCells count="42">
    <mergeCell ref="A1:K1"/>
    <mergeCell ref="O2:P2"/>
    <mergeCell ref="A2:E2"/>
    <mergeCell ref="A9:E9"/>
    <mergeCell ref="A16:E16"/>
    <mergeCell ref="G2:K2"/>
    <mergeCell ref="G9:K9"/>
    <mergeCell ref="G16:K16"/>
    <mergeCell ref="V2:X2"/>
    <mergeCell ref="V7:X7"/>
    <mergeCell ref="R2:T2"/>
    <mergeCell ref="V12:X13"/>
    <mergeCell ref="V3:X5"/>
    <mergeCell ref="R7:T7"/>
    <mergeCell ref="R3:T5"/>
    <mergeCell ref="V15:X15"/>
    <mergeCell ref="V8:X9"/>
    <mergeCell ref="V11:X11"/>
    <mergeCell ref="R15:T15"/>
    <mergeCell ref="R11:T11"/>
    <mergeCell ref="R12:T13"/>
    <mergeCell ref="R8:T9"/>
    <mergeCell ref="A23:E23"/>
    <mergeCell ref="O20:Q20"/>
    <mergeCell ref="R16:T17"/>
    <mergeCell ref="G31:K31"/>
    <mergeCell ref="G32:K32"/>
    <mergeCell ref="A31:E31"/>
    <mergeCell ref="S23:W23"/>
    <mergeCell ref="V16:X17"/>
    <mergeCell ref="R20:T20"/>
    <mergeCell ref="O21:Q21"/>
    <mergeCell ref="R21:T21"/>
    <mergeCell ref="G23:K23"/>
    <mergeCell ref="A41:E41"/>
    <mergeCell ref="A47:E47"/>
    <mergeCell ref="R25:W26"/>
    <mergeCell ref="A51:E51"/>
    <mergeCell ref="A54:E54"/>
    <mergeCell ref="G34:K34"/>
    <mergeCell ref="G35:K35"/>
    <mergeCell ref="G39:K39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171A8-7284-4442-9B7C-D708590E55EE}">
  <sheetPr codeName="Planilha4">
    <tabColor rgb="FF0070C0"/>
  </sheetPr>
  <dimension ref="A1:BD82"/>
  <sheetViews>
    <sheetView zoomScale="85" zoomScaleNormal="85" workbookViewId="0">
      <pane xSplit="15" ySplit="16" topLeftCell="P59" activePane="bottomRight" state="frozen"/>
      <selection pane="topRight" activeCell="P1" sqref="P1"/>
      <selection pane="bottomLeft" activeCell="A17" sqref="A17"/>
      <selection pane="bottomRight" activeCell="A69" sqref="A69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7773437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1" t="s">
        <v>35</v>
      </c>
      <c r="B1" s="211"/>
      <c r="C1" s="211"/>
      <c r="D1" s="211"/>
      <c r="E1" s="211"/>
      <c r="K1" s="212" t="s">
        <v>35</v>
      </c>
      <c r="L1" s="212"/>
      <c r="M1" s="212"/>
      <c r="N1" s="212"/>
      <c r="O1" s="212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0" t="s">
        <v>219</v>
      </c>
      <c r="X2" s="210"/>
      <c r="Y2" s="210"/>
      <c r="Z2" s="210"/>
      <c r="AA2" s="210"/>
      <c r="AB2" s="210"/>
      <c r="AC2" s="210"/>
      <c r="AD2" s="210"/>
      <c r="AE2" s="210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0"/>
      <c r="X3" s="210"/>
      <c r="Y3" s="210"/>
      <c r="Z3" s="210"/>
      <c r="AA3" s="210"/>
      <c r="AB3" s="210"/>
      <c r="AC3" s="210"/>
      <c r="AD3" s="210"/>
      <c r="AE3" s="210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0"/>
      <c r="X4" s="210"/>
      <c r="Y4" s="210"/>
      <c r="Z4" s="210"/>
      <c r="AA4" s="210"/>
      <c r="AB4" s="210"/>
      <c r="AC4" s="210"/>
      <c r="AD4" s="210"/>
      <c r="AE4" s="210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1</v>
      </c>
      <c r="E5" s="13" t="str">
        <f t="shared" si="1"/>
        <v>Porto</v>
      </c>
      <c r="H5" s="2">
        <v>25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0"/>
      <c r="X5" s="210"/>
      <c r="Y5" s="210"/>
      <c r="Z5" s="210"/>
      <c r="AA5" s="210"/>
      <c r="AB5" s="210"/>
      <c r="AC5" s="210"/>
      <c r="AD5" s="210"/>
      <c r="AE5" s="210"/>
    </row>
    <row r="6" spans="1:56" x14ac:dyDescent="0.3">
      <c r="A6" s="12" t="str">
        <f t="shared" si="0"/>
        <v>Inter Miami</v>
      </c>
      <c r="B6" s="2">
        <v>3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0"/>
      <c r="X6" s="210"/>
      <c r="Y6" s="210"/>
      <c r="Z6" s="210"/>
      <c r="AA6" s="210"/>
      <c r="AB6" s="210"/>
      <c r="AC6" s="210"/>
      <c r="AD6" s="210"/>
      <c r="AE6" s="210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1</v>
      </c>
      <c r="E7" s="13" t="str">
        <f t="shared" si="1"/>
        <v>Al Ahly</v>
      </c>
      <c r="H7" s="2"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1" t="s">
        <v>42</v>
      </c>
      <c r="B8" s="211"/>
      <c r="C8" s="211"/>
      <c r="D8" s="211"/>
      <c r="E8" s="211"/>
      <c r="J8" s="71" t="str">
        <f>IF(Tabela!F9="","",Tabela!F9)</f>
        <v/>
      </c>
      <c r="K8" s="212" t="s">
        <v>42</v>
      </c>
      <c r="L8" s="212"/>
      <c r="M8" s="212"/>
      <c r="N8" s="212"/>
      <c r="O8" s="212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4" t="s">
        <v>43</v>
      </c>
      <c r="R9" s="214"/>
      <c r="S9" s="214"/>
      <c r="T9" s="214"/>
      <c r="U9" s="214"/>
      <c r="W9" s="132" t="s">
        <v>80</v>
      </c>
      <c r="X9" s="132"/>
      <c r="Y9" s="132"/>
      <c r="Z9" s="132"/>
      <c r="AA9" s="132"/>
      <c r="AB9" s="132"/>
      <c r="AC9" s="132"/>
      <c r="AD9" s="132"/>
      <c r="AE9" s="1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4"/>
      <c r="R10" s="214"/>
      <c r="S10" s="214"/>
      <c r="T10" s="214"/>
      <c r="U10" s="214"/>
      <c r="W10" s="132" t="s">
        <v>184</v>
      </c>
      <c r="X10" s="132"/>
      <c r="Y10" s="132"/>
      <c r="Z10" s="2">
        <v>2</v>
      </c>
      <c r="AB10" s="2">
        <v>1</v>
      </c>
      <c r="AC10" s="132" t="s">
        <v>186</v>
      </c>
      <c r="AD10" s="132"/>
      <c r="AE10" s="132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H11" s="2">
        <v>10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3">
        <f>SUM(H2:H82)</f>
        <v>500</v>
      </c>
      <c r="R11" s="213"/>
      <c r="S11" s="213"/>
      <c r="T11" s="213"/>
      <c r="U11" s="213"/>
      <c r="W11" s="132" t="s">
        <v>189</v>
      </c>
      <c r="X11" s="132"/>
      <c r="Y11" s="132"/>
      <c r="Z11" s="2">
        <v>2</v>
      </c>
      <c r="AB11" s="2">
        <v>1</v>
      </c>
      <c r="AC11" s="132" t="s">
        <v>190</v>
      </c>
      <c r="AD11" s="132"/>
      <c r="AE11" s="132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3"/>
      <c r="R12" s="213"/>
      <c r="S12" s="213"/>
      <c r="T12" s="213"/>
      <c r="U12" s="213"/>
      <c r="W12" s="132" t="s">
        <v>191</v>
      </c>
      <c r="X12" s="132"/>
      <c r="Y12" s="132"/>
      <c r="Z12" s="2">
        <v>2</v>
      </c>
      <c r="AB12" s="2">
        <v>1</v>
      </c>
      <c r="AC12" s="132" t="s">
        <v>193</v>
      </c>
      <c r="AD12" s="132"/>
      <c r="AE12" s="132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H13" s="2">
        <v>15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3"/>
      <c r="R13" s="213"/>
      <c r="S13" s="213"/>
      <c r="T13" s="213"/>
      <c r="U13" s="213"/>
      <c r="W13" s="132" t="s">
        <v>197</v>
      </c>
      <c r="X13" s="132"/>
      <c r="Y13" s="132"/>
      <c r="Z13" s="2">
        <v>2</v>
      </c>
      <c r="AB13" s="2">
        <v>0</v>
      </c>
      <c r="AC13" s="132" t="s">
        <v>198</v>
      </c>
      <c r="AD13" s="132"/>
      <c r="AE13" s="132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3"/>
      <c r="R14" s="213"/>
      <c r="S14" s="213"/>
      <c r="T14" s="213"/>
      <c r="U14" s="213"/>
      <c r="W14" s="132"/>
      <c r="X14" s="132"/>
      <c r="Y14" s="132"/>
      <c r="AC14" s="132"/>
      <c r="AD14" s="132"/>
      <c r="AE14" s="132"/>
      <c r="BD14" s="1">
        <v>5</v>
      </c>
    </row>
    <row r="15" spans="1:56" x14ac:dyDescent="0.3">
      <c r="A15" s="211" t="s">
        <v>41</v>
      </c>
      <c r="B15" s="211"/>
      <c r="C15" s="211"/>
      <c r="D15" s="211"/>
      <c r="E15" s="211"/>
      <c r="K15" s="212" t="s">
        <v>41</v>
      </c>
      <c r="L15" s="212"/>
      <c r="M15" s="212"/>
      <c r="N15" s="212"/>
      <c r="O15" s="212"/>
      <c r="Q15" s="213"/>
      <c r="R15" s="213"/>
      <c r="S15" s="213"/>
      <c r="T15" s="213"/>
      <c r="U15" s="213"/>
      <c r="W15" s="132"/>
      <c r="X15" s="132"/>
      <c r="Y15" s="132"/>
      <c r="AC15" s="132"/>
      <c r="AD15" s="132"/>
      <c r="AE15" s="132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/>
      <c r="X16" s="132"/>
      <c r="Y16" s="132"/>
      <c r="AC16" s="132"/>
      <c r="AD16" s="132"/>
      <c r="AE16" s="132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/>
      <c r="X17" s="132"/>
      <c r="Y17" s="132"/>
      <c r="AC17" s="132"/>
      <c r="AD17" s="132"/>
      <c r="AE17" s="132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1</v>
      </c>
      <c r="E19" s="13" t="str">
        <f t="shared" si="5"/>
        <v>Boca Juniors</v>
      </c>
      <c r="H19" s="2">
        <v>25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4</v>
      </c>
      <c r="R19" s="18">
        <v>14</v>
      </c>
      <c r="S19" s="18">
        <v>13</v>
      </c>
      <c r="T19" s="18">
        <v>12</v>
      </c>
      <c r="U19" s="18">
        <v>13</v>
      </c>
      <c r="W19" s="132"/>
      <c r="X19" s="132"/>
      <c r="Y19" s="132"/>
      <c r="AC19" s="132"/>
      <c r="AD19" s="132"/>
      <c r="AE19" s="132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H20" s="2">
        <v>5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H21" s="2">
        <v>5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5" t="s">
        <v>26</v>
      </c>
      <c r="R21" s="215"/>
      <c r="S21" s="216" t="s">
        <v>187</v>
      </c>
      <c r="T21" s="216"/>
      <c r="U21" s="216" t="s">
        <v>211</v>
      </c>
      <c r="V21" s="216"/>
      <c r="W21" s="132"/>
      <c r="X21" s="132"/>
      <c r="Y21" s="132"/>
      <c r="AC21" s="132"/>
      <c r="AD21" s="132"/>
      <c r="AE21" s="132"/>
    </row>
    <row r="22" spans="1:31" x14ac:dyDescent="0.3">
      <c r="A22" s="211" t="s">
        <v>40</v>
      </c>
      <c r="B22" s="211"/>
      <c r="C22" s="211"/>
      <c r="D22" s="211"/>
      <c r="E22" s="211"/>
      <c r="J22" s="71" t="str">
        <f>IF(Tabela!F23="","",Tabela!F23)</f>
        <v/>
      </c>
      <c r="K22" s="212" t="s">
        <v>40</v>
      </c>
      <c r="L22" s="212"/>
      <c r="M22" s="212"/>
      <c r="N22" s="212"/>
      <c r="O22" s="212"/>
      <c r="Q22" s="215" t="s">
        <v>25</v>
      </c>
      <c r="R22" s="215"/>
      <c r="S22" s="217" t="s">
        <v>84</v>
      </c>
      <c r="T22" s="217"/>
      <c r="U22" s="217" t="s">
        <v>85</v>
      </c>
      <c r="V22" s="217"/>
      <c r="W22" s="132"/>
      <c r="X22" s="132"/>
      <c r="Y22" s="132"/>
      <c r="AC22" s="132"/>
      <c r="AD22" s="132"/>
      <c r="AE22" s="132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 x14ac:dyDescent="0.3">
      <c r="A29" s="211" t="s">
        <v>39</v>
      </c>
      <c r="B29" s="211"/>
      <c r="C29" s="211"/>
      <c r="D29" s="211"/>
      <c r="E29" s="211"/>
      <c r="K29" s="212" t="s">
        <v>39</v>
      </c>
      <c r="L29" s="212"/>
      <c r="M29" s="212"/>
      <c r="N29" s="212"/>
      <c r="O29" s="212"/>
      <c r="W29" s="132"/>
      <c r="X29" s="132"/>
      <c r="Y29" s="132"/>
      <c r="AC29" s="132"/>
      <c r="AD29" s="132"/>
      <c r="AE29" s="132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1</v>
      </c>
      <c r="E33" s="13" t="str">
        <f t="shared" si="9"/>
        <v>Monterrey</v>
      </c>
      <c r="H33" s="2">
        <v>10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H34" s="2">
        <v>15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1</v>
      </c>
      <c r="E35" s="13" t="str">
        <f t="shared" si="9"/>
        <v>Monterrey</v>
      </c>
      <c r="H35" s="2">
        <v>15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1" t="s">
        <v>38</v>
      </c>
      <c r="B36" s="211"/>
      <c r="C36" s="211"/>
      <c r="D36" s="211"/>
      <c r="E36" s="211"/>
      <c r="J36" s="71" t="str">
        <f>IF(Tabela!L9="","",Tabela!L9)</f>
        <v/>
      </c>
      <c r="K36" s="212" t="s">
        <v>38</v>
      </c>
      <c r="L36" s="212"/>
      <c r="M36" s="212"/>
      <c r="N36" s="212"/>
      <c r="O36" s="212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2</v>
      </c>
      <c r="E37" s="13" t="str">
        <f>O37</f>
        <v>Borussisa Dortmund</v>
      </c>
      <c r="H37" s="2"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33</v>
      </c>
      <c r="D39" s="2">
        <v>4</v>
      </c>
      <c r="E39" s="13" t="str">
        <f t="shared" si="11"/>
        <v>Borussisa Dortmund</v>
      </c>
      <c r="H39" s="2">
        <v>15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3</v>
      </c>
      <c r="E41" s="13" t="str">
        <f t="shared" si="11"/>
        <v>Fluminense</v>
      </c>
      <c r="H41" s="2">
        <v>5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4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1" t="s">
        <v>37</v>
      </c>
      <c r="B43" s="211"/>
      <c r="C43" s="211"/>
      <c r="D43" s="211"/>
      <c r="E43" s="211"/>
      <c r="J43" s="71" t="str">
        <f>IF(Tabela!L16="","",Tabela!L16)</f>
        <v/>
      </c>
      <c r="K43" s="212" t="s">
        <v>37</v>
      </c>
      <c r="L43" s="212"/>
      <c r="M43" s="212"/>
      <c r="N43" s="212"/>
      <c r="O43" s="212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1</v>
      </c>
      <c r="E47" s="13" t="str">
        <f t="shared" si="13"/>
        <v>Al-Ain</v>
      </c>
      <c r="H47" s="2">
        <v>10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33</v>
      </c>
      <c r="D49" s="2">
        <v>2</v>
      </c>
      <c r="E49" s="13" t="str">
        <f t="shared" si="13"/>
        <v>Al-Ain</v>
      </c>
      <c r="H49" s="2">
        <v>5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1" t="s">
        <v>36</v>
      </c>
      <c r="B50" s="211"/>
      <c r="C50" s="211"/>
      <c r="D50" s="211"/>
      <c r="E50" s="211"/>
      <c r="J50" s="71" t="str">
        <f>IF(Tabela!L23="","",Tabela!L23)</f>
        <v/>
      </c>
      <c r="K50" s="212" t="s">
        <v>36</v>
      </c>
      <c r="L50" s="212"/>
      <c r="M50" s="212"/>
      <c r="N50" s="212"/>
      <c r="O50" s="212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0</v>
      </c>
      <c r="E51" s="13" t="str">
        <f>O51</f>
        <v>Al-Hilal</v>
      </c>
      <c r="H51" s="2"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H54" s="2"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4</v>
      </c>
      <c r="E55" s="13" t="str">
        <f t="shared" si="15"/>
        <v>Real Madrid</v>
      </c>
      <c r="H55" s="2">
        <v>15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H56" s="2">
        <v>15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8" t="str">
        <f>_xlfn.CONCAT(W2,A57)</f>
        <v>Ivan Alex - Oitavas de Final</v>
      </c>
      <c r="B58" s="208"/>
      <c r="C58" s="208"/>
      <c r="D58" s="208"/>
      <c r="E58" s="208"/>
      <c r="K58" s="209" t="s">
        <v>126</v>
      </c>
      <c r="L58" s="209"/>
      <c r="M58" s="209"/>
      <c r="N58" s="209"/>
      <c r="O58" s="209"/>
    </row>
    <row r="59" spans="1:15" x14ac:dyDescent="0.3">
      <c r="A59" s="53" t="str">
        <f>K59</f>
        <v>Palmeiras</v>
      </c>
      <c r="B59" s="54">
        <v>2</v>
      </c>
      <c r="C59" s="54" t="s">
        <v>33</v>
      </c>
      <c r="D59" s="54">
        <v>3</v>
      </c>
      <c r="E59" s="55" t="str">
        <f>O59</f>
        <v>Botafogo</v>
      </c>
      <c r="H59" s="2"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1</v>
      </c>
      <c r="C60" s="54" t="s">
        <v>33</v>
      </c>
      <c r="D60" s="54">
        <v>3</v>
      </c>
      <c r="E60" s="55" t="str">
        <f t="shared" ref="E60:E66" si="17">O60</f>
        <v>Chelsea</v>
      </c>
      <c r="H60" s="2">
        <v>15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2</v>
      </c>
      <c r="C61" s="54" t="s">
        <v>33</v>
      </c>
      <c r="D61" s="54">
        <v>2</v>
      </c>
      <c r="E61" s="55" t="str">
        <f t="shared" si="17"/>
        <v>Fluminense</v>
      </c>
      <c r="H61" s="2">
        <v>5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4</v>
      </c>
      <c r="C62" s="54" t="s">
        <v>33</v>
      </c>
      <c r="D62" s="54">
        <v>2</v>
      </c>
      <c r="E62" s="55" t="str">
        <f t="shared" si="17"/>
        <v>Al-Hilal</v>
      </c>
      <c r="H62" s="2"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5</v>
      </c>
      <c r="C63" s="54" t="s">
        <v>33</v>
      </c>
      <c r="D63" s="54">
        <v>0</v>
      </c>
      <c r="E63" s="55" t="str">
        <f t="shared" si="17"/>
        <v>Inter Miami</v>
      </c>
      <c r="H63" s="2">
        <v>15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4</v>
      </c>
      <c r="C64" s="54" t="s">
        <v>33</v>
      </c>
      <c r="D64" s="54">
        <v>3</v>
      </c>
      <c r="E64" s="55" t="str">
        <f t="shared" si="17"/>
        <v>Bayer de Munique</v>
      </c>
      <c r="H64" s="2"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0</v>
      </c>
      <c r="C65" s="54" t="s">
        <v>33</v>
      </c>
      <c r="D65" s="54">
        <v>0</v>
      </c>
      <c r="E65" s="55" t="str">
        <f t="shared" si="17"/>
        <v>Monterrey</v>
      </c>
      <c r="H65" s="2"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4</v>
      </c>
      <c r="C66" s="54" t="s">
        <v>33</v>
      </c>
      <c r="D66" s="54">
        <v>2</v>
      </c>
      <c r="E66" s="55" t="str">
        <f t="shared" si="17"/>
        <v>Juventus</v>
      </c>
      <c r="H66" s="2">
        <v>10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</row>
    <row r="68" spans="1:15" x14ac:dyDescent="0.3">
      <c r="A68" s="208" t="str">
        <f>_xlfn.CONCAT(W2,A67)</f>
        <v>Ivan Alex - Quartas de Final</v>
      </c>
      <c r="B68" s="208"/>
      <c r="C68" s="208"/>
      <c r="D68" s="208"/>
      <c r="E68" s="208"/>
      <c r="J68" s="71" t="str">
        <f>IF(Tabela!F41="","",Tabela!F41)</f>
        <v/>
      </c>
      <c r="K68" s="209" t="s">
        <v>95</v>
      </c>
      <c r="L68" s="209"/>
      <c r="M68" s="209"/>
      <c r="N68" s="209"/>
      <c r="O68" s="209"/>
    </row>
    <row r="69" spans="1:15" x14ac:dyDescent="0.3">
      <c r="A69" s="53" t="str">
        <f>K69</f>
        <v>Palmeiras</v>
      </c>
      <c r="B69" s="54"/>
      <c r="C69" s="54" t="s">
        <v>33</v>
      </c>
      <c r="D69" s="54"/>
      <c r="E69" s="55" t="str">
        <f>O69</f>
        <v>Chelsea</v>
      </c>
      <c r="J69" s="71" t="s">
        <v>220</v>
      </c>
      <c r="K69" s="2" t="str">
        <f>IF(Tabela!A42="","",Tabela!A42)</f>
        <v>Palmeiras</v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/>
      <c r="C70" s="54" t="s">
        <v>33</v>
      </c>
      <c r="D70" s="54"/>
      <c r="E70" s="55" t="str">
        <f t="shared" ref="E70:E72" si="19">O70</f>
        <v>Al-Hilal</v>
      </c>
      <c r="J70" s="71" t="s">
        <v>220</v>
      </c>
      <c r="K70" s="2" t="str">
        <f>IF(Tabela!A43="","",Tabela!A43)</f>
        <v>Fluminense</v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/>
      <c r="C71" s="54" t="s">
        <v>33</v>
      </c>
      <c r="D71" s="54"/>
      <c r="E71" s="55" t="str">
        <f t="shared" si="19"/>
        <v>Bayern de Munique</v>
      </c>
      <c r="J71" s="71" t="s">
        <v>220</v>
      </c>
      <c r="K71" s="2" t="str">
        <f>IF(Tabela!A44="","",Tabela!A44)</f>
        <v>PSG</v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>Bayern de Munique</v>
      </c>
    </row>
    <row r="72" spans="1:15" x14ac:dyDescent="0.3">
      <c r="A72" s="53" t="str">
        <f t="shared" si="18"/>
        <v>Borussia Dortmund</v>
      </c>
      <c r="B72" s="54"/>
      <c r="C72" s="54" t="s">
        <v>33</v>
      </c>
      <c r="D72" s="54"/>
      <c r="E72" s="55" t="str">
        <f t="shared" si="19"/>
        <v>Real Madrid</v>
      </c>
      <c r="J72" s="71" t="s">
        <v>220</v>
      </c>
      <c r="K72" s="2" t="str">
        <f>IF(Tabela!A45="","",Tabela!A45)</f>
        <v>Borussia Dortmund</v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>Real Madrid</v>
      </c>
    </row>
    <row r="73" spans="1:15" ht="9.75" customHeight="1" x14ac:dyDescent="0.3">
      <c r="A73" s="21" t="s">
        <v>133</v>
      </c>
      <c r="J73" s="71" t="str">
        <f>IF(Tabela!F46="","",Tabela!F46)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8" t="str">
        <f>_xlfn.CONCAT(W$2,A73)</f>
        <v>Ivan Alex - Semi Final</v>
      </c>
      <c r="B74" s="208"/>
      <c r="C74" s="208"/>
      <c r="D74" s="208"/>
      <c r="E74" s="208"/>
      <c r="J74" s="71" t="str">
        <f>IF(Tabela!F47="","",Tabela!F47)</f>
        <v/>
      </c>
      <c r="K74" s="209" t="s">
        <v>96</v>
      </c>
      <c r="L74" s="209"/>
      <c r="M74" s="209"/>
      <c r="N74" s="209"/>
      <c r="O74" s="209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">
        <v>220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">
        <v>220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IF(Tabela!F53="","",Tabela!F53)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8" t="str">
        <f>_xlfn.CONCAT(W$2,A77)</f>
        <v>Ivan Alex - Final</v>
      </c>
      <c r="B78" s="208"/>
      <c r="C78" s="208"/>
      <c r="D78" s="208"/>
      <c r="E78" s="208"/>
      <c r="J78" s="71" t="str">
        <f>IF(Tabela!F54="","",Tabela!F54)</f>
        <v/>
      </c>
      <c r="K78" s="209" t="s">
        <v>98</v>
      </c>
      <c r="L78" s="209"/>
      <c r="M78" s="209"/>
      <c r="N78" s="209"/>
      <c r="O78" s="209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">
        <v>220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IF(Tabela!F56="","",Tabela!F56)</f>
        <v/>
      </c>
    </row>
    <row r="81" spans="5:10" x14ac:dyDescent="0.3">
      <c r="E81" s="13" t="s">
        <v>129</v>
      </c>
      <c r="J81" s="71" t="s">
        <v>220</v>
      </c>
    </row>
    <row r="82" spans="5:10" x14ac:dyDescent="0.3">
      <c r="E82" s="13" t="s">
        <v>82</v>
      </c>
      <c r="J82" s="71" t="s">
        <v>220</v>
      </c>
    </row>
  </sheetData>
  <mergeCells count="76">
    <mergeCell ref="W9:AD9"/>
    <mergeCell ref="Q21:R21"/>
    <mergeCell ref="Q22:R22"/>
    <mergeCell ref="W30:Y30"/>
    <mergeCell ref="AC30:AE30"/>
    <mergeCell ref="U21:V21"/>
    <mergeCell ref="S21:T21"/>
    <mergeCell ref="S22:T22"/>
    <mergeCell ref="U22:V22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AC14:AE14"/>
    <mergeCell ref="W16:Y16"/>
    <mergeCell ref="AC16:AE16"/>
    <mergeCell ref="W17:Y17"/>
    <mergeCell ref="AC17:AE17"/>
    <mergeCell ref="A68:E68"/>
    <mergeCell ref="K68:O68"/>
    <mergeCell ref="A15:E15"/>
    <mergeCell ref="K8:O8"/>
    <mergeCell ref="A58:E58"/>
    <mergeCell ref="K58:O58"/>
    <mergeCell ref="Q11:U15"/>
    <mergeCell ref="Q9:U10"/>
    <mergeCell ref="W11:Y11"/>
    <mergeCell ref="AC11:AE11"/>
    <mergeCell ref="A1:E1"/>
    <mergeCell ref="K1:O1"/>
    <mergeCell ref="A8:E8"/>
    <mergeCell ref="W15:Y15"/>
    <mergeCell ref="AC15:AE15"/>
    <mergeCell ref="W13:Y13"/>
    <mergeCell ref="AC10:AE10"/>
    <mergeCell ref="W12:Y12"/>
    <mergeCell ref="AC12:AE12"/>
    <mergeCell ref="W10:Y10"/>
    <mergeCell ref="AC13:AE13"/>
    <mergeCell ref="W14:Y14"/>
    <mergeCell ref="A74:E74"/>
    <mergeCell ref="A78:E78"/>
    <mergeCell ref="K74:O74"/>
    <mergeCell ref="K78:O78"/>
    <mergeCell ref="W2:AE6"/>
    <mergeCell ref="A36:E36"/>
    <mergeCell ref="A43:E43"/>
    <mergeCell ref="A50:E50"/>
    <mergeCell ref="K15:O15"/>
    <mergeCell ref="K22:O22"/>
    <mergeCell ref="K29:O29"/>
    <mergeCell ref="K36:O36"/>
    <mergeCell ref="K43:O43"/>
    <mergeCell ref="K50:O50"/>
    <mergeCell ref="A22:E22"/>
    <mergeCell ref="A29: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EEE37-612D-4EEF-82B3-D60BCA2C9D4C}">
  <sheetPr codeName="Planilha6">
    <tabColor rgb="FF0070C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8" t="s">
        <v>35</v>
      </c>
      <c r="B1" s="218"/>
      <c r="C1" s="218"/>
      <c r="D1" s="218"/>
      <c r="E1" s="218"/>
      <c r="K1" s="212" t="s">
        <v>35</v>
      </c>
      <c r="L1" s="212"/>
      <c r="M1" s="212"/>
      <c r="N1" s="212"/>
      <c r="O1" s="212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3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0" t="s">
        <v>222</v>
      </c>
      <c r="X2" s="210"/>
      <c r="Y2" s="210"/>
      <c r="Z2" s="210"/>
      <c r="AA2" s="210"/>
      <c r="AB2" s="210"/>
      <c r="AC2" s="210"/>
      <c r="AD2" s="210"/>
      <c r="AE2" s="210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0"/>
      <c r="X3" s="210"/>
      <c r="Y3" s="210"/>
      <c r="Z3" s="210"/>
      <c r="AA3" s="210"/>
      <c r="AB3" s="210"/>
      <c r="AC3" s="210"/>
      <c r="AD3" s="210"/>
      <c r="AE3" s="210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0"/>
      <c r="X4" s="210"/>
      <c r="Y4" s="210"/>
      <c r="Z4" s="210"/>
      <c r="AA4" s="210"/>
      <c r="AB4" s="210"/>
      <c r="AC4" s="210"/>
      <c r="AD4" s="210"/>
      <c r="AE4" s="210"/>
    </row>
    <row r="5" spans="1:56" x14ac:dyDescent="0.3">
      <c r="A5" s="12" t="str">
        <f t="shared" si="0"/>
        <v>Inter Miami</v>
      </c>
      <c r="B5" s="2">
        <v>3</v>
      </c>
      <c r="C5" s="2" t="s">
        <v>33</v>
      </c>
      <c r="D5" s="2">
        <v>1</v>
      </c>
      <c r="E5" s="13" t="str">
        <f t="shared" si="1"/>
        <v>Porto</v>
      </c>
      <c r="H5" s="2">
        <v>15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0"/>
      <c r="X5" s="210"/>
      <c r="Y5" s="210"/>
      <c r="Z5" s="210"/>
      <c r="AA5" s="210"/>
      <c r="AB5" s="210"/>
      <c r="AC5" s="210"/>
      <c r="AD5" s="210"/>
      <c r="AE5" s="210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0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0"/>
      <c r="X6" s="210"/>
      <c r="Y6" s="210"/>
      <c r="Z6" s="210"/>
      <c r="AA6" s="210"/>
      <c r="AB6" s="210"/>
      <c r="AC6" s="210"/>
      <c r="AD6" s="210"/>
      <c r="AE6" s="210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1</v>
      </c>
      <c r="E7" s="13" t="str">
        <f t="shared" si="1"/>
        <v>Al Ahly</v>
      </c>
      <c r="H7" s="2">
        <v>10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8" t="s">
        <v>42</v>
      </c>
      <c r="B8" s="218"/>
      <c r="C8" s="218"/>
      <c r="D8" s="218"/>
      <c r="E8" s="218"/>
      <c r="J8" s="71" t="str">
        <f>'1.Ivan'!J8</f>
        <v/>
      </c>
      <c r="K8" s="212" t="s">
        <v>42</v>
      </c>
      <c r="L8" s="212"/>
      <c r="M8" s="212"/>
      <c r="N8" s="212"/>
      <c r="O8" s="212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4" t="s">
        <v>43</v>
      </c>
      <c r="R9" s="214"/>
      <c r="S9" s="214"/>
      <c r="T9" s="214"/>
      <c r="U9" s="214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4"/>
      <c r="R10" s="214"/>
      <c r="S10" s="214"/>
      <c r="T10" s="214"/>
      <c r="U10" s="214"/>
      <c r="W10" s="132" t="s">
        <v>195</v>
      </c>
      <c r="X10" s="132"/>
      <c r="Y10" s="132"/>
      <c r="Z10" s="2">
        <v>2</v>
      </c>
      <c r="AB10" s="2">
        <v>0</v>
      </c>
      <c r="AC10" s="132" t="s">
        <v>196</v>
      </c>
      <c r="AD10" s="132"/>
      <c r="AE10" s="132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3">
        <f>SUM(H2:H82)</f>
        <v>475</v>
      </c>
      <c r="R11" s="213"/>
      <c r="S11" s="213"/>
      <c r="T11" s="213"/>
      <c r="U11" s="213"/>
      <c r="W11" s="132" t="s">
        <v>204</v>
      </c>
      <c r="X11" s="132"/>
      <c r="Y11" s="132"/>
      <c r="Z11" s="2">
        <v>2</v>
      </c>
      <c r="AB11" s="2">
        <v>1</v>
      </c>
      <c r="AC11" s="132" t="s">
        <v>201</v>
      </c>
      <c r="AD11" s="132"/>
      <c r="AE11" s="132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1</v>
      </c>
      <c r="E12" s="13" t="str">
        <f t="shared" si="3"/>
        <v>Botafogo</v>
      </c>
      <c r="H12" s="2">
        <v>5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3"/>
      <c r="R12" s="213"/>
      <c r="S12" s="213"/>
      <c r="T12" s="213"/>
      <c r="U12" s="213"/>
      <c r="W12" s="132"/>
      <c r="X12" s="132"/>
      <c r="Y12" s="132"/>
      <c r="AC12" s="132"/>
      <c r="AD12" s="132"/>
      <c r="AE12" s="132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H13" s="2">
        <v>10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3"/>
      <c r="R13" s="213"/>
      <c r="S13" s="213"/>
      <c r="T13" s="213"/>
      <c r="U13" s="213"/>
      <c r="W13" s="132"/>
      <c r="X13" s="132"/>
      <c r="Y13" s="132"/>
      <c r="AC13" s="132"/>
      <c r="AD13" s="132"/>
      <c r="AE13" s="132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H14" s="2">
        <v>15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3"/>
      <c r="R14" s="213"/>
      <c r="S14" s="213"/>
      <c r="T14" s="213"/>
      <c r="U14" s="213"/>
      <c r="W14" s="132"/>
      <c r="X14" s="132"/>
      <c r="Y14" s="132"/>
      <c r="AC14" s="132"/>
      <c r="AD14" s="132"/>
      <c r="AE14" s="132"/>
      <c r="BD14" s="1">
        <v>5</v>
      </c>
    </row>
    <row r="15" spans="1:56" x14ac:dyDescent="0.3">
      <c r="A15" s="218" t="s">
        <v>41</v>
      </c>
      <c r="B15" s="218"/>
      <c r="C15" s="218"/>
      <c r="D15" s="218"/>
      <c r="E15" s="218"/>
      <c r="K15" s="212" t="s">
        <v>41</v>
      </c>
      <c r="L15" s="212"/>
      <c r="M15" s="212"/>
      <c r="N15" s="212"/>
      <c r="O15" s="212"/>
      <c r="Q15" s="213"/>
      <c r="R15" s="213"/>
      <c r="S15" s="213"/>
      <c r="T15" s="213"/>
      <c r="U15" s="213"/>
      <c r="W15" s="132"/>
      <c r="X15" s="132"/>
      <c r="Y15" s="132"/>
      <c r="AC15" s="132"/>
      <c r="AD15" s="132"/>
      <c r="AE15" s="132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/>
      <c r="X16" s="132"/>
      <c r="Y16" s="132"/>
      <c r="AC16" s="132"/>
      <c r="AD16" s="132"/>
      <c r="AE16" s="132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/>
      <c r="X17" s="132"/>
      <c r="Y17" s="132"/>
      <c r="AC17" s="132"/>
      <c r="AD17" s="132"/>
      <c r="AE17" s="132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H18" s="2">
        <v>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2</v>
      </c>
      <c r="R19" s="18">
        <v>14</v>
      </c>
      <c r="S19" s="18">
        <v>14</v>
      </c>
      <c r="T19" s="18">
        <v>15</v>
      </c>
      <c r="U19" s="18">
        <v>11</v>
      </c>
      <c r="W19" s="132"/>
      <c r="X19" s="132"/>
      <c r="Y19" s="132"/>
      <c r="AC19" s="132"/>
      <c r="AD19" s="132"/>
      <c r="AE19" s="132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5" t="s">
        <v>26</v>
      </c>
      <c r="R21" s="215"/>
      <c r="S21" s="216" t="s">
        <v>207</v>
      </c>
      <c r="T21" s="216"/>
      <c r="U21" s="216" t="s">
        <v>211</v>
      </c>
      <c r="V21" s="216"/>
      <c r="W21" s="132"/>
      <c r="X21" s="132"/>
      <c r="Y21" s="132"/>
      <c r="AC21" s="132"/>
      <c r="AD21" s="132"/>
      <c r="AE21" s="132"/>
    </row>
    <row r="22" spans="1:31" x14ac:dyDescent="0.3">
      <c r="A22" s="218" t="s">
        <v>40</v>
      </c>
      <c r="B22" s="218"/>
      <c r="C22" s="218"/>
      <c r="D22" s="218"/>
      <c r="E22" s="218"/>
      <c r="J22" s="71" t="str">
        <f>'1.Ivan'!J22</f>
        <v/>
      </c>
      <c r="K22" s="212" t="s">
        <v>40</v>
      </c>
      <c r="L22" s="212"/>
      <c r="M22" s="212"/>
      <c r="N22" s="212"/>
      <c r="O22" s="212"/>
      <c r="Q22" s="215" t="s">
        <v>25</v>
      </c>
      <c r="R22" s="215"/>
      <c r="S22" s="217" t="s">
        <v>237</v>
      </c>
      <c r="T22" s="217"/>
      <c r="U22" s="217" t="s">
        <v>238</v>
      </c>
      <c r="V22" s="217"/>
      <c r="W22" s="132"/>
      <c r="X22" s="132"/>
      <c r="Y22" s="132"/>
      <c r="AC22" s="132"/>
      <c r="AD22" s="132"/>
      <c r="AE22" s="132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2</v>
      </c>
      <c r="E27" s="13" t="str">
        <f t="shared" si="7"/>
        <v>Chelsea</v>
      </c>
      <c r="H27" s="2">
        <v>10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 x14ac:dyDescent="0.3">
      <c r="A29" s="218" t="s">
        <v>39</v>
      </c>
      <c r="B29" s="218"/>
      <c r="C29" s="218"/>
      <c r="D29" s="218"/>
      <c r="E29" s="218"/>
      <c r="K29" s="212" t="s">
        <v>39</v>
      </c>
      <c r="L29" s="212"/>
      <c r="M29" s="212"/>
      <c r="N29" s="212"/>
      <c r="O29" s="212"/>
      <c r="W29" s="132"/>
      <c r="X29" s="132"/>
      <c r="Y29" s="132"/>
      <c r="AC29" s="132"/>
      <c r="AD29" s="132"/>
      <c r="AE29" s="132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1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H34" s="2">
        <v>0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0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8" t="s">
        <v>38</v>
      </c>
      <c r="B36" s="218"/>
      <c r="C36" s="218"/>
      <c r="D36" s="218"/>
      <c r="E36" s="218"/>
      <c r="J36" s="71" t="str">
        <f>'1.Ivan'!J36</f>
        <v/>
      </c>
      <c r="K36" s="212" t="s">
        <v>38</v>
      </c>
      <c r="L36" s="212"/>
      <c r="M36" s="212"/>
      <c r="N36" s="212"/>
      <c r="O36" s="212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0</v>
      </c>
      <c r="C40" s="2" t="s">
        <v>33</v>
      </c>
      <c r="D40" s="2">
        <v>2</v>
      </c>
      <c r="E40" s="13" t="str">
        <f t="shared" si="11"/>
        <v>Ulsan HD</v>
      </c>
      <c r="H40" s="2">
        <v>5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8" t="s">
        <v>37</v>
      </c>
      <c r="B43" s="218"/>
      <c r="C43" s="218"/>
      <c r="D43" s="218"/>
      <c r="E43" s="218"/>
      <c r="J43" s="71" t="str">
        <f>'1.Ivan'!J43</f>
        <v/>
      </c>
      <c r="K43" s="212" t="s">
        <v>37</v>
      </c>
      <c r="L43" s="212"/>
      <c r="M43" s="212"/>
      <c r="N43" s="212"/>
      <c r="O43" s="212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1</v>
      </c>
      <c r="E46" s="13" t="str">
        <f t="shared" si="13"/>
        <v>Wydad Casablanca</v>
      </c>
      <c r="H46" s="2">
        <v>15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1</v>
      </c>
      <c r="E49" s="13" t="str">
        <f t="shared" si="13"/>
        <v>Al-Ain</v>
      </c>
      <c r="H49" s="2">
        <v>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8" t="s">
        <v>36</v>
      </c>
      <c r="B50" s="218"/>
      <c r="C50" s="218"/>
      <c r="D50" s="218"/>
      <c r="E50" s="218"/>
      <c r="J50" s="71" t="str">
        <f>'1.Ivan'!J50</f>
        <v/>
      </c>
      <c r="K50" s="212" t="s">
        <v>36</v>
      </c>
      <c r="L50" s="212"/>
      <c r="M50" s="212"/>
      <c r="N50" s="212"/>
      <c r="O50" s="212"/>
    </row>
    <row r="51" spans="1:15" x14ac:dyDescent="0.3">
      <c r="A51" s="12" t="str">
        <f>K51</f>
        <v>Real Madrid</v>
      </c>
      <c r="B51" s="2">
        <v>4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15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2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2</v>
      </c>
      <c r="E56" s="13" t="str">
        <f t="shared" si="15"/>
        <v>Pachuca</v>
      </c>
      <c r="H56" s="2">
        <v>0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8" t="str">
        <f>_xlfn.CONCAT(W2,A57)</f>
        <v>Sérginho - Oitavas de Final</v>
      </c>
      <c r="B58" s="208"/>
      <c r="C58" s="208"/>
      <c r="D58" s="208"/>
      <c r="E58" s="208"/>
      <c r="K58" s="209" t="s">
        <v>126</v>
      </c>
      <c r="L58" s="209"/>
      <c r="M58" s="209"/>
      <c r="N58" s="209"/>
      <c r="O58" s="209"/>
    </row>
    <row r="59" spans="1:15" x14ac:dyDescent="0.3">
      <c r="A59" s="53" t="str">
        <f>K59</f>
        <v>Palmeiras</v>
      </c>
      <c r="B59" s="54">
        <v>1</v>
      </c>
      <c r="C59" s="54" t="s">
        <v>33</v>
      </c>
      <c r="D59" s="54">
        <v>1</v>
      </c>
      <c r="E59" s="55" t="str">
        <f>O59</f>
        <v>Botafogo</v>
      </c>
      <c r="H59" s="2">
        <v>5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1</v>
      </c>
      <c r="C60" s="54" t="s">
        <v>33</v>
      </c>
      <c r="D60" s="54">
        <v>2</v>
      </c>
      <c r="E60" s="55" t="str">
        <f t="shared" ref="E60:E66" si="17">O60</f>
        <v>Chelsea</v>
      </c>
      <c r="H60" s="2">
        <v>15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2</v>
      </c>
      <c r="C61" s="54" t="s">
        <v>33</v>
      </c>
      <c r="D61" s="54">
        <v>0</v>
      </c>
      <c r="E61" s="55" t="str">
        <f t="shared" si="17"/>
        <v>Fluminense</v>
      </c>
      <c r="H61" s="2">
        <v>0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3</v>
      </c>
      <c r="C62" s="54" t="s">
        <v>33</v>
      </c>
      <c r="D62" s="54">
        <v>0</v>
      </c>
      <c r="E62" s="55" t="str">
        <f t="shared" si="17"/>
        <v>Al-Hilal</v>
      </c>
      <c r="H62" s="2">
        <v>5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2</v>
      </c>
      <c r="C63" s="54" t="s">
        <v>33</v>
      </c>
      <c r="D63" s="54">
        <v>0</v>
      </c>
      <c r="E63" s="55" t="str">
        <f t="shared" si="17"/>
        <v>Inter Miami</v>
      </c>
      <c r="H63" s="2">
        <v>15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0</v>
      </c>
      <c r="C64" s="54" t="s">
        <v>33</v>
      </c>
      <c r="D64" s="54">
        <v>2</v>
      </c>
      <c r="E64" s="55" t="str">
        <f t="shared" si="17"/>
        <v>Bayer de Munique</v>
      </c>
      <c r="H64" s="2">
        <v>10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2</v>
      </c>
      <c r="C65" s="54" t="s">
        <v>33</v>
      </c>
      <c r="D65" s="54">
        <v>1</v>
      </c>
      <c r="E65" s="55" t="str">
        <f t="shared" si="17"/>
        <v>Monterrey</v>
      </c>
      <c r="H65" s="2">
        <v>25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3</v>
      </c>
      <c r="C66" s="54" t="s">
        <v>33</v>
      </c>
      <c r="D66" s="54">
        <v>1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</row>
    <row r="68" spans="1:15" x14ac:dyDescent="0.3">
      <c r="A68" s="208" t="str">
        <f>_xlfn.CONCAT(W2,A67)</f>
        <v>Sérginho - Quartas de Final</v>
      </c>
      <c r="B68" s="208"/>
      <c r="C68" s="208"/>
      <c r="D68" s="208"/>
      <c r="E68" s="208"/>
      <c r="J68" s="71" t="str">
        <f>'1.Ivan'!J68</f>
        <v/>
      </c>
      <c r="K68" s="209" t="s">
        <v>95</v>
      </c>
      <c r="L68" s="209"/>
      <c r="M68" s="209"/>
      <c r="N68" s="209"/>
      <c r="O68" s="209"/>
    </row>
    <row r="69" spans="1:15" x14ac:dyDescent="0.3">
      <c r="A69" s="53" t="str">
        <f>K69</f>
        <v>Palmeiras</v>
      </c>
      <c r="B69" s="54"/>
      <c r="C69" s="54" t="s">
        <v>33</v>
      </c>
      <c r="D69" s="54"/>
      <c r="E69" s="55" t="str">
        <f>O69</f>
        <v>Chelsea</v>
      </c>
      <c r="J69" s="71" t="str">
        <f>'1.Ivan'!J69</f>
        <v>N</v>
      </c>
      <c r="K69" s="2" t="str">
        <f>IF(Tabela!A42="","",Tabela!A42)</f>
        <v>Palmeiras</v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/>
      <c r="C70" s="54" t="s">
        <v>33</v>
      </c>
      <c r="D70" s="54"/>
      <c r="E70" s="55" t="str">
        <f t="shared" ref="E70:E72" si="19">O70</f>
        <v>Al-Hilal</v>
      </c>
      <c r="J70" s="71" t="str">
        <f>'1.Ivan'!J70</f>
        <v>N</v>
      </c>
      <c r="K70" s="2" t="str">
        <f>IF(Tabela!A43="","",Tabela!A43)</f>
        <v>Fluminense</v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/>
      <c r="C71" s="54" t="s">
        <v>33</v>
      </c>
      <c r="D71" s="54"/>
      <c r="E71" s="55" t="str">
        <f t="shared" si="19"/>
        <v>Bayern de Munique</v>
      </c>
      <c r="J71" s="71" t="str">
        <f>'1.Ivan'!J71</f>
        <v>N</v>
      </c>
      <c r="K71" s="2" t="str">
        <f>IF(Tabela!A44="","",Tabela!A44)</f>
        <v>PSG</v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>Bayern de Munique</v>
      </c>
    </row>
    <row r="72" spans="1:15" x14ac:dyDescent="0.3">
      <c r="A72" s="53" t="str">
        <f t="shared" si="18"/>
        <v>Borussia Dortmund</v>
      </c>
      <c r="B72" s="54"/>
      <c r="C72" s="54" t="s">
        <v>33</v>
      </c>
      <c r="D72" s="54"/>
      <c r="E72" s="55" t="str">
        <f t="shared" si="19"/>
        <v>Real Madrid</v>
      </c>
      <c r="J72" s="71" t="str">
        <f>'1.Ivan'!J72</f>
        <v>N</v>
      </c>
      <c r="K72" s="2" t="str">
        <f>IF(Tabela!A45="","",Tabela!A45)</f>
        <v>Borussia Dortmund</v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>Real Madrid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8" t="str">
        <f>_xlfn.CONCAT(W$2,A73)</f>
        <v>Sérginho - Semi Final</v>
      </c>
      <c r="B74" s="208"/>
      <c r="C74" s="208"/>
      <c r="D74" s="208"/>
      <c r="E74" s="208"/>
      <c r="J74" s="71" t="str">
        <f>'1.Ivan'!J74</f>
        <v/>
      </c>
      <c r="K74" s="209" t="s">
        <v>96</v>
      </c>
      <c r="L74" s="209"/>
      <c r="M74" s="209"/>
      <c r="N74" s="209"/>
      <c r="O74" s="209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8" t="str">
        <f>_xlfn.CONCAT(W$2,A77)</f>
        <v>Sérginho - Final</v>
      </c>
      <c r="B78" s="208"/>
      <c r="C78" s="208"/>
      <c r="D78" s="208"/>
      <c r="E78" s="208"/>
      <c r="J78" s="71" t="str">
        <f>'1.Ivan'!J78</f>
        <v/>
      </c>
      <c r="K78" s="209" t="s">
        <v>98</v>
      </c>
      <c r="L78" s="209"/>
      <c r="M78" s="209"/>
      <c r="N78" s="209"/>
      <c r="O78" s="209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BF526-C47B-4798-9C78-CE1EC589EA86}">
  <sheetPr codeName="Planilha5">
    <tabColor rgb="FF0070C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1" t="s">
        <v>35</v>
      </c>
      <c r="B1" s="211"/>
      <c r="C1" s="211"/>
      <c r="D1" s="211"/>
      <c r="E1" s="211"/>
      <c r="K1" s="212" t="s">
        <v>35</v>
      </c>
      <c r="L1" s="212"/>
      <c r="M1" s="212"/>
      <c r="N1" s="212"/>
      <c r="O1" s="212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0" t="s">
        <v>221</v>
      </c>
      <c r="X2" s="210"/>
      <c r="Y2" s="210"/>
      <c r="Z2" s="210"/>
      <c r="AA2" s="210"/>
      <c r="AB2" s="210"/>
      <c r="AC2" s="210"/>
      <c r="AD2" s="210"/>
      <c r="AE2" s="210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0"/>
      <c r="X3" s="210"/>
      <c r="Y3" s="210"/>
      <c r="Z3" s="210"/>
      <c r="AA3" s="210"/>
      <c r="AB3" s="210"/>
      <c r="AC3" s="210"/>
      <c r="AD3" s="210"/>
      <c r="AE3" s="210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0"/>
      <c r="X4" s="210"/>
      <c r="Y4" s="210"/>
      <c r="Z4" s="210"/>
      <c r="AA4" s="210"/>
      <c r="AB4" s="210"/>
      <c r="AC4" s="210"/>
      <c r="AD4" s="210"/>
      <c r="AE4" s="210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2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0"/>
      <c r="X5" s="210"/>
      <c r="Y5" s="210"/>
      <c r="Z5" s="210"/>
      <c r="AA5" s="210"/>
      <c r="AB5" s="210"/>
      <c r="AC5" s="210"/>
      <c r="AD5" s="210"/>
      <c r="AE5" s="210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H6" s="2">
        <v>10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0"/>
      <c r="X6" s="210"/>
      <c r="Y6" s="210"/>
      <c r="Z6" s="210"/>
      <c r="AA6" s="210"/>
      <c r="AB6" s="210"/>
      <c r="AC6" s="210"/>
      <c r="AD6" s="210"/>
      <c r="AE6" s="210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1" t="s">
        <v>42</v>
      </c>
      <c r="B8" s="211"/>
      <c r="C8" s="211"/>
      <c r="D8" s="211"/>
      <c r="E8" s="211"/>
      <c r="J8" s="71" t="str">
        <f>'1.Ivan'!J8</f>
        <v/>
      </c>
      <c r="K8" s="212" t="s">
        <v>42</v>
      </c>
      <c r="L8" s="212"/>
      <c r="M8" s="212"/>
      <c r="N8" s="212"/>
      <c r="O8" s="212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4" t="s">
        <v>43</v>
      </c>
      <c r="R9" s="214"/>
      <c r="S9" s="214"/>
      <c r="T9" s="214"/>
      <c r="U9" s="214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4"/>
      <c r="R10" s="214"/>
      <c r="S10" s="214"/>
      <c r="T10" s="214"/>
      <c r="U10" s="214"/>
      <c r="W10" s="132" t="s">
        <v>189</v>
      </c>
      <c r="X10" s="132"/>
      <c r="Y10" s="132"/>
      <c r="Z10" s="2">
        <v>2</v>
      </c>
      <c r="AB10" s="2">
        <v>1</v>
      </c>
      <c r="AC10" s="132" t="s">
        <v>190</v>
      </c>
      <c r="AD10" s="132"/>
      <c r="AE10" s="132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3">
        <f>SUM(H2:H82)</f>
        <v>585</v>
      </c>
      <c r="R11" s="213"/>
      <c r="S11" s="213"/>
      <c r="T11" s="213"/>
      <c r="U11" s="213"/>
      <c r="W11" s="132" t="s">
        <v>190</v>
      </c>
      <c r="X11" s="132"/>
      <c r="Y11" s="132"/>
      <c r="Z11" s="2">
        <v>0</v>
      </c>
      <c r="AB11" s="2">
        <v>2</v>
      </c>
      <c r="AC11" s="132" t="s">
        <v>187</v>
      </c>
      <c r="AD11" s="132"/>
      <c r="AE11" s="132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3"/>
      <c r="R12" s="213"/>
      <c r="S12" s="213"/>
      <c r="T12" s="213"/>
      <c r="U12" s="213"/>
      <c r="W12" s="132" t="s">
        <v>193</v>
      </c>
      <c r="X12" s="132"/>
      <c r="Y12" s="132"/>
      <c r="Z12" s="2">
        <v>2</v>
      </c>
      <c r="AB12" s="2">
        <v>2</v>
      </c>
      <c r="AC12" s="132" t="s">
        <v>194</v>
      </c>
      <c r="AD12" s="132"/>
      <c r="AE12" s="132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H13" s="2">
        <v>25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3"/>
      <c r="R13" s="213"/>
      <c r="S13" s="213"/>
      <c r="T13" s="213"/>
      <c r="U13" s="213"/>
      <c r="W13" s="132" t="s">
        <v>195</v>
      </c>
      <c r="X13" s="132"/>
      <c r="Y13" s="132"/>
      <c r="Z13" s="2">
        <v>2</v>
      </c>
      <c r="AB13" s="2">
        <v>0</v>
      </c>
      <c r="AC13" s="132" t="s">
        <v>196</v>
      </c>
      <c r="AD13" s="132"/>
      <c r="AE13" s="132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3"/>
      <c r="R14" s="213"/>
      <c r="S14" s="213"/>
      <c r="T14" s="213"/>
      <c r="U14" s="213"/>
      <c r="W14" s="132" t="s">
        <v>197</v>
      </c>
      <c r="X14" s="132"/>
      <c r="Y14" s="132"/>
      <c r="Z14" s="2">
        <v>2</v>
      </c>
      <c r="AB14" s="2">
        <v>0</v>
      </c>
      <c r="AC14" s="132" t="s">
        <v>198</v>
      </c>
      <c r="AD14" s="132"/>
      <c r="AE14" s="132"/>
      <c r="BD14" s="1">
        <v>5</v>
      </c>
    </row>
    <row r="15" spans="1:56" x14ac:dyDescent="0.3">
      <c r="A15" s="211" t="s">
        <v>41</v>
      </c>
      <c r="B15" s="211"/>
      <c r="C15" s="211"/>
      <c r="D15" s="211"/>
      <c r="E15" s="211"/>
      <c r="K15" s="212" t="s">
        <v>41</v>
      </c>
      <c r="L15" s="212"/>
      <c r="M15" s="212"/>
      <c r="N15" s="212"/>
      <c r="O15" s="212"/>
      <c r="Q15" s="213"/>
      <c r="R15" s="213"/>
      <c r="S15" s="213"/>
      <c r="T15" s="213"/>
      <c r="U15" s="213"/>
      <c r="W15" s="132" t="s">
        <v>202</v>
      </c>
      <c r="X15" s="132"/>
      <c r="Y15" s="132"/>
      <c r="Z15" s="2">
        <v>2</v>
      </c>
      <c r="AB15" s="2">
        <v>1</v>
      </c>
      <c r="AC15" s="132" t="s">
        <v>200</v>
      </c>
      <c r="AD15" s="132"/>
      <c r="AE15" s="132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 t="s">
        <v>212</v>
      </c>
      <c r="X16" s="132"/>
      <c r="Y16" s="132"/>
      <c r="Z16" s="2">
        <v>2</v>
      </c>
      <c r="AB16" s="2">
        <v>0</v>
      </c>
      <c r="AC16" s="132" t="s">
        <v>213</v>
      </c>
      <c r="AD16" s="132"/>
      <c r="AE16" s="132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25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 t="s">
        <v>204</v>
      </c>
      <c r="X17" s="132"/>
      <c r="Y17" s="132"/>
      <c r="Z17" s="2">
        <v>2</v>
      </c>
      <c r="AB17" s="2">
        <v>1</v>
      </c>
      <c r="AC17" s="132" t="s">
        <v>201</v>
      </c>
      <c r="AD17" s="132"/>
      <c r="AE17" s="132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1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8</v>
      </c>
      <c r="R19" s="18">
        <v>13</v>
      </c>
      <c r="S19" s="18">
        <v>14</v>
      </c>
      <c r="T19" s="18">
        <v>10</v>
      </c>
      <c r="U19" s="18">
        <v>11</v>
      </c>
      <c r="W19" s="132"/>
      <c r="X19" s="132"/>
      <c r="Y19" s="132"/>
      <c r="AC19" s="132"/>
      <c r="AD19" s="132"/>
      <c r="AE19" s="132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5" t="s">
        <v>26</v>
      </c>
      <c r="R21" s="215"/>
      <c r="S21" s="216" t="s">
        <v>185</v>
      </c>
      <c r="T21" s="216"/>
      <c r="U21" s="216" t="s">
        <v>187</v>
      </c>
      <c r="V21" s="216"/>
      <c r="W21" s="132"/>
      <c r="X21" s="132"/>
      <c r="Y21" s="132"/>
      <c r="AC21" s="132"/>
      <c r="AD21" s="132"/>
      <c r="AE21" s="132"/>
    </row>
    <row r="22" spans="1:31" x14ac:dyDescent="0.3">
      <c r="A22" s="211" t="s">
        <v>40</v>
      </c>
      <c r="B22" s="211"/>
      <c r="C22" s="211"/>
      <c r="D22" s="211"/>
      <c r="E22" s="211"/>
      <c r="J22" s="71" t="str">
        <f>'1.Ivan'!J22</f>
        <v/>
      </c>
      <c r="K22" s="212" t="s">
        <v>40</v>
      </c>
      <c r="L22" s="212"/>
      <c r="M22" s="212"/>
      <c r="N22" s="212"/>
      <c r="O22" s="212"/>
      <c r="Q22" s="215" t="s">
        <v>25</v>
      </c>
      <c r="R22" s="215"/>
      <c r="S22" s="217" t="s">
        <v>239</v>
      </c>
      <c r="T22" s="217"/>
      <c r="U22" s="217" t="s">
        <v>237</v>
      </c>
      <c r="V22" s="217"/>
      <c r="W22" s="132"/>
      <c r="X22" s="132"/>
      <c r="Y22" s="132"/>
      <c r="AC22" s="132"/>
      <c r="AD22" s="132"/>
      <c r="AE22" s="132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 x14ac:dyDescent="0.3">
      <c r="A25" s="12" t="str">
        <f t="shared" si="6"/>
        <v>Flamengo</v>
      </c>
      <c r="B25" s="2">
        <v>0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Q25"/>
      <c r="W25" s="132"/>
      <c r="X25" s="132"/>
      <c r="Y25" s="132"/>
      <c r="AC25" s="132"/>
      <c r="AD25" s="132"/>
      <c r="AE25" s="132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Q26"/>
      <c r="W26" s="132"/>
      <c r="X26" s="132"/>
      <c r="Y26" s="132"/>
      <c r="AC26" s="132"/>
      <c r="AD26" s="132"/>
      <c r="AE26" s="132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Q27"/>
      <c r="W27" s="132"/>
      <c r="X27" s="132"/>
      <c r="Y27" s="132"/>
      <c r="Z27" s="19"/>
      <c r="AC27" s="132"/>
      <c r="AD27" s="132"/>
      <c r="AE27" s="132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Q28"/>
      <c r="W28" s="132"/>
      <c r="X28" s="132"/>
      <c r="Y28" s="132"/>
      <c r="AC28" s="132"/>
      <c r="AD28" s="132"/>
      <c r="AE28" s="132"/>
    </row>
    <row r="29" spans="1:31" x14ac:dyDescent="0.3">
      <c r="A29" s="211" t="s">
        <v>39</v>
      </c>
      <c r="B29" s="211"/>
      <c r="C29" s="211"/>
      <c r="D29" s="211"/>
      <c r="E29" s="211"/>
      <c r="K29" s="212" t="s">
        <v>39</v>
      </c>
      <c r="L29" s="212"/>
      <c r="M29" s="212"/>
      <c r="N29" s="212"/>
      <c r="O29" s="212"/>
      <c r="Q29"/>
      <c r="W29" s="132"/>
      <c r="X29" s="132"/>
      <c r="Y29" s="132"/>
      <c r="AC29" s="132"/>
      <c r="AD29" s="132"/>
      <c r="AE29" s="132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/>
      <c r="R30" s="20"/>
      <c r="W30" s="132"/>
      <c r="X30" s="132"/>
      <c r="Y30" s="132"/>
      <c r="AC30" s="132"/>
      <c r="AD30" s="132"/>
      <c r="AE30" s="132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22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22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22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H35" s="2">
        <v>5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22" x14ac:dyDescent="0.3">
      <c r="A36" s="211" t="s">
        <v>38</v>
      </c>
      <c r="B36" s="211"/>
      <c r="C36" s="211"/>
      <c r="D36" s="211"/>
      <c r="E36" s="211"/>
      <c r="J36" s="71" t="str">
        <f>'1.Ivan'!J36</f>
        <v/>
      </c>
      <c r="K36" s="212" t="s">
        <v>38</v>
      </c>
      <c r="L36" s="212"/>
      <c r="M36" s="212"/>
      <c r="N36" s="212"/>
      <c r="O36" s="212"/>
      <c r="V36"/>
    </row>
    <row r="37" spans="1:22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  <c r="V37"/>
    </row>
    <row r="38" spans="1:22" x14ac:dyDescent="0.3">
      <c r="A38" s="12" t="str">
        <f t="shared" ref="A38:A42" si="10">K38</f>
        <v>Ulsan HD</v>
      </c>
      <c r="B38" s="2">
        <v>2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  <c r="V38"/>
    </row>
    <row r="39" spans="1:22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  <c r="V39"/>
    </row>
    <row r="40" spans="1:22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  <c r="V40"/>
    </row>
    <row r="41" spans="1:22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2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  <c r="V41"/>
    </row>
    <row r="42" spans="1:22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1</v>
      </c>
      <c r="E42" s="13" t="str">
        <f t="shared" si="11"/>
        <v>Ulsan HD</v>
      </c>
      <c r="H42" s="2">
        <v>10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22" x14ac:dyDescent="0.3">
      <c r="A43" s="211" t="s">
        <v>37</v>
      </c>
      <c r="B43" s="211"/>
      <c r="C43" s="211"/>
      <c r="D43" s="211"/>
      <c r="E43" s="211"/>
      <c r="J43" s="71" t="str">
        <f>'1.Ivan'!J43</f>
        <v/>
      </c>
      <c r="K43" s="212" t="s">
        <v>37</v>
      </c>
      <c r="L43" s="212"/>
      <c r="M43" s="212"/>
      <c r="N43" s="212"/>
      <c r="O43" s="212"/>
    </row>
    <row r="44" spans="1:22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22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22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22" x14ac:dyDescent="0.3">
      <c r="A47" s="12" t="str">
        <f t="shared" si="12"/>
        <v>Manchester City</v>
      </c>
      <c r="B47" s="2">
        <v>3</v>
      </c>
      <c r="C47" s="2" t="s">
        <v>33</v>
      </c>
      <c r="D47" s="2">
        <v>1</v>
      </c>
      <c r="E47" s="13" t="str">
        <f t="shared" si="13"/>
        <v>Al-Ain</v>
      </c>
      <c r="H47" s="2">
        <v>10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22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0</v>
      </c>
      <c r="E49" s="13" t="str">
        <f t="shared" si="13"/>
        <v>Al-Ain</v>
      </c>
      <c r="H49" s="2">
        <v>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1" t="s">
        <v>36</v>
      </c>
      <c r="B50" s="211"/>
      <c r="C50" s="211"/>
      <c r="D50" s="211"/>
      <c r="E50" s="211"/>
      <c r="J50" s="71" t="str">
        <f>'1.Ivan'!J50</f>
        <v/>
      </c>
      <c r="K50" s="212" t="s">
        <v>36</v>
      </c>
      <c r="L50" s="212"/>
      <c r="M50" s="212"/>
      <c r="N50" s="212"/>
      <c r="O50" s="212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10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4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0</v>
      </c>
      <c r="E56" s="13" t="str">
        <f t="shared" si="15"/>
        <v>Pachuca</v>
      </c>
      <c r="H56" s="2">
        <v>25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8" t="str">
        <f>_xlfn.CONCAT(W2,A57)</f>
        <v>Jean Carlos - Oitavas de Final</v>
      </c>
      <c r="B58" s="208"/>
      <c r="C58" s="208"/>
      <c r="D58" s="208"/>
      <c r="E58" s="208"/>
      <c r="K58" s="209" t="s">
        <v>126</v>
      </c>
      <c r="L58" s="209"/>
      <c r="M58" s="209"/>
      <c r="N58" s="209"/>
      <c r="O58" s="209"/>
    </row>
    <row r="59" spans="1:15" x14ac:dyDescent="0.3">
      <c r="A59" s="53" t="str">
        <f>K59</f>
        <v>Palmeiras</v>
      </c>
      <c r="B59" s="54">
        <v>2</v>
      </c>
      <c r="C59" s="54" t="s">
        <v>33</v>
      </c>
      <c r="D59" s="54">
        <v>0</v>
      </c>
      <c r="E59" s="55" t="str">
        <f>O59</f>
        <v>Botafogo</v>
      </c>
      <c r="H59" s="2">
        <v>15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1</v>
      </c>
      <c r="C60" s="54" t="s">
        <v>33</v>
      </c>
      <c r="D60" s="54">
        <v>3</v>
      </c>
      <c r="E60" s="55" t="str">
        <f t="shared" ref="E60:E66" si="17">O60</f>
        <v>Chelsea</v>
      </c>
      <c r="H60" s="2">
        <v>15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1</v>
      </c>
      <c r="C61" s="54" t="s">
        <v>33</v>
      </c>
      <c r="D61" s="54">
        <v>2</v>
      </c>
      <c r="E61" s="55" t="str">
        <f t="shared" si="17"/>
        <v>Fluminense</v>
      </c>
      <c r="H61" s="2">
        <v>15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4</v>
      </c>
      <c r="C62" s="54" t="s">
        <v>33</v>
      </c>
      <c r="D62" s="54">
        <v>1</v>
      </c>
      <c r="E62" s="55" t="str">
        <f t="shared" si="17"/>
        <v>Al-Hilal</v>
      </c>
      <c r="H62" s="2">
        <v>0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1</v>
      </c>
      <c r="C63" s="54" t="s">
        <v>33</v>
      </c>
      <c r="D63" s="54">
        <v>2</v>
      </c>
      <c r="E63" s="55" t="str">
        <f t="shared" si="17"/>
        <v>Inter Miami</v>
      </c>
      <c r="H63" s="2">
        <v>0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3</v>
      </c>
      <c r="E64" s="55" t="str">
        <f t="shared" si="17"/>
        <v>Bayer de Munique</v>
      </c>
      <c r="H64" s="2">
        <v>10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2</v>
      </c>
      <c r="C65" s="54" t="s">
        <v>33</v>
      </c>
      <c r="D65" s="54">
        <v>1</v>
      </c>
      <c r="E65" s="55" t="str">
        <f t="shared" si="17"/>
        <v>Monterrey</v>
      </c>
      <c r="H65" s="2">
        <v>25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3</v>
      </c>
      <c r="C66" s="54" t="s">
        <v>33</v>
      </c>
      <c r="D66" s="54">
        <v>0</v>
      </c>
      <c r="E66" s="55" t="str">
        <f t="shared" si="17"/>
        <v>Juventus</v>
      </c>
      <c r="H66" s="2">
        <v>15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8" t="str">
        <f>_xlfn.CONCAT(W2,A67)</f>
        <v>Jean Carlos - Quartas de Final</v>
      </c>
      <c r="B68" s="208"/>
      <c r="C68" s="208"/>
      <c r="D68" s="208"/>
      <c r="E68" s="208"/>
      <c r="J68" s="71" t="str">
        <f>'1.Ivan'!J68</f>
        <v/>
      </c>
      <c r="K68" s="209" t="s">
        <v>95</v>
      </c>
      <c r="L68" s="209"/>
      <c r="M68" s="209"/>
      <c r="N68" s="209"/>
      <c r="O68" s="209"/>
    </row>
    <row r="69" spans="1:15" x14ac:dyDescent="0.3">
      <c r="A69" s="53" t="str">
        <f>K69</f>
        <v>Palmeiras</v>
      </c>
      <c r="B69" s="54"/>
      <c r="C69" s="54" t="s">
        <v>33</v>
      </c>
      <c r="D69" s="54"/>
      <c r="E69" s="55" t="str">
        <f>O69</f>
        <v>Chelsea</v>
      </c>
      <c r="J69" s="71" t="str">
        <f>'1.Ivan'!J69</f>
        <v>N</v>
      </c>
      <c r="K69" s="2" t="str">
        <f>IF(Tabela!A42="","",Tabela!A42)</f>
        <v>Palmeiras</v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/>
      <c r="C70" s="54" t="s">
        <v>33</v>
      </c>
      <c r="D70" s="54"/>
      <c r="E70" s="55" t="str">
        <f t="shared" ref="E70:E72" si="19">O70</f>
        <v>Al-Hilal</v>
      </c>
      <c r="J70" s="71" t="str">
        <f>'1.Ivan'!J70</f>
        <v>N</v>
      </c>
      <c r="K70" s="2" t="str">
        <f>IF(Tabela!A43="","",Tabela!A43)</f>
        <v>Fluminense</v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/>
      <c r="C71" s="54" t="s">
        <v>33</v>
      </c>
      <c r="D71" s="54"/>
      <c r="E71" s="55" t="str">
        <f t="shared" si="19"/>
        <v>Bayern de Munique</v>
      </c>
      <c r="J71" s="71" t="str">
        <f>'1.Ivan'!J71</f>
        <v>N</v>
      </c>
      <c r="K71" s="2" t="str">
        <f>IF(Tabela!A44="","",Tabela!A44)</f>
        <v>PSG</v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>Bayern de Munique</v>
      </c>
    </row>
    <row r="72" spans="1:15" x14ac:dyDescent="0.3">
      <c r="A72" s="53" t="str">
        <f t="shared" si="18"/>
        <v>Borussia Dortmund</v>
      </c>
      <c r="B72" s="54"/>
      <c r="C72" s="54" t="s">
        <v>33</v>
      </c>
      <c r="D72" s="54"/>
      <c r="E72" s="55" t="str">
        <f t="shared" si="19"/>
        <v>Real Madrid</v>
      </c>
      <c r="J72" s="71" t="str">
        <f>'1.Ivan'!J72</f>
        <v>N</v>
      </c>
      <c r="K72" s="2" t="str">
        <f>IF(Tabela!A45="","",Tabela!A45)</f>
        <v>Borussia Dortmund</v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>Real Madrid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8" t="str">
        <f>_xlfn.CONCAT(W$2,A73)</f>
        <v>Jean Carlos - Semi Final</v>
      </c>
      <c r="B74" s="208"/>
      <c r="C74" s="208"/>
      <c r="D74" s="208"/>
      <c r="E74" s="208"/>
      <c r="J74" s="71" t="str">
        <f>'1.Ivan'!J74</f>
        <v/>
      </c>
      <c r="K74" s="209" t="s">
        <v>96</v>
      </c>
      <c r="L74" s="209"/>
      <c r="M74" s="209"/>
      <c r="N74" s="209"/>
      <c r="O74" s="209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8" t="str">
        <f>_xlfn.CONCAT(W$2,A77)</f>
        <v>Jean Carlos - Final</v>
      </c>
      <c r="B78" s="208"/>
      <c r="C78" s="208"/>
      <c r="D78" s="208"/>
      <c r="E78" s="208"/>
      <c r="J78" s="71" t="str">
        <f>'1.Ivan'!J78</f>
        <v/>
      </c>
      <c r="K78" s="209" t="s">
        <v>98</v>
      </c>
      <c r="L78" s="209"/>
      <c r="M78" s="209"/>
      <c r="N78" s="209"/>
      <c r="O78" s="209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D9B365-2BEA-4F21-B822-35A73E58E3A2}">
  <sheetPr codeName="Planilha8">
    <tabColor rgb="FF0070C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8" t="s">
        <v>35</v>
      </c>
      <c r="B1" s="218"/>
      <c r="C1" s="218"/>
      <c r="D1" s="218"/>
      <c r="E1" s="218"/>
      <c r="K1" s="212" t="s">
        <v>35</v>
      </c>
      <c r="L1" s="212"/>
      <c r="M1" s="212"/>
      <c r="N1" s="212"/>
      <c r="O1" s="212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2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0" t="s">
        <v>223</v>
      </c>
      <c r="X2" s="210"/>
      <c r="Y2" s="210"/>
      <c r="Z2" s="210"/>
      <c r="AA2" s="210"/>
      <c r="AB2" s="210"/>
      <c r="AC2" s="210"/>
      <c r="AD2" s="210"/>
      <c r="AE2" s="210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2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0"/>
      <c r="X3" s="210"/>
      <c r="Y3" s="210"/>
      <c r="Z3" s="210"/>
      <c r="AA3" s="210"/>
      <c r="AB3" s="210"/>
      <c r="AC3" s="210"/>
      <c r="AD3" s="210"/>
      <c r="AE3" s="210"/>
    </row>
    <row r="4" spans="1:56" x14ac:dyDescent="0.3">
      <c r="A4" s="12" t="str">
        <f t="shared" si="0"/>
        <v>Palmeiras</v>
      </c>
      <c r="B4" s="2">
        <v>3</v>
      </c>
      <c r="C4" s="2" t="s">
        <v>33</v>
      </c>
      <c r="D4" s="2">
        <v>1</v>
      </c>
      <c r="E4" s="13" t="str">
        <f t="shared" si="1"/>
        <v>Al Ahly</v>
      </c>
      <c r="H4" s="2">
        <v>10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0"/>
      <c r="X4" s="210"/>
      <c r="Y4" s="210"/>
      <c r="Z4" s="210"/>
      <c r="AA4" s="210"/>
      <c r="AB4" s="210"/>
      <c r="AC4" s="210"/>
      <c r="AD4" s="210"/>
      <c r="AE4" s="210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0"/>
      <c r="X5" s="210"/>
      <c r="Y5" s="210"/>
      <c r="Z5" s="210"/>
      <c r="AA5" s="210"/>
      <c r="AB5" s="210"/>
      <c r="AC5" s="210"/>
      <c r="AD5" s="210"/>
      <c r="AE5" s="210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0"/>
      <c r="X6" s="210"/>
      <c r="Y6" s="210"/>
      <c r="Z6" s="210"/>
      <c r="AA6" s="210"/>
      <c r="AB6" s="210"/>
      <c r="AC6" s="210"/>
      <c r="AD6" s="210"/>
      <c r="AE6" s="210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8" t="s">
        <v>42</v>
      </c>
      <c r="B8" s="218"/>
      <c r="C8" s="218"/>
      <c r="D8" s="218"/>
      <c r="E8" s="218"/>
      <c r="J8" s="71" t="str">
        <f>'1.Ivan'!J8</f>
        <v/>
      </c>
      <c r="K8" s="212" t="s">
        <v>42</v>
      </c>
      <c r="L8" s="212"/>
      <c r="M8" s="212"/>
      <c r="N8" s="212"/>
      <c r="O8" s="212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4" t="s">
        <v>43</v>
      </c>
      <c r="R9" s="214"/>
      <c r="S9" s="214"/>
      <c r="T9" s="214"/>
      <c r="U9" s="214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4"/>
      <c r="R10" s="214"/>
      <c r="S10" s="214"/>
      <c r="T10" s="214"/>
      <c r="U10" s="214"/>
      <c r="W10" s="132" t="s">
        <v>189</v>
      </c>
      <c r="X10" s="132"/>
      <c r="Y10" s="132"/>
      <c r="Z10" s="2">
        <v>2</v>
      </c>
      <c r="AB10" s="2">
        <v>1</v>
      </c>
      <c r="AC10" s="132" t="s">
        <v>190</v>
      </c>
      <c r="AD10" s="132"/>
      <c r="AE10" s="132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3">
        <f>SUM(H2:H82)</f>
        <v>440</v>
      </c>
      <c r="R11" s="213"/>
      <c r="S11" s="213"/>
      <c r="T11" s="213"/>
      <c r="U11" s="213"/>
      <c r="W11" s="132" t="s">
        <v>207</v>
      </c>
      <c r="X11" s="132"/>
      <c r="Y11" s="132"/>
      <c r="Z11" s="2">
        <v>2</v>
      </c>
      <c r="AB11" s="2">
        <v>0</v>
      </c>
      <c r="AC11" s="132" t="s">
        <v>208</v>
      </c>
      <c r="AD11" s="132"/>
      <c r="AE11" s="132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2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3"/>
      <c r="R12" s="213"/>
      <c r="S12" s="213"/>
      <c r="T12" s="213"/>
      <c r="U12" s="213"/>
      <c r="W12" s="132"/>
      <c r="X12" s="132"/>
      <c r="Y12" s="132"/>
      <c r="AC12" s="132"/>
      <c r="AD12" s="132"/>
      <c r="AE12" s="132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3"/>
      <c r="R13" s="213"/>
      <c r="S13" s="213"/>
      <c r="T13" s="213"/>
      <c r="U13" s="213"/>
      <c r="W13" s="132"/>
      <c r="X13" s="132"/>
      <c r="Y13" s="132"/>
      <c r="AC13" s="132"/>
      <c r="AD13" s="132"/>
      <c r="AE13" s="132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3"/>
      <c r="R14" s="213"/>
      <c r="S14" s="213"/>
      <c r="T14" s="213"/>
      <c r="U14" s="213"/>
      <c r="W14" s="132"/>
      <c r="X14" s="132"/>
      <c r="Y14" s="132"/>
      <c r="AC14" s="132"/>
      <c r="AD14" s="132"/>
      <c r="AE14" s="132"/>
      <c r="BD14" s="1">
        <v>5</v>
      </c>
    </row>
    <row r="15" spans="1:56" x14ac:dyDescent="0.3">
      <c r="A15" s="218" t="s">
        <v>41</v>
      </c>
      <c r="B15" s="218"/>
      <c r="C15" s="218"/>
      <c r="D15" s="218"/>
      <c r="E15" s="218"/>
      <c r="K15" s="212" t="s">
        <v>41</v>
      </c>
      <c r="L15" s="212"/>
      <c r="M15" s="212"/>
      <c r="N15" s="212"/>
      <c r="O15" s="212"/>
      <c r="Q15" s="213"/>
      <c r="R15" s="213"/>
      <c r="S15" s="213"/>
      <c r="T15" s="213"/>
      <c r="U15" s="213"/>
      <c r="W15" s="132"/>
      <c r="X15" s="132"/>
      <c r="Y15" s="132"/>
      <c r="AC15" s="132"/>
      <c r="AD15" s="132"/>
      <c r="AE15" s="132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/>
      <c r="X16" s="132"/>
      <c r="Y16" s="132"/>
      <c r="AC16" s="132"/>
      <c r="AD16" s="132"/>
      <c r="AE16" s="132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3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/>
      <c r="X17" s="132"/>
      <c r="Y17" s="132"/>
      <c r="AC17" s="132"/>
      <c r="AD17" s="132"/>
      <c r="AE17" s="132"/>
    </row>
    <row r="18" spans="1:31" x14ac:dyDescent="0.3">
      <c r="A18" s="12" t="str">
        <f t="shared" si="4"/>
        <v>Benfica</v>
      </c>
      <c r="B18" s="2">
        <v>3</v>
      </c>
      <c r="C18" s="2" t="s">
        <v>33</v>
      </c>
      <c r="D18" s="2">
        <v>1</v>
      </c>
      <c r="E18" s="13" t="str">
        <f t="shared" si="5"/>
        <v>Auckland City</v>
      </c>
      <c r="H18" s="2">
        <v>10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2</v>
      </c>
      <c r="R19" s="18">
        <v>12</v>
      </c>
      <c r="S19" s="18">
        <v>16</v>
      </c>
      <c r="T19" s="18">
        <v>10</v>
      </c>
      <c r="U19" s="18">
        <v>16</v>
      </c>
      <c r="W19" s="132"/>
      <c r="X19" s="132"/>
      <c r="Y19" s="132"/>
      <c r="AC19" s="132"/>
      <c r="AD19" s="132"/>
      <c r="AE19" s="132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5" t="s">
        <v>26</v>
      </c>
      <c r="R21" s="215"/>
      <c r="S21" s="216" t="s">
        <v>211</v>
      </c>
      <c r="T21" s="216"/>
      <c r="U21" s="216" t="s">
        <v>187</v>
      </c>
      <c r="V21" s="216"/>
      <c r="W21" s="132"/>
      <c r="X21" s="132"/>
      <c r="Y21" s="132"/>
      <c r="AC21" s="132"/>
      <c r="AD21" s="132"/>
      <c r="AE21" s="132"/>
    </row>
    <row r="22" spans="1:31" x14ac:dyDescent="0.3">
      <c r="A22" s="218" t="s">
        <v>40</v>
      </c>
      <c r="B22" s="218"/>
      <c r="C22" s="218"/>
      <c r="D22" s="218"/>
      <c r="E22" s="218"/>
      <c r="J22" s="71" t="str">
        <f>'1.Ivan'!J22</f>
        <v/>
      </c>
      <c r="K22" s="212" t="s">
        <v>40</v>
      </c>
      <c r="L22" s="212"/>
      <c r="M22" s="212"/>
      <c r="N22" s="212"/>
      <c r="O22" s="212"/>
      <c r="Q22" s="215" t="s">
        <v>25</v>
      </c>
      <c r="R22" s="215"/>
      <c r="S22" s="217" t="s">
        <v>84</v>
      </c>
      <c r="T22" s="217"/>
      <c r="U22" s="217" t="s">
        <v>85</v>
      </c>
      <c r="V22" s="217"/>
      <c r="W22" s="132"/>
      <c r="X22" s="132"/>
      <c r="Y22" s="132"/>
      <c r="AC22" s="132"/>
      <c r="AD22" s="132"/>
      <c r="AE22" s="132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1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H25" s="2">
        <v>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3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3</v>
      </c>
      <c r="E28" s="13" t="str">
        <f t="shared" si="7"/>
        <v>Flamengo</v>
      </c>
      <c r="H28" s="2">
        <v>0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 x14ac:dyDescent="0.3">
      <c r="A29" s="218" t="s">
        <v>39</v>
      </c>
      <c r="B29" s="218"/>
      <c r="C29" s="218"/>
      <c r="D29" s="218"/>
      <c r="E29" s="218"/>
      <c r="K29" s="212" t="s">
        <v>39</v>
      </c>
      <c r="L29" s="212"/>
      <c r="M29" s="212"/>
      <c r="N29" s="212"/>
      <c r="O29" s="212"/>
      <c r="W29" s="132"/>
      <c r="X29" s="132"/>
      <c r="Y29" s="132"/>
      <c r="AC29" s="132"/>
      <c r="AD29" s="132"/>
      <c r="AE29" s="132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2</v>
      </c>
      <c r="E34" s="13" t="str">
        <f t="shared" si="9"/>
        <v>River Plate</v>
      </c>
      <c r="H34" s="2">
        <v>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H35" s="2">
        <v>5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8" t="s">
        <v>38</v>
      </c>
      <c r="B36" s="218"/>
      <c r="C36" s="218"/>
      <c r="D36" s="218"/>
      <c r="E36" s="218"/>
      <c r="J36" s="71" t="str">
        <f>'1.Ivan'!J36</f>
        <v/>
      </c>
      <c r="K36" s="212" t="s">
        <v>38</v>
      </c>
      <c r="L36" s="212"/>
      <c r="M36" s="212"/>
      <c r="N36" s="212"/>
      <c r="O36" s="212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4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2</v>
      </c>
      <c r="C41" s="2" t="s">
        <v>33</v>
      </c>
      <c r="D41" s="2">
        <v>3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8" t="s">
        <v>37</v>
      </c>
      <c r="B43" s="218"/>
      <c r="C43" s="218"/>
      <c r="D43" s="218"/>
      <c r="E43" s="218"/>
      <c r="J43" s="71" t="str">
        <f>'1.Ivan'!J43</f>
        <v/>
      </c>
      <c r="K43" s="212" t="s">
        <v>37</v>
      </c>
      <c r="L43" s="212"/>
      <c r="M43" s="212"/>
      <c r="N43" s="212"/>
      <c r="O43" s="212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33</v>
      </c>
      <c r="D47" s="2">
        <v>2</v>
      </c>
      <c r="E47" s="13" t="str">
        <f t="shared" si="13"/>
        <v>Al-Ain</v>
      </c>
      <c r="H47" s="2">
        <v>0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3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4</v>
      </c>
      <c r="E49" s="13" t="str">
        <f t="shared" si="13"/>
        <v>Al-Ain</v>
      </c>
      <c r="H49" s="2">
        <v>15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8" t="s">
        <v>36</v>
      </c>
      <c r="B50" s="218"/>
      <c r="C50" s="218"/>
      <c r="D50" s="218"/>
      <c r="E50" s="218"/>
      <c r="J50" s="71" t="str">
        <f>'1.Ivan'!J50</f>
        <v/>
      </c>
      <c r="K50" s="212" t="s">
        <v>36</v>
      </c>
      <c r="L50" s="212"/>
      <c r="M50" s="212"/>
      <c r="N50" s="212"/>
      <c r="O50" s="212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2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2</v>
      </c>
      <c r="E53" s="13" t="str">
        <f t="shared" si="15"/>
        <v>Pachuca</v>
      </c>
      <c r="H53" s="2">
        <v>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1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8" t="str">
        <f>_xlfn.CONCAT(W2,A57)</f>
        <v>Macélio Henrique - Oitavas de Final</v>
      </c>
      <c r="B58" s="208"/>
      <c r="C58" s="208"/>
      <c r="D58" s="208"/>
      <c r="E58" s="208"/>
      <c r="K58" s="209" t="s">
        <v>126</v>
      </c>
      <c r="L58" s="209"/>
      <c r="M58" s="209"/>
      <c r="N58" s="209"/>
      <c r="O58" s="209"/>
    </row>
    <row r="59" spans="1:15" x14ac:dyDescent="0.3">
      <c r="A59" s="53" t="str">
        <f>K59</f>
        <v>Palmeiras</v>
      </c>
      <c r="B59" s="54">
        <v>2</v>
      </c>
      <c r="C59" s="54" t="s">
        <v>33</v>
      </c>
      <c r="D59" s="54">
        <v>3</v>
      </c>
      <c r="E59" s="55" t="str">
        <f>O59</f>
        <v>Botafogo</v>
      </c>
      <c r="H59" s="2">
        <v>0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2</v>
      </c>
      <c r="C60" s="54" t="s">
        <v>33</v>
      </c>
      <c r="D60" s="54">
        <v>2</v>
      </c>
      <c r="E60" s="55" t="str">
        <f t="shared" ref="E60:E66" si="17">O60</f>
        <v>Chelsea</v>
      </c>
      <c r="H60" s="2">
        <v>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2</v>
      </c>
      <c r="C61" s="54" t="s">
        <v>33</v>
      </c>
      <c r="D61" s="54">
        <v>0</v>
      </c>
      <c r="E61" s="55" t="str">
        <f t="shared" si="17"/>
        <v>Fluminense</v>
      </c>
      <c r="H61" s="2">
        <v>0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5</v>
      </c>
      <c r="C62" s="54" t="s">
        <v>33</v>
      </c>
      <c r="D62" s="54">
        <v>0</v>
      </c>
      <c r="E62" s="55" t="str">
        <f t="shared" si="17"/>
        <v>Al-Hilal</v>
      </c>
      <c r="H62" s="2">
        <v>0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3</v>
      </c>
      <c r="C63" s="54" t="s">
        <v>33</v>
      </c>
      <c r="D63" s="54">
        <v>0</v>
      </c>
      <c r="E63" s="55" t="str">
        <f t="shared" si="17"/>
        <v>Inter Miami</v>
      </c>
      <c r="H63" s="2">
        <v>15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2</v>
      </c>
      <c r="E64" s="55" t="str">
        <f t="shared" si="17"/>
        <v>Bayer de Munique</v>
      </c>
      <c r="H64" s="2">
        <v>10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3</v>
      </c>
      <c r="C65" s="54" t="s">
        <v>33</v>
      </c>
      <c r="D65" s="54">
        <v>2</v>
      </c>
      <c r="E65" s="55" t="str">
        <f t="shared" si="17"/>
        <v>Monterrey</v>
      </c>
      <c r="H65" s="2">
        <v>10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3</v>
      </c>
      <c r="C66" s="54" t="s">
        <v>33</v>
      </c>
      <c r="D66" s="54">
        <v>1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8" t="str">
        <f>_xlfn.CONCAT(W2,A67)</f>
        <v>Macélio Henrique - Quartas de Final</v>
      </c>
      <c r="B68" s="208"/>
      <c r="C68" s="208"/>
      <c r="D68" s="208"/>
      <c r="E68" s="208"/>
      <c r="J68" s="71" t="str">
        <f>'1.Ivan'!J68</f>
        <v/>
      </c>
      <c r="K68" s="209" t="s">
        <v>95</v>
      </c>
      <c r="L68" s="209"/>
      <c r="M68" s="209"/>
      <c r="N68" s="209"/>
      <c r="O68" s="209"/>
    </row>
    <row r="69" spans="1:15" x14ac:dyDescent="0.3">
      <c r="A69" s="53" t="str">
        <f>K69</f>
        <v>Palmeiras</v>
      </c>
      <c r="B69" s="54"/>
      <c r="C69" s="54" t="s">
        <v>33</v>
      </c>
      <c r="D69" s="54"/>
      <c r="E69" s="55" t="str">
        <f>O69</f>
        <v>Chelsea</v>
      </c>
      <c r="J69" s="71" t="str">
        <f>'1.Ivan'!J69</f>
        <v>N</v>
      </c>
      <c r="K69" s="2" t="str">
        <f>IF(Tabela!A42="","",Tabela!A42)</f>
        <v>Palmeiras</v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/>
      <c r="C70" s="54" t="s">
        <v>33</v>
      </c>
      <c r="D70" s="54"/>
      <c r="E70" s="55" t="str">
        <f t="shared" ref="E70:E72" si="19">O70</f>
        <v>Al-Hilal</v>
      </c>
      <c r="J70" s="71" t="str">
        <f>'1.Ivan'!J70</f>
        <v>N</v>
      </c>
      <c r="K70" s="2" t="str">
        <f>IF(Tabela!A43="","",Tabela!A43)</f>
        <v>Fluminense</v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/>
      <c r="C71" s="54" t="s">
        <v>33</v>
      </c>
      <c r="D71" s="54"/>
      <c r="E71" s="55" t="str">
        <f t="shared" si="19"/>
        <v>Bayern de Munique</v>
      </c>
      <c r="J71" s="71" t="str">
        <f>'1.Ivan'!J71</f>
        <v>N</v>
      </c>
      <c r="K71" s="2" t="str">
        <f>IF(Tabela!A44="","",Tabela!A44)</f>
        <v>PSG</v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>Bayern de Munique</v>
      </c>
    </row>
    <row r="72" spans="1:15" x14ac:dyDescent="0.3">
      <c r="A72" s="53" t="str">
        <f t="shared" si="18"/>
        <v>Borussia Dortmund</v>
      </c>
      <c r="B72" s="54"/>
      <c r="C72" s="54" t="s">
        <v>33</v>
      </c>
      <c r="D72" s="54"/>
      <c r="E72" s="55" t="str">
        <f t="shared" si="19"/>
        <v>Real Madrid</v>
      </c>
      <c r="J72" s="71" t="str">
        <f>'1.Ivan'!J72</f>
        <v>N</v>
      </c>
      <c r="K72" s="2" t="str">
        <f>IF(Tabela!A45="","",Tabela!A45)</f>
        <v>Borussia Dortmund</v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>Real Madrid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8" t="str">
        <f>_xlfn.CONCAT(W$2,A73)</f>
        <v>Macélio Henrique - Semi Final</v>
      </c>
      <c r="B74" s="208"/>
      <c r="C74" s="208"/>
      <c r="D74" s="208"/>
      <c r="E74" s="208"/>
      <c r="J74" s="71" t="str">
        <f>'1.Ivan'!J74</f>
        <v/>
      </c>
      <c r="K74" s="209" t="s">
        <v>96</v>
      </c>
      <c r="L74" s="209"/>
      <c r="M74" s="209"/>
      <c r="N74" s="209"/>
      <c r="O74" s="209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8" t="str">
        <f>_xlfn.CONCAT(W$2,A77)</f>
        <v>Macélio Henrique - Final</v>
      </c>
      <c r="B78" s="208"/>
      <c r="C78" s="208"/>
      <c r="D78" s="208"/>
      <c r="E78" s="208"/>
      <c r="J78" s="71" t="str">
        <f>'1.Ivan'!J78</f>
        <v/>
      </c>
      <c r="K78" s="209" t="s">
        <v>98</v>
      </c>
      <c r="L78" s="209"/>
      <c r="M78" s="209"/>
      <c r="N78" s="209"/>
      <c r="O78" s="209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0FF6E-2742-4E55-91CF-FC9CBA450837}">
  <sheetPr codeName="Planilha9">
    <tabColor rgb="FF0070C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1" t="s">
        <v>35</v>
      </c>
      <c r="B1" s="211"/>
      <c r="C1" s="211"/>
      <c r="D1" s="211"/>
      <c r="E1" s="211"/>
      <c r="K1" s="212" t="s">
        <v>35</v>
      </c>
      <c r="L1" s="212"/>
      <c r="M1" s="212"/>
      <c r="N1" s="212"/>
      <c r="O1" s="212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1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0" t="s">
        <v>45</v>
      </c>
      <c r="X2" s="210"/>
      <c r="Y2" s="210"/>
      <c r="Z2" s="210"/>
      <c r="AA2" s="210"/>
      <c r="AB2" s="210"/>
      <c r="AC2" s="210"/>
      <c r="AD2" s="210"/>
      <c r="AE2" s="210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2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0"/>
      <c r="X3" s="210"/>
      <c r="Y3" s="210"/>
      <c r="Z3" s="210"/>
      <c r="AA3" s="210"/>
      <c r="AB3" s="210"/>
      <c r="AC3" s="210"/>
      <c r="AD3" s="210"/>
      <c r="AE3" s="210"/>
    </row>
    <row r="4" spans="1:56" x14ac:dyDescent="0.3">
      <c r="A4" s="12" t="str">
        <f t="shared" si="0"/>
        <v>Palmeiras</v>
      </c>
      <c r="B4" s="2">
        <v>0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0"/>
      <c r="X4" s="210"/>
      <c r="Y4" s="210"/>
      <c r="Z4" s="210"/>
      <c r="AA4" s="210"/>
      <c r="AB4" s="210"/>
      <c r="AC4" s="210"/>
      <c r="AD4" s="210"/>
      <c r="AE4" s="210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0"/>
      <c r="X5" s="210"/>
      <c r="Y5" s="210"/>
      <c r="Z5" s="210"/>
      <c r="AA5" s="210"/>
      <c r="AB5" s="210"/>
      <c r="AC5" s="210"/>
      <c r="AD5" s="210"/>
      <c r="AE5" s="210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1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0"/>
      <c r="X6" s="210"/>
      <c r="Y6" s="210"/>
      <c r="Z6" s="210"/>
      <c r="AA6" s="210"/>
      <c r="AB6" s="210"/>
      <c r="AC6" s="210"/>
      <c r="AD6" s="210"/>
      <c r="AE6" s="210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1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1" t="s">
        <v>42</v>
      </c>
      <c r="B8" s="211"/>
      <c r="C8" s="211"/>
      <c r="D8" s="211"/>
      <c r="E8" s="211"/>
      <c r="J8" s="71" t="str">
        <f>'1.Ivan'!J8</f>
        <v/>
      </c>
      <c r="K8" s="212" t="s">
        <v>42</v>
      </c>
      <c r="L8" s="212"/>
      <c r="M8" s="212"/>
      <c r="N8" s="212"/>
      <c r="O8" s="212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4" t="s">
        <v>43</v>
      </c>
      <c r="R9" s="214"/>
      <c r="S9" s="214"/>
      <c r="T9" s="214"/>
      <c r="U9" s="214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33</v>
      </c>
      <c r="D10" s="2">
        <v>2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4"/>
      <c r="R10" s="214"/>
      <c r="S10" s="214"/>
      <c r="T10" s="214"/>
      <c r="U10" s="214"/>
      <c r="W10" s="132" t="s">
        <v>190</v>
      </c>
      <c r="X10" s="132"/>
      <c r="Y10" s="132"/>
      <c r="Z10" s="2">
        <v>0</v>
      </c>
      <c r="AB10" s="2">
        <v>2</v>
      </c>
      <c r="AC10" s="132" t="s">
        <v>187</v>
      </c>
      <c r="AD10" s="132"/>
      <c r="AE10" s="132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3">
        <f>SUM(H2:H82)</f>
        <v>485</v>
      </c>
      <c r="R11" s="213"/>
      <c r="S11" s="213"/>
      <c r="T11" s="213"/>
      <c r="U11" s="213"/>
      <c r="W11" s="132" t="s">
        <v>192</v>
      </c>
      <c r="X11" s="132"/>
      <c r="Y11" s="132"/>
      <c r="Z11" s="2">
        <v>1</v>
      </c>
      <c r="AB11" s="2">
        <v>1</v>
      </c>
      <c r="AC11" s="132" t="s">
        <v>193</v>
      </c>
      <c r="AD11" s="132"/>
      <c r="AE11" s="132"/>
    </row>
    <row r="12" spans="1:56" x14ac:dyDescent="0.3">
      <c r="A12" s="12" t="str">
        <f t="shared" si="2"/>
        <v>PSG</v>
      </c>
      <c r="B12" s="2">
        <v>4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3"/>
      <c r="R12" s="213"/>
      <c r="S12" s="213"/>
      <c r="T12" s="213"/>
      <c r="U12" s="213"/>
      <c r="W12" s="132" t="s">
        <v>195</v>
      </c>
      <c r="X12" s="132"/>
      <c r="Y12" s="132"/>
      <c r="Z12" s="2">
        <v>2</v>
      </c>
      <c r="AB12" s="2">
        <v>0</v>
      </c>
      <c r="AC12" s="132" t="s">
        <v>196</v>
      </c>
      <c r="AD12" s="132"/>
      <c r="AE12" s="132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H13" s="2">
        <v>25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3"/>
      <c r="R13" s="213"/>
      <c r="S13" s="213"/>
      <c r="T13" s="213"/>
      <c r="U13" s="213"/>
      <c r="W13" s="132" t="s">
        <v>208</v>
      </c>
      <c r="X13" s="132"/>
      <c r="Y13" s="132"/>
      <c r="Z13" s="2">
        <v>1</v>
      </c>
      <c r="AB13" s="2">
        <v>2</v>
      </c>
      <c r="AC13" s="132" t="s">
        <v>209</v>
      </c>
      <c r="AD13" s="132"/>
      <c r="AE13" s="132"/>
    </row>
    <row r="14" spans="1:56" x14ac:dyDescent="0.3">
      <c r="A14" s="12" t="str">
        <f t="shared" si="2"/>
        <v>Atlético de Madrid</v>
      </c>
      <c r="B14" s="2">
        <v>3</v>
      </c>
      <c r="C14" s="2" t="s">
        <v>33</v>
      </c>
      <c r="D14" s="2">
        <v>0</v>
      </c>
      <c r="E14" s="13" t="str">
        <f t="shared" si="3"/>
        <v>Botafogo</v>
      </c>
      <c r="H14" s="2">
        <v>15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3"/>
      <c r="R14" s="213"/>
      <c r="S14" s="213"/>
      <c r="T14" s="213"/>
      <c r="U14" s="213"/>
      <c r="W14" s="132" t="s">
        <v>213</v>
      </c>
      <c r="X14" s="132"/>
      <c r="Y14" s="132"/>
      <c r="Z14" s="2">
        <v>1</v>
      </c>
      <c r="AB14" s="2">
        <v>2</v>
      </c>
      <c r="AC14" s="132" t="s">
        <v>214</v>
      </c>
      <c r="AD14" s="132"/>
      <c r="AE14" s="132"/>
      <c r="BD14" s="1">
        <v>5</v>
      </c>
    </row>
    <row r="15" spans="1:56" x14ac:dyDescent="0.3">
      <c r="A15" s="211" t="s">
        <v>41</v>
      </c>
      <c r="B15" s="211"/>
      <c r="C15" s="211"/>
      <c r="D15" s="211"/>
      <c r="E15" s="211"/>
      <c r="K15" s="212" t="s">
        <v>41</v>
      </c>
      <c r="L15" s="212"/>
      <c r="M15" s="212"/>
      <c r="N15" s="212"/>
      <c r="O15" s="212"/>
      <c r="Q15" s="213"/>
      <c r="R15" s="213"/>
      <c r="S15" s="213"/>
      <c r="T15" s="213"/>
      <c r="U15" s="213"/>
      <c r="W15" s="132"/>
      <c r="X15" s="132"/>
      <c r="Y15" s="132"/>
      <c r="AC15" s="132"/>
      <c r="AD15" s="132"/>
      <c r="AE15" s="132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/>
      <c r="X16" s="132"/>
      <c r="Y16" s="132"/>
      <c r="AC16" s="132"/>
      <c r="AD16" s="132"/>
      <c r="AE16" s="132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/>
      <c r="X17" s="132"/>
      <c r="Y17" s="132"/>
      <c r="AC17" s="132"/>
      <c r="AD17" s="132"/>
      <c r="AE17" s="132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5</v>
      </c>
      <c r="R19" s="18">
        <v>13</v>
      </c>
      <c r="S19" s="18">
        <v>11</v>
      </c>
      <c r="T19" s="18">
        <v>11</v>
      </c>
      <c r="U19" s="18">
        <v>16</v>
      </c>
      <c r="W19" s="132"/>
      <c r="X19" s="132"/>
      <c r="Y19" s="132"/>
      <c r="AC19" s="132"/>
      <c r="AD19" s="132"/>
      <c r="AE19" s="132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H21" s="2">
        <v>25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5" t="s">
        <v>26</v>
      </c>
      <c r="R21" s="215"/>
      <c r="S21" s="216" t="s">
        <v>187</v>
      </c>
      <c r="T21" s="216"/>
      <c r="U21" s="216" t="s">
        <v>211</v>
      </c>
      <c r="V21" s="216"/>
      <c r="W21" s="132"/>
      <c r="X21" s="132"/>
      <c r="Y21" s="132"/>
      <c r="AC21" s="132"/>
      <c r="AD21" s="132"/>
      <c r="AE21" s="132"/>
    </row>
    <row r="22" spans="1:31" x14ac:dyDescent="0.3">
      <c r="A22" s="211" t="s">
        <v>40</v>
      </c>
      <c r="B22" s="211"/>
      <c r="C22" s="211"/>
      <c r="D22" s="211"/>
      <c r="E22" s="211"/>
      <c r="J22" s="71" t="str">
        <f>'1.Ivan'!J22</f>
        <v/>
      </c>
      <c r="K22" s="212" t="s">
        <v>40</v>
      </c>
      <c r="L22" s="212"/>
      <c r="M22" s="212"/>
      <c r="N22" s="212"/>
      <c r="O22" s="212"/>
      <c r="Q22" s="215" t="s">
        <v>25</v>
      </c>
      <c r="R22" s="215"/>
      <c r="S22" s="217" t="s">
        <v>238</v>
      </c>
      <c r="T22" s="217"/>
      <c r="U22" s="217" t="s">
        <v>84</v>
      </c>
      <c r="V22" s="217"/>
      <c r="W22" s="132"/>
      <c r="X22" s="132"/>
      <c r="Y22" s="132"/>
      <c r="AC22" s="132"/>
      <c r="AD22" s="132"/>
      <c r="AE22" s="132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 x14ac:dyDescent="0.3">
      <c r="A29" s="211" t="s">
        <v>39</v>
      </c>
      <c r="B29" s="211"/>
      <c r="C29" s="211"/>
      <c r="D29" s="211"/>
      <c r="E29" s="211"/>
      <c r="K29" s="212" t="s">
        <v>39</v>
      </c>
      <c r="L29" s="212"/>
      <c r="M29" s="212"/>
      <c r="N29" s="212"/>
      <c r="O29" s="212"/>
      <c r="W29" s="132"/>
      <c r="X29" s="132"/>
      <c r="Y29" s="132"/>
      <c r="AC29" s="132"/>
      <c r="AD29" s="132"/>
      <c r="AE29" s="132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1</v>
      </c>
      <c r="E30" s="13" t="str">
        <f>O30</f>
        <v>Urawa Reds</v>
      </c>
      <c r="H30" s="2">
        <v>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1" t="s">
        <v>38</v>
      </c>
      <c r="B36" s="211"/>
      <c r="C36" s="211"/>
      <c r="D36" s="211"/>
      <c r="E36" s="211"/>
      <c r="J36" s="71" t="str">
        <f>'1.Ivan'!J36</f>
        <v/>
      </c>
      <c r="K36" s="212" t="s">
        <v>38</v>
      </c>
      <c r="L36" s="212"/>
      <c r="M36" s="212"/>
      <c r="N36" s="212"/>
      <c r="O36" s="212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3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1</v>
      </c>
      <c r="E40" s="13" t="str">
        <f t="shared" si="11"/>
        <v>Ulsan HD</v>
      </c>
      <c r="H40" s="2">
        <v>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0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1" t="s">
        <v>37</v>
      </c>
      <c r="B43" s="211"/>
      <c r="C43" s="211"/>
      <c r="D43" s="211"/>
      <c r="E43" s="211"/>
      <c r="J43" s="71" t="str">
        <f>'1.Ivan'!J43</f>
        <v/>
      </c>
      <c r="K43" s="212" t="s">
        <v>37</v>
      </c>
      <c r="L43" s="212"/>
      <c r="M43" s="212"/>
      <c r="N43" s="212"/>
      <c r="O43" s="212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H49" s="2">
        <v>25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1" t="s">
        <v>36</v>
      </c>
      <c r="B50" s="211"/>
      <c r="C50" s="211"/>
      <c r="D50" s="211"/>
      <c r="E50" s="211"/>
      <c r="J50" s="71" t="str">
        <f>'1.Ivan'!J50</f>
        <v/>
      </c>
      <c r="K50" s="212" t="s">
        <v>36</v>
      </c>
      <c r="L50" s="212"/>
      <c r="M50" s="212"/>
      <c r="N50" s="212"/>
      <c r="O50" s="212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0</v>
      </c>
      <c r="E54" s="13" t="str">
        <f t="shared" si="15"/>
        <v>Al-Hilal</v>
      </c>
      <c r="H54" s="2">
        <v>5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H55" s="2">
        <v>10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8" t="str">
        <f>_xlfn.CONCAT(W2,A57)</f>
        <v>Macélio - Oitavas de Final</v>
      </c>
      <c r="B58" s="208"/>
      <c r="C58" s="208"/>
      <c r="D58" s="208"/>
      <c r="E58" s="208"/>
      <c r="K58" s="209" t="s">
        <v>126</v>
      </c>
      <c r="L58" s="209"/>
      <c r="M58" s="209"/>
      <c r="N58" s="209"/>
      <c r="O58" s="209"/>
    </row>
    <row r="59" spans="1:15" x14ac:dyDescent="0.3">
      <c r="A59" s="53" t="str">
        <f>K59</f>
        <v>Palmeiras</v>
      </c>
      <c r="B59" s="54">
        <v>1</v>
      </c>
      <c r="C59" s="54" t="s">
        <v>33</v>
      </c>
      <c r="D59" s="54">
        <v>2</v>
      </c>
      <c r="E59" s="55" t="str">
        <f>O59</f>
        <v>Botafogo</v>
      </c>
      <c r="H59" s="2">
        <v>5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0</v>
      </c>
      <c r="C60" s="54" t="s">
        <v>33</v>
      </c>
      <c r="D60" s="54">
        <v>2</v>
      </c>
      <c r="E60" s="55" t="str">
        <f t="shared" ref="E60:E66" si="17">O60</f>
        <v>Chelsea</v>
      </c>
      <c r="H60" s="2">
        <v>10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2</v>
      </c>
      <c r="C61" s="54" t="s">
        <v>33</v>
      </c>
      <c r="D61" s="54">
        <v>0</v>
      </c>
      <c r="E61" s="55" t="str">
        <f t="shared" si="17"/>
        <v>Fluminense</v>
      </c>
      <c r="H61" s="2">
        <v>0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4</v>
      </c>
      <c r="C62" s="54" t="s">
        <v>33</v>
      </c>
      <c r="D62" s="54">
        <v>1</v>
      </c>
      <c r="E62" s="55" t="str">
        <f t="shared" si="17"/>
        <v>Al-Hilal</v>
      </c>
      <c r="H62" s="2">
        <v>0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2</v>
      </c>
      <c r="C63" s="54" t="s">
        <v>33</v>
      </c>
      <c r="D63" s="54">
        <v>0</v>
      </c>
      <c r="E63" s="55" t="str">
        <f t="shared" si="17"/>
        <v>Inter Miami</v>
      </c>
      <c r="H63" s="2">
        <v>15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2</v>
      </c>
      <c r="E64" s="55" t="str">
        <f t="shared" si="17"/>
        <v>Bayer de Munique</v>
      </c>
      <c r="H64" s="2">
        <v>10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1</v>
      </c>
      <c r="C65" s="54" t="s">
        <v>33</v>
      </c>
      <c r="D65" s="54">
        <v>1</v>
      </c>
      <c r="E65" s="55" t="str">
        <f t="shared" si="17"/>
        <v>Monterrey</v>
      </c>
      <c r="H65" s="2">
        <v>5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2</v>
      </c>
      <c r="C66" s="54" t="s">
        <v>33</v>
      </c>
      <c r="D66" s="54">
        <v>1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8" t="str">
        <f>_xlfn.CONCAT(W2,A67)</f>
        <v>Macélio - Quartas de Final</v>
      </c>
      <c r="B68" s="208"/>
      <c r="C68" s="208"/>
      <c r="D68" s="208"/>
      <c r="E68" s="208"/>
      <c r="J68" s="71" t="str">
        <f>'1.Ivan'!J68</f>
        <v/>
      </c>
      <c r="K68" s="209" t="s">
        <v>95</v>
      </c>
      <c r="L68" s="209"/>
      <c r="M68" s="209"/>
      <c r="N68" s="209"/>
      <c r="O68" s="209"/>
    </row>
    <row r="69" spans="1:15" x14ac:dyDescent="0.3">
      <c r="A69" s="53" t="str">
        <f>K69</f>
        <v>Palmeiras</v>
      </c>
      <c r="B69" s="54"/>
      <c r="C69" s="54" t="s">
        <v>33</v>
      </c>
      <c r="D69" s="54"/>
      <c r="E69" s="55" t="str">
        <f>O69</f>
        <v>Chelsea</v>
      </c>
      <c r="J69" s="71" t="str">
        <f>'1.Ivan'!J69</f>
        <v>N</v>
      </c>
      <c r="K69" s="2" t="str">
        <f>IF(Tabela!A42="","",Tabela!A42)</f>
        <v>Palmeiras</v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/>
      <c r="C70" s="54" t="s">
        <v>33</v>
      </c>
      <c r="D70" s="54"/>
      <c r="E70" s="55" t="str">
        <f t="shared" ref="E70:E72" si="19">O70</f>
        <v>Al-Hilal</v>
      </c>
      <c r="J70" s="71" t="str">
        <f>'1.Ivan'!J70</f>
        <v>N</v>
      </c>
      <c r="K70" s="2" t="str">
        <f>IF(Tabela!A43="","",Tabela!A43)</f>
        <v>Fluminense</v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/>
      <c r="C71" s="54" t="s">
        <v>33</v>
      </c>
      <c r="D71" s="54"/>
      <c r="E71" s="55" t="str">
        <f t="shared" si="19"/>
        <v>Bayern de Munique</v>
      </c>
      <c r="J71" s="71" t="str">
        <f>'1.Ivan'!J71</f>
        <v>N</v>
      </c>
      <c r="K71" s="2" t="str">
        <f>IF(Tabela!A44="","",Tabela!A44)</f>
        <v>PSG</v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>Bayern de Munique</v>
      </c>
    </row>
    <row r="72" spans="1:15" x14ac:dyDescent="0.3">
      <c r="A72" s="53" t="str">
        <f t="shared" si="18"/>
        <v>Borussia Dortmund</v>
      </c>
      <c r="B72" s="54"/>
      <c r="C72" s="54" t="s">
        <v>33</v>
      </c>
      <c r="D72" s="54"/>
      <c r="E72" s="55" t="str">
        <f t="shared" si="19"/>
        <v>Real Madrid</v>
      </c>
      <c r="J72" s="71" t="str">
        <f>'1.Ivan'!J72</f>
        <v>N</v>
      </c>
      <c r="K72" s="2" t="str">
        <f>IF(Tabela!A45="","",Tabela!A45)</f>
        <v>Borussia Dortmund</v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>Real Madrid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8" t="str">
        <f>_xlfn.CONCAT(W$2,A73)</f>
        <v>Macélio - Semi Final</v>
      </c>
      <c r="B74" s="208"/>
      <c r="C74" s="208"/>
      <c r="D74" s="208"/>
      <c r="E74" s="208"/>
      <c r="J74" s="71" t="str">
        <f>'1.Ivan'!J74</f>
        <v/>
      </c>
      <c r="K74" s="209" t="s">
        <v>96</v>
      </c>
      <c r="L74" s="209"/>
      <c r="M74" s="209"/>
      <c r="N74" s="209"/>
      <c r="O74" s="209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8" t="str">
        <f>_xlfn.CONCAT(W$2,A77)</f>
        <v>Macélio - Final</v>
      </c>
      <c r="B78" s="208"/>
      <c r="C78" s="208"/>
      <c r="D78" s="208"/>
      <c r="E78" s="208"/>
      <c r="J78" s="71" t="str">
        <f>'1.Ivan'!J78</f>
        <v/>
      </c>
      <c r="K78" s="209" t="s">
        <v>98</v>
      </c>
      <c r="L78" s="209"/>
      <c r="M78" s="209"/>
      <c r="N78" s="209"/>
      <c r="O78" s="209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0FD2F-541C-4A98-A329-7D9BEEC6375F}">
  <sheetPr codeName="Planilha7">
    <tabColor rgb="FF0070C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8" t="s">
        <v>35</v>
      </c>
      <c r="B1" s="218"/>
      <c r="C1" s="218"/>
      <c r="D1" s="218"/>
      <c r="E1" s="218"/>
      <c r="K1" s="212" t="s">
        <v>35</v>
      </c>
      <c r="L1" s="212"/>
      <c r="M1" s="212"/>
      <c r="N1" s="212"/>
      <c r="O1" s="212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0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0" t="s">
        <v>232</v>
      </c>
      <c r="X2" s="210"/>
      <c r="Y2" s="210"/>
      <c r="Z2" s="210"/>
      <c r="AA2" s="210"/>
      <c r="AB2" s="210"/>
      <c r="AC2" s="210"/>
      <c r="AD2" s="210"/>
      <c r="AE2" s="210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2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0"/>
      <c r="X3" s="210"/>
      <c r="Y3" s="210"/>
      <c r="Z3" s="210"/>
      <c r="AA3" s="210"/>
      <c r="AB3" s="210"/>
      <c r="AC3" s="210"/>
      <c r="AD3" s="210"/>
      <c r="AE3" s="210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0"/>
      <c r="X4" s="210"/>
      <c r="Y4" s="210"/>
      <c r="Z4" s="210"/>
      <c r="AA4" s="210"/>
      <c r="AB4" s="210"/>
      <c r="AC4" s="210"/>
      <c r="AD4" s="210"/>
      <c r="AE4" s="210"/>
    </row>
    <row r="5" spans="1:56" x14ac:dyDescent="0.3">
      <c r="A5" s="12" t="str">
        <f t="shared" si="0"/>
        <v>Inter Miami</v>
      </c>
      <c r="B5" s="2">
        <v>3</v>
      </c>
      <c r="C5" s="2" t="s">
        <v>33</v>
      </c>
      <c r="D5" s="2">
        <v>1</v>
      </c>
      <c r="E5" s="13" t="str">
        <f t="shared" si="1"/>
        <v>Porto</v>
      </c>
      <c r="H5" s="2">
        <v>15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0"/>
      <c r="X5" s="210"/>
      <c r="Y5" s="210"/>
      <c r="Z5" s="210"/>
      <c r="AA5" s="210"/>
      <c r="AB5" s="210"/>
      <c r="AC5" s="210"/>
      <c r="AD5" s="210"/>
      <c r="AE5" s="210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0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0"/>
      <c r="X6" s="210"/>
      <c r="Y6" s="210"/>
      <c r="Z6" s="210"/>
      <c r="AA6" s="210"/>
      <c r="AB6" s="210"/>
      <c r="AC6" s="210"/>
      <c r="AD6" s="210"/>
      <c r="AE6" s="210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2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8" t="s">
        <v>42</v>
      </c>
      <c r="B8" s="218"/>
      <c r="C8" s="218"/>
      <c r="D8" s="218"/>
      <c r="E8" s="218"/>
      <c r="J8" s="71" t="str">
        <f>'1.Ivan'!J8</f>
        <v/>
      </c>
      <c r="K8" s="212" t="s">
        <v>42</v>
      </c>
      <c r="L8" s="212"/>
      <c r="M8" s="212"/>
      <c r="N8" s="212"/>
      <c r="O8" s="212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3</v>
      </c>
      <c r="E9" s="13" t="str">
        <f>O9</f>
        <v>Atlético de Madrid</v>
      </c>
      <c r="H9" s="2">
        <v>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4" t="s">
        <v>43</v>
      </c>
      <c r="R9" s="214"/>
      <c r="S9" s="214"/>
      <c r="T9" s="214"/>
      <c r="U9" s="214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4"/>
      <c r="R10" s="214"/>
      <c r="S10" s="214"/>
      <c r="T10" s="214"/>
      <c r="U10" s="214"/>
      <c r="W10" s="132" t="s">
        <v>190</v>
      </c>
      <c r="X10" s="132"/>
      <c r="Y10" s="132"/>
      <c r="Z10" s="2">
        <v>1</v>
      </c>
      <c r="AB10" s="2">
        <v>3</v>
      </c>
      <c r="AC10" s="132" t="s">
        <v>188</v>
      </c>
      <c r="AD10" s="132"/>
      <c r="AE10" s="132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H11" s="2">
        <v>25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3">
        <f>SUM(H2:H82)</f>
        <v>565</v>
      </c>
      <c r="R11" s="213"/>
      <c r="S11" s="213"/>
      <c r="T11" s="213"/>
      <c r="U11" s="213"/>
      <c r="W11" s="132" t="s">
        <v>191</v>
      </c>
      <c r="X11" s="132"/>
      <c r="Y11" s="132"/>
      <c r="Z11" s="2">
        <v>2</v>
      </c>
      <c r="AB11" s="2">
        <v>1</v>
      </c>
      <c r="AC11" s="132" t="s">
        <v>193</v>
      </c>
      <c r="AD11" s="132"/>
      <c r="AE11" s="132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3"/>
      <c r="R12" s="213"/>
      <c r="S12" s="213"/>
      <c r="T12" s="213"/>
      <c r="U12" s="213"/>
      <c r="W12" s="132" t="s">
        <v>194</v>
      </c>
      <c r="X12" s="132"/>
      <c r="Y12" s="132"/>
      <c r="Z12" s="2">
        <v>1</v>
      </c>
      <c r="AB12" s="2">
        <v>0</v>
      </c>
      <c r="AC12" s="132" t="s">
        <v>191</v>
      </c>
      <c r="AD12" s="132"/>
      <c r="AE12" s="132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2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3"/>
      <c r="R13" s="213"/>
      <c r="S13" s="213"/>
      <c r="T13" s="213"/>
      <c r="U13" s="213"/>
      <c r="W13" s="132" t="s">
        <v>195</v>
      </c>
      <c r="X13" s="132"/>
      <c r="Y13" s="132"/>
      <c r="Z13" s="2">
        <v>2</v>
      </c>
      <c r="AB13" s="2">
        <v>0</v>
      </c>
      <c r="AC13" s="132" t="s">
        <v>196</v>
      </c>
      <c r="AD13" s="132"/>
      <c r="AE13" s="132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H14" s="2">
        <v>15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3"/>
      <c r="R14" s="213"/>
      <c r="S14" s="213"/>
      <c r="T14" s="213"/>
      <c r="U14" s="213"/>
      <c r="W14" s="132" t="s">
        <v>199</v>
      </c>
      <c r="X14" s="132"/>
      <c r="Y14" s="132"/>
      <c r="Z14" s="2">
        <v>0</v>
      </c>
      <c r="AB14" s="2">
        <v>0</v>
      </c>
      <c r="AC14" s="132" t="s">
        <v>201</v>
      </c>
      <c r="AD14" s="132"/>
      <c r="AE14" s="132"/>
      <c r="BD14" s="1">
        <v>5</v>
      </c>
    </row>
    <row r="15" spans="1:56" x14ac:dyDescent="0.3">
      <c r="A15" s="218" t="s">
        <v>41</v>
      </c>
      <c r="B15" s="218"/>
      <c r="C15" s="218"/>
      <c r="D15" s="218"/>
      <c r="E15" s="218"/>
      <c r="K15" s="212" t="s">
        <v>41</v>
      </c>
      <c r="L15" s="212"/>
      <c r="M15" s="212"/>
      <c r="N15" s="212"/>
      <c r="O15" s="212"/>
      <c r="Q15" s="213"/>
      <c r="R15" s="213"/>
      <c r="S15" s="213"/>
      <c r="T15" s="213"/>
      <c r="U15" s="213"/>
      <c r="W15" s="132" t="s">
        <v>207</v>
      </c>
      <c r="X15" s="132"/>
      <c r="Y15" s="132"/>
      <c r="Z15" s="2">
        <v>2</v>
      </c>
      <c r="AB15" s="2">
        <v>0</v>
      </c>
      <c r="AC15" s="132" t="s">
        <v>208</v>
      </c>
      <c r="AD15" s="132"/>
      <c r="AE15" s="132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 t="s">
        <v>214</v>
      </c>
      <c r="X16" s="132"/>
      <c r="Y16" s="132"/>
      <c r="Z16" s="2">
        <v>0</v>
      </c>
      <c r="AB16" s="2">
        <v>0</v>
      </c>
      <c r="AC16" s="132" t="s">
        <v>212</v>
      </c>
      <c r="AD16" s="132"/>
      <c r="AE16" s="132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33</v>
      </c>
      <c r="D17" s="2">
        <v>0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 t="s">
        <v>214</v>
      </c>
      <c r="X17" s="132"/>
      <c r="Y17" s="132"/>
      <c r="Z17" s="2">
        <v>0</v>
      </c>
      <c r="AB17" s="2">
        <v>3</v>
      </c>
      <c r="AC17" s="132" t="s">
        <v>211</v>
      </c>
      <c r="AD17" s="132"/>
      <c r="AE17" s="132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1</v>
      </c>
      <c r="E19" s="13" t="str">
        <f t="shared" si="5"/>
        <v>Boca Juniors</v>
      </c>
      <c r="H19" s="2">
        <v>25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8</v>
      </c>
      <c r="R19" s="18">
        <v>11</v>
      </c>
      <c r="S19" s="18">
        <v>13</v>
      </c>
      <c r="T19" s="18">
        <v>14</v>
      </c>
      <c r="U19" s="18">
        <v>10</v>
      </c>
      <c r="W19" s="132"/>
      <c r="X19" s="132"/>
      <c r="Y19" s="132"/>
      <c r="AC19" s="132"/>
      <c r="AD19" s="132"/>
      <c r="AE19" s="132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0</v>
      </c>
      <c r="E20" s="13" t="str">
        <f t="shared" si="5"/>
        <v>Bayern de Munique</v>
      </c>
      <c r="H20" s="2">
        <v>25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 x14ac:dyDescent="0.3">
      <c r="A21" s="12" t="str">
        <f t="shared" si="4"/>
        <v>Auckland City</v>
      </c>
      <c r="B21" s="2">
        <v>2</v>
      </c>
      <c r="C21" s="2" t="s">
        <v>33</v>
      </c>
      <c r="D21" s="2">
        <v>2</v>
      </c>
      <c r="E21" s="13" t="str">
        <f t="shared" si="5"/>
        <v>Boca Juniors</v>
      </c>
      <c r="H21" s="2">
        <v>10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5" t="s">
        <v>26</v>
      </c>
      <c r="R21" s="215"/>
      <c r="S21" s="216" t="s">
        <v>195</v>
      </c>
      <c r="T21" s="216"/>
      <c r="U21" s="216" t="s">
        <v>202</v>
      </c>
      <c r="V21" s="216"/>
      <c r="W21" s="132"/>
      <c r="X21" s="132"/>
      <c r="Y21" s="132"/>
      <c r="AC21" s="132"/>
      <c r="AD21" s="132"/>
      <c r="AE21" s="132"/>
    </row>
    <row r="22" spans="1:31" x14ac:dyDescent="0.3">
      <c r="A22" s="218" t="s">
        <v>40</v>
      </c>
      <c r="B22" s="218"/>
      <c r="C22" s="218"/>
      <c r="D22" s="218"/>
      <c r="E22" s="218"/>
      <c r="J22" s="71" t="str">
        <f>'1.Ivan'!J22</f>
        <v/>
      </c>
      <c r="K22" s="212" t="s">
        <v>40</v>
      </c>
      <c r="L22" s="212"/>
      <c r="M22" s="212"/>
      <c r="N22" s="212"/>
      <c r="O22" s="212"/>
      <c r="Q22" s="215" t="s">
        <v>25</v>
      </c>
      <c r="R22" s="215"/>
      <c r="S22" s="217" t="s">
        <v>84</v>
      </c>
      <c r="T22" s="217"/>
      <c r="U22" s="217" t="s">
        <v>240</v>
      </c>
      <c r="V22" s="217"/>
      <c r="W22" s="132"/>
      <c r="X22" s="132"/>
      <c r="Y22" s="132"/>
      <c r="AC22" s="132"/>
      <c r="AD22" s="132"/>
      <c r="AE22" s="132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2</v>
      </c>
      <c r="E27" s="13" t="str">
        <f t="shared" si="7"/>
        <v>Chelsea</v>
      </c>
      <c r="H27" s="2">
        <v>10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 x14ac:dyDescent="0.3">
      <c r="A29" s="218" t="s">
        <v>39</v>
      </c>
      <c r="B29" s="218"/>
      <c r="C29" s="218"/>
      <c r="D29" s="218"/>
      <c r="E29" s="218"/>
      <c r="K29" s="212" t="s">
        <v>39</v>
      </c>
      <c r="L29" s="212"/>
      <c r="M29" s="212"/>
      <c r="N29" s="212"/>
      <c r="O29" s="212"/>
      <c r="W29" s="132"/>
      <c r="X29" s="132"/>
      <c r="Y29" s="132"/>
      <c r="AC29" s="132"/>
      <c r="AD29" s="132"/>
      <c r="AE29" s="132"/>
    </row>
    <row r="30" spans="1:31" x14ac:dyDescent="0.3">
      <c r="A30" s="12" t="str">
        <f>K30</f>
        <v>River Plate</v>
      </c>
      <c r="B30" s="2">
        <v>3</v>
      </c>
      <c r="C30" s="2" t="s">
        <v>33</v>
      </c>
      <c r="D30" s="2">
        <v>0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0</v>
      </c>
      <c r="C33" s="2" t="s">
        <v>33</v>
      </c>
      <c r="D33" s="2">
        <v>0</v>
      </c>
      <c r="E33" s="13" t="str">
        <f t="shared" si="9"/>
        <v>Monterrey</v>
      </c>
      <c r="H33" s="2">
        <v>25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H35" s="2">
        <v>5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8" t="s">
        <v>38</v>
      </c>
      <c r="B36" s="218"/>
      <c r="C36" s="218"/>
      <c r="D36" s="218"/>
      <c r="E36" s="218"/>
      <c r="J36" s="71" t="str">
        <f>'1.Ivan'!J36</f>
        <v/>
      </c>
      <c r="K36" s="212" t="s">
        <v>38</v>
      </c>
      <c r="L36" s="212"/>
      <c r="M36" s="212"/>
      <c r="N36" s="212"/>
      <c r="O36" s="212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3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3</v>
      </c>
      <c r="C41" s="2" t="s">
        <v>33</v>
      </c>
      <c r="D41" s="2">
        <v>1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33</v>
      </c>
      <c r="D42" s="2">
        <v>1</v>
      </c>
      <c r="E42" s="13" t="str">
        <f t="shared" si="11"/>
        <v>Ulsan HD</v>
      </c>
      <c r="H42" s="2">
        <v>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8" t="s">
        <v>37</v>
      </c>
      <c r="B43" s="218"/>
      <c r="C43" s="218"/>
      <c r="D43" s="218"/>
      <c r="E43" s="218"/>
      <c r="J43" s="71" t="str">
        <f>'1.Ivan'!J43</f>
        <v/>
      </c>
      <c r="K43" s="212" t="s">
        <v>37</v>
      </c>
      <c r="L43" s="212"/>
      <c r="M43" s="212"/>
      <c r="N43" s="212"/>
      <c r="O43" s="212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1</v>
      </c>
      <c r="E47" s="13" t="str">
        <f t="shared" si="13"/>
        <v>Al-Ain</v>
      </c>
      <c r="H47" s="2">
        <v>10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33</v>
      </c>
      <c r="D48" s="2">
        <v>2</v>
      </c>
      <c r="E48" s="13" t="str">
        <f t="shared" si="13"/>
        <v>Manchester City</v>
      </c>
      <c r="H48" s="2">
        <v>5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0</v>
      </c>
      <c r="E49" s="13" t="str">
        <f t="shared" si="13"/>
        <v>Al-Ain</v>
      </c>
      <c r="H49" s="2">
        <v>0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8" t="s">
        <v>36</v>
      </c>
      <c r="B50" s="218"/>
      <c r="C50" s="218"/>
      <c r="D50" s="218"/>
      <c r="E50" s="218"/>
      <c r="J50" s="71" t="str">
        <f>'1.Ivan'!J50</f>
        <v/>
      </c>
      <c r="K50" s="212" t="s">
        <v>36</v>
      </c>
      <c r="L50" s="212"/>
      <c r="M50" s="212"/>
      <c r="N50" s="212"/>
      <c r="O50" s="212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1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33</v>
      </c>
      <c r="D54" s="2">
        <v>0</v>
      </c>
      <c r="E54" s="13" t="str">
        <f t="shared" si="15"/>
        <v>Al-Hilal</v>
      </c>
      <c r="H54" s="2">
        <v>25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3</v>
      </c>
      <c r="E55" s="13" t="str">
        <f t="shared" si="15"/>
        <v>Real Madrid</v>
      </c>
      <c r="H55" s="2">
        <v>25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8" t="str">
        <f>_xlfn.CONCAT(W2,A57)</f>
        <v>Mateus Aires - Oitavas de Final</v>
      </c>
      <c r="B58" s="208"/>
      <c r="C58" s="208"/>
      <c r="D58" s="208"/>
      <c r="E58" s="208"/>
      <c r="K58" s="209" t="s">
        <v>126</v>
      </c>
      <c r="L58" s="209"/>
      <c r="M58" s="209"/>
      <c r="N58" s="209"/>
      <c r="O58" s="209"/>
    </row>
    <row r="59" spans="1:15" x14ac:dyDescent="0.3">
      <c r="A59" s="53" t="str">
        <f>K59</f>
        <v>Palmeiras</v>
      </c>
      <c r="B59" s="54">
        <v>1</v>
      </c>
      <c r="C59" s="54" t="s">
        <v>33</v>
      </c>
      <c r="D59" s="54">
        <v>2</v>
      </c>
      <c r="E59" s="55" t="str">
        <f>O59</f>
        <v>Botafogo</v>
      </c>
      <c r="H59" s="2">
        <v>5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0</v>
      </c>
      <c r="C60" s="54" t="s">
        <v>33</v>
      </c>
      <c r="D60" s="54">
        <v>3</v>
      </c>
      <c r="E60" s="55" t="str">
        <f t="shared" ref="E60:E66" si="17">O60</f>
        <v>Chelsea</v>
      </c>
      <c r="H60" s="2">
        <v>10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3</v>
      </c>
      <c r="C61" s="54" t="s">
        <v>33</v>
      </c>
      <c r="D61" s="54">
        <v>1</v>
      </c>
      <c r="E61" s="55" t="str">
        <f t="shared" si="17"/>
        <v>Fluminense</v>
      </c>
      <c r="H61" s="2">
        <v>0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4</v>
      </c>
      <c r="C62" s="54" t="s">
        <v>33</v>
      </c>
      <c r="D62" s="54">
        <v>1</v>
      </c>
      <c r="E62" s="55" t="str">
        <f t="shared" si="17"/>
        <v>Al-Hilal</v>
      </c>
      <c r="H62" s="2">
        <v>0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3</v>
      </c>
      <c r="C63" s="54" t="s">
        <v>33</v>
      </c>
      <c r="D63" s="54">
        <v>2</v>
      </c>
      <c r="E63" s="55" t="str">
        <f t="shared" si="17"/>
        <v>Inter Miami</v>
      </c>
      <c r="H63" s="2">
        <v>10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2</v>
      </c>
      <c r="C64" s="54" t="s">
        <v>33</v>
      </c>
      <c r="D64" s="54">
        <v>2</v>
      </c>
      <c r="E64" s="55" t="str">
        <f t="shared" si="17"/>
        <v>Bayer de Munique</v>
      </c>
      <c r="H64" s="2">
        <v>5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1</v>
      </c>
      <c r="C65" s="54" t="s">
        <v>33</v>
      </c>
      <c r="D65" s="54">
        <v>0</v>
      </c>
      <c r="E65" s="55" t="str">
        <f t="shared" si="17"/>
        <v>Monterrey</v>
      </c>
      <c r="H65" s="2">
        <v>10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3</v>
      </c>
      <c r="C66" s="54" t="s">
        <v>33</v>
      </c>
      <c r="D66" s="54">
        <v>2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8" t="str">
        <f>_xlfn.CONCAT(W2,A67)</f>
        <v>Mateus Aires - Quartas de Final</v>
      </c>
      <c r="B68" s="208"/>
      <c r="C68" s="208"/>
      <c r="D68" s="208"/>
      <c r="E68" s="208"/>
      <c r="J68" s="71" t="str">
        <f>'1.Ivan'!J68</f>
        <v/>
      </c>
      <c r="K68" s="209" t="s">
        <v>95</v>
      </c>
      <c r="L68" s="209"/>
      <c r="M68" s="209"/>
      <c r="N68" s="209"/>
      <c r="O68" s="209"/>
    </row>
    <row r="69" spans="1:15" x14ac:dyDescent="0.3">
      <c r="A69" s="53" t="str">
        <f>K69</f>
        <v>Palmeiras</v>
      </c>
      <c r="B69" s="54"/>
      <c r="C69" s="54" t="s">
        <v>33</v>
      </c>
      <c r="D69" s="54"/>
      <c r="E69" s="55" t="str">
        <f>O69</f>
        <v>Chelsea</v>
      </c>
      <c r="J69" s="71" t="str">
        <f>'1.Ivan'!J69</f>
        <v>N</v>
      </c>
      <c r="K69" s="2" t="str">
        <f>IF(Tabela!A42="","",Tabela!A42)</f>
        <v>Palmeiras</v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/>
      <c r="C70" s="54" t="s">
        <v>33</v>
      </c>
      <c r="D70" s="54"/>
      <c r="E70" s="55" t="str">
        <f t="shared" ref="E70:E72" si="19">O70</f>
        <v>Al-Hilal</v>
      </c>
      <c r="J70" s="71" t="str">
        <f>'1.Ivan'!J70</f>
        <v>N</v>
      </c>
      <c r="K70" s="2" t="str">
        <f>IF(Tabela!A43="","",Tabela!A43)</f>
        <v>Fluminense</v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/>
      <c r="C71" s="54" t="s">
        <v>33</v>
      </c>
      <c r="D71" s="54"/>
      <c r="E71" s="55" t="str">
        <f t="shared" si="19"/>
        <v>Bayern de Munique</v>
      </c>
      <c r="J71" s="71" t="str">
        <f>'1.Ivan'!J71</f>
        <v>N</v>
      </c>
      <c r="K71" s="2" t="str">
        <f>IF(Tabela!A44="","",Tabela!A44)</f>
        <v>PSG</v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>Bayern de Munique</v>
      </c>
    </row>
    <row r="72" spans="1:15" x14ac:dyDescent="0.3">
      <c r="A72" s="53" t="str">
        <f t="shared" si="18"/>
        <v>Borussia Dortmund</v>
      </c>
      <c r="B72" s="54"/>
      <c r="C72" s="54" t="s">
        <v>33</v>
      </c>
      <c r="D72" s="54"/>
      <c r="E72" s="55" t="str">
        <f t="shared" si="19"/>
        <v>Real Madrid</v>
      </c>
      <c r="J72" s="71" t="str">
        <f>'1.Ivan'!J72</f>
        <v>N</v>
      </c>
      <c r="K72" s="2" t="str">
        <f>IF(Tabela!A45="","",Tabela!A45)</f>
        <v>Borussia Dortmund</v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>Real Madrid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8" t="str">
        <f>_xlfn.CONCAT(W$2,A73)</f>
        <v>Mateus Aires - Semi Final</v>
      </c>
      <c r="B74" s="208"/>
      <c r="C74" s="208"/>
      <c r="D74" s="208"/>
      <c r="E74" s="208"/>
      <c r="J74" s="71" t="str">
        <f>'1.Ivan'!J74</f>
        <v/>
      </c>
      <c r="K74" s="209" t="s">
        <v>96</v>
      </c>
      <c r="L74" s="209"/>
      <c r="M74" s="209"/>
      <c r="N74" s="209"/>
      <c r="O74" s="209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8" t="str">
        <f>_xlfn.CONCAT(W$2,A77)</f>
        <v>Mateus Aires - Final</v>
      </c>
      <c r="B78" s="208"/>
      <c r="C78" s="208"/>
      <c r="D78" s="208"/>
      <c r="E78" s="208"/>
      <c r="J78" s="71" t="str">
        <f>'1.Ivan'!J78</f>
        <v/>
      </c>
      <c r="K78" s="209" t="s">
        <v>98</v>
      </c>
      <c r="L78" s="209"/>
      <c r="M78" s="209"/>
      <c r="N78" s="209"/>
      <c r="O78" s="209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C19F8-58FA-405F-8824-27BB9836C64C}">
  <sheetPr codeName="Planilha22">
    <tabColor rgb="FF0070C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1" t="s">
        <v>35</v>
      </c>
      <c r="B1" s="211"/>
      <c r="C1" s="211"/>
      <c r="D1" s="211"/>
      <c r="E1" s="211"/>
      <c r="K1" s="212" t="s">
        <v>35</v>
      </c>
      <c r="L1" s="212"/>
      <c r="M1" s="212"/>
      <c r="N1" s="212"/>
      <c r="O1" s="212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0" t="s">
        <v>65</v>
      </c>
      <c r="X2" s="210"/>
      <c r="Y2" s="210"/>
      <c r="Z2" s="210"/>
      <c r="AA2" s="210"/>
      <c r="AB2" s="210"/>
      <c r="AC2" s="210"/>
      <c r="AD2" s="210"/>
      <c r="AE2" s="210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0"/>
      <c r="X3" s="210"/>
      <c r="Y3" s="210"/>
      <c r="Z3" s="210"/>
      <c r="AA3" s="210"/>
      <c r="AB3" s="210"/>
      <c r="AC3" s="210"/>
      <c r="AD3" s="210"/>
      <c r="AE3" s="210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H4" s="2">
        <v>25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0"/>
      <c r="X4" s="210"/>
      <c r="Y4" s="210"/>
      <c r="Z4" s="210"/>
      <c r="AA4" s="210"/>
      <c r="AB4" s="210"/>
      <c r="AC4" s="210"/>
      <c r="AD4" s="210"/>
      <c r="AE4" s="210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0"/>
      <c r="X5" s="210"/>
      <c r="Y5" s="210"/>
      <c r="Z5" s="210"/>
      <c r="AA5" s="210"/>
      <c r="AB5" s="210"/>
      <c r="AC5" s="210"/>
      <c r="AD5" s="210"/>
      <c r="AE5" s="210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0"/>
      <c r="X6" s="210"/>
      <c r="Y6" s="210"/>
      <c r="Z6" s="210"/>
      <c r="AA6" s="210"/>
      <c r="AB6" s="210"/>
      <c r="AC6" s="210"/>
      <c r="AD6" s="210"/>
      <c r="AE6" s="210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1" t="s">
        <v>42</v>
      </c>
      <c r="B8" s="211"/>
      <c r="C8" s="211"/>
      <c r="D8" s="211"/>
      <c r="E8" s="211"/>
      <c r="J8" s="71" t="str">
        <f>'1.Ivan'!J8</f>
        <v/>
      </c>
      <c r="K8" s="212" t="s">
        <v>42</v>
      </c>
      <c r="L8" s="212"/>
      <c r="M8" s="212"/>
      <c r="N8" s="212"/>
      <c r="O8" s="212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2</v>
      </c>
      <c r="E9" s="13" t="str">
        <f>O9</f>
        <v>Atlético de Madrid</v>
      </c>
      <c r="H9" s="2">
        <v>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4" t="s">
        <v>43</v>
      </c>
      <c r="R9" s="214"/>
      <c r="S9" s="214"/>
      <c r="T9" s="214"/>
      <c r="U9" s="214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2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4"/>
      <c r="R10" s="214"/>
      <c r="S10" s="214"/>
      <c r="T10" s="214"/>
      <c r="U10" s="214"/>
      <c r="W10" s="132" t="s">
        <v>185</v>
      </c>
      <c r="X10" s="132"/>
      <c r="Y10" s="132"/>
      <c r="Z10" s="2">
        <v>2</v>
      </c>
      <c r="AB10" s="2">
        <v>0</v>
      </c>
      <c r="AC10" s="132" t="s">
        <v>183</v>
      </c>
      <c r="AD10" s="132"/>
      <c r="AE10" s="132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2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3">
        <f>SUM(H2:H82)</f>
        <v>540</v>
      </c>
      <c r="R11" s="213"/>
      <c r="S11" s="213"/>
      <c r="T11" s="213"/>
      <c r="U11" s="213"/>
      <c r="W11" s="132" t="s">
        <v>192</v>
      </c>
      <c r="X11" s="132"/>
      <c r="Y11" s="132"/>
      <c r="Z11" s="2">
        <v>1</v>
      </c>
      <c r="AB11" s="2">
        <v>1</v>
      </c>
      <c r="AC11" s="132" t="s">
        <v>193</v>
      </c>
      <c r="AD11" s="132"/>
      <c r="AE11" s="132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3"/>
      <c r="R12" s="213"/>
      <c r="S12" s="213"/>
      <c r="T12" s="213"/>
      <c r="U12" s="213"/>
      <c r="W12" s="132" t="s">
        <v>197</v>
      </c>
      <c r="X12" s="132"/>
      <c r="Y12" s="132"/>
      <c r="Z12" s="2">
        <v>2</v>
      </c>
      <c r="AB12" s="2">
        <v>0</v>
      </c>
      <c r="AC12" s="132" t="s">
        <v>198</v>
      </c>
      <c r="AD12" s="132"/>
      <c r="AE12" s="132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H13" s="2">
        <v>10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3"/>
      <c r="R13" s="213"/>
      <c r="S13" s="213"/>
      <c r="T13" s="213"/>
      <c r="U13" s="213"/>
      <c r="W13" s="132" t="s">
        <v>202</v>
      </c>
      <c r="X13" s="132"/>
      <c r="Y13" s="132"/>
      <c r="Z13" s="2">
        <v>2</v>
      </c>
      <c r="AB13" s="2">
        <v>1</v>
      </c>
      <c r="AC13" s="132" t="s">
        <v>200</v>
      </c>
      <c r="AD13" s="132"/>
      <c r="AE13" s="132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H14" s="2">
        <v>15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3"/>
      <c r="R14" s="213"/>
      <c r="S14" s="213"/>
      <c r="T14" s="213"/>
      <c r="U14" s="213"/>
      <c r="W14" s="132" t="s">
        <v>202</v>
      </c>
      <c r="X14" s="132"/>
      <c r="Y14" s="132"/>
      <c r="Z14" s="2">
        <v>2</v>
      </c>
      <c r="AB14" s="2">
        <v>0</v>
      </c>
      <c r="AC14" s="132" t="s">
        <v>199</v>
      </c>
      <c r="AD14" s="132"/>
      <c r="AE14" s="132"/>
      <c r="BD14" s="1">
        <v>5</v>
      </c>
    </row>
    <row r="15" spans="1:56" x14ac:dyDescent="0.3">
      <c r="A15" s="211" t="s">
        <v>41</v>
      </c>
      <c r="B15" s="211"/>
      <c r="C15" s="211"/>
      <c r="D15" s="211"/>
      <c r="E15" s="211"/>
      <c r="K15" s="212" t="s">
        <v>41</v>
      </c>
      <c r="L15" s="212"/>
      <c r="M15" s="212"/>
      <c r="N15" s="212"/>
      <c r="O15" s="212"/>
      <c r="Q15" s="213"/>
      <c r="R15" s="213"/>
      <c r="S15" s="213"/>
      <c r="T15" s="213"/>
      <c r="U15" s="213"/>
      <c r="W15" s="132" t="s">
        <v>207</v>
      </c>
      <c r="X15" s="132"/>
      <c r="Y15" s="132"/>
      <c r="Z15" s="2">
        <v>2</v>
      </c>
      <c r="AB15" s="2">
        <v>0</v>
      </c>
      <c r="AC15" s="132" t="s">
        <v>208</v>
      </c>
      <c r="AD15" s="132"/>
      <c r="AE15" s="132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 t="s">
        <v>213</v>
      </c>
      <c r="X16" s="132"/>
      <c r="Y16" s="132"/>
      <c r="Z16" s="2">
        <v>1</v>
      </c>
      <c r="AB16" s="2">
        <v>2</v>
      </c>
      <c r="AC16" s="132" t="s">
        <v>214</v>
      </c>
      <c r="AD16" s="132"/>
      <c r="AE16" s="132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/>
      <c r="X17" s="132"/>
      <c r="Y17" s="132"/>
      <c r="AC17" s="132"/>
      <c r="AD17" s="132"/>
      <c r="AE17" s="132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1</v>
      </c>
      <c r="E18" s="13" t="str">
        <f t="shared" si="5"/>
        <v>Auckland City</v>
      </c>
      <c r="H18" s="2">
        <v>10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7</v>
      </c>
      <c r="R19" s="18">
        <v>15</v>
      </c>
      <c r="S19" s="18">
        <v>10</v>
      </c>
      <c r="T19" s="18">
        <v>8</v>
      </c>
      <c r="U19" s="18">
        <v>16</v>
      </c>
      <c r="W19" s="132"/>
      <c r="X19" s="132"/>
      <c r="Y19" s="132"/>
      <c r="AC19" s="132"/>
      <c r="AD19" s="132"/>
      <c r="AE19" s="132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H21" s="2">
        <v>25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5" t="s">
        <v>26</v>
      </c>
      <c r="R21" s="215"/>
      <c r="S21" s="216" t="s">
        <v>211</v>
      </c>
      <c r="T21" s="216"/>
      <c r="U21" s="216" t="s">
        <v>187</v>
      </c>
      <c r="V21" s="216"/>
      <c r="W21" s="132"/>
      <c r="X21" s="132"/>
      <c r="Y21" s="132"/>
      <c r="AC21" s="132"/>
      <c r="AD21" s="132"/>
      <c r="AE21" s="132"/>
    </row>
    <row r="22" spans="1:31" x14ac:dyDescent="0.3">
      <c r="A22" s="211" t="s">
        <v>40</v>
      </c>
      <c r="B22" s="211"/>
      <c r="C22" s="211"/>
      <c r="D22" s="211"/>
      <c r="E22" s="211"/>
      <c r="J22" s="71" t="str">
        <f>'1.Ivan'!J22</f>
        <v/>
      </c>
      <c r="K22" s="212" t="s">
        <v>40</v>
      </c>
      <c r="L22" s="212"/>
      <c r="M22" s="212"/>
      <c r="N22" s="212"/>
      <c r="O22" s="212"/>
      <c r="Q22" s="215" t="s">
        <v>25</v>
      </c>
      <c r="R22" s="215"/>
      <c r="S22" s="217" t="s">
        <v>84</v>
      </c>
      <c r="T22" s="217"/>
      <c r="U22" s="217" t="s">
        <v>239</v>
      </c>
      <c r="V22" s="217"/>
      <c r="W22" s="132"/>
      <c r="X22" s="132"/>
      <c r="Y22" s="132"/>
      <c r="AC22" s="132"/>
      <c r="AD22" s="132"/>
      <c r="AE22" s="132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1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3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 x14ac:dyDescent="0.3">
      <c r="A29" s="211" t="s">
        <v>39</v>
      </c>
      <c r="B29" s="211"/>
      <c r="C29" s="211"/>
      <c r="D29" s="211"/>
      <c r="E29" s="211"/>
      <c r="K29" s="212" t="s">
        <v>39</v>
      </c>
      <c r="L29" s="212"/>
      <c r="M29" s="212"/>
      <c r="N29" s="212"/>
      <c r="O29" s="212"/>
      <c r="W29" s="132"/>
      <c r="X29" s="132"/>
      <c r="Y29" s="132"/>
      <c r="AC29" s="132"/>
      <c r="AD29" s="132"/>
      <c r="AE29" s="132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0</v>
      </c>
      <c r="E34" s="13" t="str">
        <f t="shared" si="9"/>
        <v>River Plate</v>
      </c>
      <c r="H34" s="2">
        <v>25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0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1" t="s">
        <v>38</v>
      </c>
      <c r="B36" s="211"/>
      <c r="C36" s="211"/>
      <c r="D36" s="211"/>
      <c r="E36" s="211"/>
      <c r="J36" s="71" t="str">
        <f>'1.Ivan'!J36</f>
        <v/>
      </c>
      <c r="K36" s="212" t="s">
        <v>38</v>
      </c>
      <c r="L36" s="212"/>
      <c r="M36" s="212"/>
      <c r="N36" s="212"/>
      <c r="O36" s="212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2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2</v>
      </c>
      <c r="E38" s="13" t="str">
        <f t="shared" ref="E38:E42" si="11">O38</f>
        <v>Mamelodi Sundowns</v>
      </c>
      <c r="H38" s="2">
        <v>10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2</v>
      </c>
      <c r="E40" s="13" t="str">
        <f t="shared" si="11"/>
        <v>Ulsan HD</v>
      </c>
      <c r="H40" s="2">
        <v>5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1</v>
      </c>
      <c r="E41" s="13" t="str">
        <f t="shared" si="11"/>
        <v>Fluminense</v>
      </c>
      <c r="H41" s="2">
        <v>10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1" t="s">
        <v>37</v>
      </c>
      <c r="B43" s="211"/>
      <c r="C43" s="211"/>
      <c r="D43" s="211"/>
      <c r="E43" s="211"/>
      <c r="J43" s="71" t="str">
        <f>'1.Ivan'!J43</f>
        <v/>
      </c>
      <c r="K43" s="212" t="s">
        <v>37</v>
      </c>
      <c r="L43" s="212"/>
      <c r="M43" s="212"/>
      <c r="N43" s="212"/>
      <c r="O43" s="212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1</v>
      </c>
      <c r="E46" s="13" t="str">
        <f t="shared" si="13"/>
        <v>Wydad Casablanca</v>
      </c>
      <c r="H46" s="2">
        <v>15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33</v>
      </c>
      <c r="D49" s="2">
        <v>1</v>
      </c>
      <c r="E49" s="13" t="str">
        <f t="shared" si="13"/>
        <v>Al-Ain</v>
      </c>
      <c r="H49" s="2">
        <v>0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1" t="s">
        <v>36</v>
      </c>
      <c r="B50" s="211"/>
      <c r="C50" s="211"/>
      <c r="D50" s="211"/>
      <c r="E50" s="211"/>
      <c r="J50" s="71" t="str">
        <f>'1.Ivan'!J50</f>
        <v/>
      </c>
      <c r="K50" s="212" t="s">
        <v>36</v>
      </c>
      <c r="L50" s="212"/>
      <c r="M50" s="212"/>
      <c r="N50" s="212"/>
      <c r="O50" s="212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1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8" t="str">
        <f>_xlfn.CONCAT(W2,A57)</f>
        <v>Bruno Flores - Oitavas de Final</v>
      </c>
      <c r="B58" s="208"/>
      <c r="C58" s="208"/>
      <c r="D58" s="208"/>
      <c r="E58" s="208"/>
      <c r="K58" s="209" t="s">
        <v>126</v>
      </c>
      <c r="L58" s="209"/>
      <c r="M58" s="209"/>
      <c r="N58" s="209"/>
      <c r="O58" s="209"/>
    </row>
    <row r="59" spans="1:15" x14ac:dyDescent="0.3">
      <c r="A59" s="53" t="str">
        <f>K59</f>
        <v>Palmeiras</v>
      </c>
      <c r="B59" s="54">
        <v>1</v>
      </c>
      <c r="C59" s="54" t="s">
        <v>33</v>
      </c>
      <c r="D59" s="54">
        <v>1</v>
      </c>
      <c r="E59" s="55" t="str">
        <f>O59</f>
        <v>Botafogo</v>
      </c>
      <c r="H59" s="2">
        <v>5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2</v>
      </c>
      <c r="C60" s="54" t="s">
        <v>33</v>
      </c>
      <c r="D60" s="54">
        <v>1</v>
      </c>
      <c r="E60" s="55" t="str">
        <f t="shared" ref="E60:E66" si="17">O60</f>
        <v>Chelsea</v>
      </c>
      <c r="H60" s="2">
        <v>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2</v>
      </c>
      <c r="C61" s="54" t="s">
        <v>33</v>
      </c>
      <c r="D61" s="54">
        <v>1</v>
      </c>
      <c r="E61" s="55" t="str">
        <f t="shared" si="17"/>
        <v>Fluminense</v>
      </c>
      <c r="H61" s="2">
        <v>0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3</v>
      </c>
      <c r="C62" s="54" t="s">
        <v>33</v>
      </c>
      <c r="D62" s="54">
        <v>0</v>
      </c>
      <c r="E62" s="55" t="str">
        <f t="shared" si="17"/>
        <v>Al-Hilal</v>
      </c>
      <c r="H62" s="2">
        <v>5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3</v>
      </c>
      <c r="C63" s="54" t="s">
        <v>33</v>
      </c>
      <c r="D63" s="54">
        <v>0</v>
      </c>
      <c r="E63" s="55" t="str">
        <f t="shared" si="17"/>
        <v>Inter Miami</v>
      </c>
      <c r="H63" s="2">
        <v>15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2</v>
      </c>
      <c r="E64" s="55" t="str">
        <f t="shared" si="17"/>
        <v>Bayer de Munique</v>
      </c>
      <c r="H64" s="2">
        <v>10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24" x14ac:dyDescent="0.3">
      <c r="A65" s="53" t="str">
        <f t="shared" si="16"/>
        <v>Borussia Dortmund</v>
      </c>
      <c r="B65" s="54">
        <v>2</v>
      </c>
      <c r="C65" s="54" t="s">
        <v>33</v>
      </c>
      <c r="D65" s="54">
        <v>0</v>
      </c>
      <c r="E65" s="55" t="str">
        <f t="shared" si="17"/>
        <v>Monterrey</v>
      </c>
      <c r="H65" s="2">
        <v>15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24" x14ac:dyDescent="0.3">
      <c r="A66" s="53" t="str">
        <f t="shared" si="16"/>
        <v>Real Madrid</v>
      </c>
      <c r="B66" s="54">
        <v>2</v>
      </c>
      <c r="C66" s="54" t="s">
        <v>33</v>
      </c>
      <c r="D66" s="54">
        <v>1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24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24" x14ac:dyDescent="0.3">
      <c r="A68" s="208" t="str">
        <f>_xlfn.CONCAT(W2,A67)</f>
        <v>Bruno Flores - Quartas de Final</v>
      </c>
      <c r="B68" s="208"/>
      <c r="C68" s="208"/>
      <c r="D68" s="208"/>
      <c r="E68" s="208"/>
      <c r="J68" s="71" t="str">
        <f>'1.Ivan'!J68</f>
        <v/>
      </c>
      <c r="K68" s="209" t="s">
        <v>95</v>
      </c>
      <c r="L68" s="209"/>
      <c r="M68" s="209"/>
      <c r="N68" s="209"/>
      <c r="O68" s="209"/>
    </row>
    <row r="69" spans="1:24" x14ac:dyDescent="0.3">
      <c r="A69" s="53" t="str">
        <f>K69</f>
        <v>Palmeiras</v>
      </c>
      <c r="B69" s="54"/>
      <c r="C69" s="54" t="s">
        <v>33</v>
      </c>
      <c r="D69" s="54"/>
      <c r="E69" s="55" t="str">
        <f>O69</f>
        <v>Chelsea</v>
      </c>
      <c r="J69" s="71" t="str">
        <f>'1.Ivan'!J69</f>
        <v>N</v>
      </c>
      <c r="K69" s="2" t="str">
        <f>IF(Tabela!A42="","",Tabela!A42)</f>
        <v>Palmeiras</v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>Chelsea</v>
      </c>
    </row>
    <row r="70" spans="1:24" x14ac:dyDescent="0.3">
      <c r="A70" s="53" t="str">
        <f t="shared" ref="A70:A72" si="18">K70</f>
        <v>Fluminense</v>
      </c>
      <c r="B70" s="54"/>
      <c r="C70" s="54" t="s">
        <v>33</v>
      </c>
      <c r="D70" s="54"/>
      <c r="E70" s="55" t="str">
        <f t="shared" ref="E70:E72" si="19">O70</f>
        <v>Al-Hilal</v>
      </c>
      <c r="J70" s="71" t="str">
        <f>'1.Ivan'!J70</f>
        <v>N</v>
      </c>
      <c r="K70" s="2" t="str">
        <f>IF(Tabela!A43="","",Tabela!A43)</f>
        <v>Fluminense</v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>Al-Hilal</v>
      </c>
    </row>
    <row r="71" spans="1:24" x14ac:dyDescent="0.3">
      <c r="A71" s="53" t="str">
        <f t="shared" si="18"/>
        <v>PSG</v>
      </c>
      <c r="B71" s="54"/>
      <c r="C71" s="54" t="s">
        <v>33</v>
      </c>
      <c r="D71" s="54"/>
      <c r="E71" s="55" t="str">
        <f t="shared" si="19"/>
        <v>Bayern de Munique</v>
      </c>
      <c r="J71" s="71" t="str">
        <f>'1.Ivan'!J71</f>
        <v>N</v>
      </c>
      <c r="K71" s="2" t="str">
        <f>IF(Tabela!A44="","",Tabela!A44)</f>
        <v>PSG</v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>Bayern de Munique</v>
      </c>
    </row>
    <row r="72" spans="1:24" x14ac:dyDescent="0.3">
      <c r="A72" s="53" t="str">
        <f t="shared" si="18"/>
        <v>Borussia Dortmund</v>
      </c>
      <c r="B72" s="54"/>
      <c r="C72" s="54" t="s">
        <v>33</v>
      </c>
      <c r="D72" s="54"/>
      <c r="E72" s="55" t="str">
        <f t="shared" si="19"/>
        <v>Real Madrid</v>
      </c>
      <c r="J72" s="71" t="str">
        <f>'1.Ivan'!J72</f>
        <v>N</v>
      </c>
      <c r="K72" s="2" t="str">
        <f>IF(Tabela!A45="","",Tabela!A45)</f>
        <v>Borussia Dortmund</v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>Real Madrid</v>
      </c>
    </row>
    <row r="73" spans="1:24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24" x14ac:dyDescent="0.3">
      <c r="A74" s="208" t="str">
        <f>_xlfn.CONCAT(W$2,A73)</f>
        <v>Bruno Flores - Semi Final</v>
      </c>
      <c r="B74" s="208"/>
      <c r="C74" s="208"/>
      <c r="D74" s="208"/>
      <c r="E74" s="208"/>
      <c r="J74" s="71" t="str">
        <f>'1.Ivan'!J74</f>
        <v/>
      </c>
      <c r="K74" s="209" t="s">
        <v>96</v>
      </c>
      <c r="L74" s="209"/>
      <c r="M74" s="209"/>
      <c r="N74" s="209"/>
      <c r="O74" s="209"/>
      <c r="T74" s="12"/>
      <c r="U74" s="2"/>
      <c r="V74" s="2"/>
      <c r="X74" s="13"/>
    </row>
    <row r="75" spans="1:24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24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24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24" x14ac:dyDescent="0.3">
      <c r="A78" s="208" t="str">
        <f>_xlfn.CONCAT(W$2,A77)</f>
        <v>Bruno Flores - Final</v>
      </c>
      <c r="B78" s="208"/>
      <c r="C78" s="208"/>
      <c r="D78" s="208"/>
      <c r="E78" s="208"/>
      <c r="J78" s="71" t="str">
        <f>'1.Ivan'!J78</f>
        <v/>
      </c>
      <c r="K78" s="209" t="s">
        <v>98</v>
      </c>
      <c r="L78" s="209"/>
      <c r="M78" s="209"/>
      <c r="N78" s="209"/>
      <c r="O78" s="209"/>
    </row>
    <row r="79" spans="1:24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24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67EE6F-EBA1-4A43-8536-281B51D212A1}">
  <sheetPr codeName="Planilha12">
    <tabColor rgb="FF0070C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8" t="s">
        <v>35</v>
      </c>
      <c r="B1" s="218"/>
      <c r="C1" s="218"/>
      <c r="D1" s="218"/>
      <c r="E1" s="218"/>
      <c r="K1" s="212" t="s">
        <v>35</v>
      </c>
      <c r="L1" s="212"/>
      <c r="M1" s="212"/>
      <c r="N1" s="212"/>
      <c r="O1" s="212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0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0" t="s">
        <v>225</v>
      </c>
      <c r="X2" s="210"/>
      <c r="Y2" s="210"/>
      <c r="Z2" s="210"/>
      <c r="AA2" s="210"/>
      <c r="AB2" s="210"/>
      <c r="AC2" s="210"/>
      <c r="AD2" s="210"/>
      <c r="AE2" s="210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2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0"/>
      <c r="X3" s="210"/>
      <c r="Y3" s="210"/>
      <c r="Z3" s="210"/>
      <c r="AA3" s="210"/>
      <c r="AB3" s="210"/>
      <c r="AC3" s="210"/>
      <c r="AD3" s="210"/>
      <c r="AE3" s="210"/>
    </row>
    <row r="4" spans="1:56" x14ac:dyDescent="0.3">
      <c r="A4" s="12" t="str">
        <f t="shared" si="0"/>
        <v>Palmeiras</v>
      </c>
      <c r="B4" s="2">
        <v>0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0"/>
      <c r="X4" s="210"/>
      <c r="Y4" s="210"/>
      <c r="Z4" s="210"/>
      <c r="AA4" s="210"/>
      <c r="AB4" s="210"/>
      <c r="AC4" s="210"/>
      <c r="AD4" s="210"/>
      <c r="AE4" s="210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0"/>
      <c r="X5" s="210"/>
      <c r="Y5" s="210"/>
      <c r="Z5" s="210"/>
      <c r="AA5" s="210"/>
      <c r="AB5" s="210"/>
      <c r="AC5" s="210"/>
      <c r="AD5" s="210"/>
      <c r="AE5" s="210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0</v>
      </c>
      <c r="E6" s="13" t="str">
        <f t="shared" si="1"/>
        <v>Palmeiras</v>
      </c>
      <c r="H6" s="2">
        <v>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0"/>
      <c r="X6" s="210"/>
      <c r="Y6" s="210"/>
      <c r="Z6" s="210"/>
      <c r="AA6" s="210"/>
      <c r="AB6" s="210"/>
      <c r="AC6" s="210"/>
      <c r="AD6" s="210"/>
      <c r="AE6" s="210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2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8" t="s">
        <v>42</v>
      </c>
      <c r="B8" s="218"/>
      <c r="C8" s="218"/>
      <c r="D8" s="218"/>
      <c r="E8" s="218"/>
      <c r="J8" s="71" t="str">
        <f>'1.Ivan'!J8</f>
        <v/>
      </c>
      <c r="K8" s="212" t="s">
        <v>42</v>
      </c>
      <c r="L8" s="212"/>
      <c r="M8" s="212"/>
      <c r="N8" s="212"/>
      <c r="O8" s="212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4" t="s">
        <v>43</v>
      </c>
      <c r="R9" s="214"/>
      <c r="S9" s="214"/>
      <c r="T9" s="214"/>
      <c r="U9" s="214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4"/>
      <c r="R10" s="214"/>
      <c r="S10" s="214"/>
      <c r="T10" s="214"/>
      <c r="U10" s="214"/>
      <c r="W10" s="132" t="s">
        <v>195</v>
      </c>
      <c r="X10" s="132"/>
      <c r="Y10" s="132"/>
      <c r="Z10" s="2">
        <v>2</v>
      </c>
      <c r="AB10" s="2">
        <v>0</v>
      </c>
      <c r="AC10" s="132" t="s">
        <v>196</v>
      </c>
      <c r="AD10" s="132"/>
      <c r="AE10" s="132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2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3">
        <f>SUM(H2:H82)</f>
        <v>430</v>
      </c>
      <c r="R11" s="213"/>
      <c r="S11" s="213"/>
      <c r="T11" s="213"/>
      <c r="U11" s="213"/>
      <c r="W11" s="132" t="s">
        <v>202</v>
      </c>
      <c r="X11" s="132"/>
      <c r="Y11" s="132"/>
      <c r="Z11" s="2">
        <v>2</v>
      </c>
      <c r="AB11" s="2">
        <v>1</v>
      </c>
      <c r="AC11" s="132" t="s">
        <v>200</v>
      </c>
      <c r="AD11" s="132"/>
      <c r="AE11" s="132"/>
    </row>
    <row r="12" spans="1:56" x14ac:dyDescent="0.3">
      <c r="A12" s="12" t="str">
        <f t="shared" si="2"/>
        <v>PSG</v>
      </c>
      <c r="B12" s="2">
        <v>7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3"/>
      <c r="R12" s="213"/>
      <c r="S12" s="213"/>
      <c r="T12" s="213"/>
      <c r="U12" s="213"/>
      <c r="W12" s="132" t="s">
        <v>207</v>
      </c>
      <c r="X12" s="132"/>
      <c r="Y12" s="132"/>
      <c r="Z12" s="2">
        <v>2</v>
      </c>
      <c r="AB12" s="2">
        <v>0</v>
      </c>
      <c r="AC12" s="132" t="s">
        <v>208</v>
      </c>
      <c r="AD12" s="132"/>
      <c r="AE12" s="132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3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3"/>
      <c r="R13" s="213"/>
      <c r="S13" s="213"/>
      <c r="T13" s="213"/>
      <c r="U13" s="213"/>
      <c r="W13" s="132"/>
      <c r="X13" s="132"/>
      <c r="Y13" s="132"/>
      <c r="AC13" s="132"/>
      <c r="AD13" s="132"/>
      <c r="AE13" s="132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3"/>
      <c r="R14" s="213"/>
      <c r="S14" s="213"/>
      <c r="T14" s="213"/>
      <c r="U14" s="213"/>
      <c r="W14" s="132"/>
      <c r="X14" s="132"/>
      <c r="Y14" s="132"/>
      <c r="AC14" s="132"/>
      <c r="AD14" s="132"/>
      <c r="AE14" s="132"/>
      <c r="BD14" s="1">
        <v>5</v>
      </c>
    </row>
    <row r="15" spans="1:56" x14ac:dyDescent="0.3">
      <c r="A15" s="218" t="s">
        <v>41</v>
      </c>
      <c r="B15" s="218"/>
      <c r="C15" s="218"/>
      <c r="D15" s="218"/>
      <c r="E15" s="218"/>
      <c r="K15" s="212" t="s">
        <v>41</v>
      </c>
      <c r="L15" s="212"/>
      <c r="M15" s="212"/>
      <c r="N15" s="212"/>
      <c r="O15" s="212"/>
      <c r="Q15" s="213"/>
      <c r="R15" s="213"/>
      <c r="S15" s="213"/>
      <c r="T15" s="213"/>
      <c r="U15" s="213"/>
      <c r="W15" s="132"/>
      <c r="X15" s="132"/>
      <c r="Y15" s="132"/>
      <c r="AC15" s="132"/>
      <c r="AD15" s="132"/>
      <c r="AE15" s="132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/>
      <c r="X16" s="132"/>
      <c r="Y16" s="132"/>
      <c r="AC16" s="132"/>
      <c r="AD16" s="132"/>
      <c r="AE16" s="132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/>
      <c r="X17" s="132"/>
      <c r="Y17" s="132"/>
      <c r="AC17" s="132"/>
      <c r="AD17" s="132"/>
      <c r="AE17" s="132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H18" s="2">
        <v>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3</v>
      </c>
      <c r="R19" s="18">
        <v>12</v>
      </c>
      <c r="S19" s="18">
        <v>11</v>
      </c>
      <c r="T19" s="18">
        <v>13</v>
      </c>
      <c r="U19" s="18">
        <v>17</v>
      </c>
      <c r="W19" s="132"/>
      <c r="X19" s="132"/>
      <c r="Y19" s="132"/>
      <c r="AC19" s="132"/>
      <c r="AD19" s="132"/>
      <c r="AE19" s="132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5" t="s">
        <v>26</v>
      </c>
      <c r="R21" s="215"/>
      <c r="S21" s="216" t="s">
        <v>187</v>
      </c>
      <c r="T21" s="216"/>
      <c r="U21" s="216" t="s">
        <v>204</v>
      </c>
      <c r="V21" s="216"/>
      <c r="W21" s="132"/>
      <c r="X21" s="132"/>
      <c r="Y21" s="132"/>
      <c r="AC21" s="132"/>
      <c r="AD21" s="132"/>
      <c r="AE21" s="132"/>
    </row>
    <row r="22" spans="1:31" x14ac:dyDescent="0.3">
      <c r="A22" s="218" t="s">
        <v>40</v>
      </c>
      <c r="B22" s="218"/>
      <c r="C22" s="218"/>
      <c r="D22" s="218"/>
      <c r="E22" s="218"/>
      <c r="J22" s="71" t="str">
        <f>'1.Ivan'!J22</f>
        <v/>
      </c>
      <c r="K22" s="212" t="s">
        <v>40</v>
      </c>
      <c r="L22" s="212"/>
      <c r="M22" s="212"/>
      <c r="N22" s="212"/>
      <c r="O22" s="212"/>
      <c r="Q22" s="215" t="s">
        <v>25</v>
      </c>
      <c r="R22" s="215"/>
      <c r="S22" s="217" t="s">
        <v>84</v>
      </c>
      <c r="T22" s="217"/>
      <c r="U22" s="217" t="s">
        <v>241</v>
      </c>
      <c r="V22" s="217"/>
      <c r="W22" s="132"/>
      <c r="X22" s="132"/>
      <c r="Y22" s="132"/>
      <c r="AC22" s="132"/>
      <c r="AD22" s="132"/>
      <c r="AE22" s="132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2</v>
      </c>
      <c r="E24" s="13" t="str">
        <f t="shared" ref="E24:E28" si="7">O24</f>
        <v>Espérance</v>
      </c>
      <c r="H24" s="2">
        <v>0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 x14ac:dyDescent="0.3">
      <c r="A25" s="12" t="str">
        <f t="shared" si="6"/>
        <v>Flamengo</v>
      </c>
      <c r="B25" s="2">
        <v>0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 x14ac:dyDescent="0.3">
      <c r="A28" s="12" t="str">
        <f t="shared" si="6"/>
        <v>Los Angeles FC</v>
      </c>
      <c r="B28" s="2">
        <v>2</v>
      </c>
      <c r="C28" s="2" t="s">
        <v>33</v>
      </c>
      <c r="D28" s="2">
        <v>0</v>
      </c>
      <c r="E28" s="13" t="str">
        <f t="shared" si="7"/>
        <v>Flamengo</v>
      </c>
      <c r="H28" s="2">
        <v>0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 x14ac:dyDescent="0.3">
      <c r="A29" s="218" t="s">
        <v>39</v>
      </c>
      <c r="B29" s="218"/>
      <c r="C29" s="218"/>
      <c r="D29" s="218"/>
      <c r="E29" s="218"/>
      <c r="K29" s="212" t="s">
        <v>39</v>
      </c>
      <c r="L29" s="212"/>
      <c r="M29" s="212"/>
      <c r="N29" s="212"/>
      <c r="O29" s="212"/>
      <c r="W29" s="132"/>
      <c r="X29" s="132"/>
      <c r="Y29" s="132"/>
      <c r="AC29" s="132"/>
      <c r="AD29" s="132"/>
      <c r="AE29" s="132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0</v>
      </c>
      <c r="C34" s="2" t="s">
        <v>33</v>
      </c>
      <c r="D34" s="2">
        <v>1</v>
      </c>
      <c r="E34" s="13" t="str">
        <f t="shared" si="9"/>
        <v>River Plate</v>
      </c>
      <c r="H34" s="2">
        <v>0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8" t="s">
        <v>38</v>
      </c>
      <c r="B36" s="218"/>
      <c r="C36" s="218"/>
      <c r="D36" s="218"/>
      <c r="E36" s="218"/>
      <c r="J36" s="71" t="str">
        <f>'1.Ivan'!J36</f>
        <v/>
      </c>
      <c r="K36" s="212" t="s">
        <v>38</v>
      </c>
      <c r="L36" s="212"/>
      <c r="M36" s="212"/>
      <c r="N36" s="212"/>
      <c r="O36" s="212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4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4</v>
      </c>
      <c r="E39" s="13" t="str">
        <f t="shared" si="11"/>
        <v>Borussisa Dortmund</v>
      </c>
      <c r="H39" s="2">
        <v>15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2</v>
      </c>
      <c r="E40" s="13" t="str">
        <f t="shared" si="11"/>
        <v>Ulsan HD</v>
      </c>
      <c r="H40" s="2">
        <v>5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2</v>
      </c>
      <c r="C41" s="2" t="s">
        <v>33</v>
      </c>
      <c r="D41" s="2">
        <v>1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8" t="s">
        <v>37</v>
      </c>
      <c r="B43" s="218"/>
      <c r="C43" s="218"/>
      <c r="D43" s="218"/>
      <c r="E43" s="218"/>
      <c r="J43" s="71" t="str">
        <f>'1.Ivan'!J43</f>
        <v/>
      </c>
      <c r="K43" s="212" t="s">
        <v>37</v>
      </c>
      <c r="L43" s="212"/>
      <c r="M43" s="212"/>
      <c r="N43" s="212"/>
      <c r="O43" s="212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33</v>
      </c>
      <c r="D47" s="2">
        <v>1</v>
      </c>
      <c r="E47" s="13" t="str">
        <f t="shared" si="13"/>
        <v>Al-Ain</v>
      </c>
      <c r="H47" s="2">
        <v>10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1</v>
      </c>
      <c r="E48" s="13" t="str">
        <f t="shared" si="13"/>
        <v>Manchester City</v>
      </c>
      <c r="H48" s="2">
        <v>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2</v>
      </c>
      <c r="E49" s="13" t="str">
        <f t="shared" si="13"/>
        <v>Al-Ain</v>
      </c>
      <c r="H49" s="2">
        <v>15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8" t="s">
        <v>36</v>
      </c>
      <c r="B50" s="218"/>
      <c r="C50" s="218"/>
      <c r="D50" s="218"/>
      <c r="E50" s="218"/>
      <c r="J50" s="71" t="str">
        <f>'1.Ivan'!J50</f>
        <v/>
      </c>
      <c r="K50" s="212" t="s">
        <v>36</v>
      </c>
      <c r="L50" s="212"/>
      <c r="M50" s="212"/>
      <c r="N50" s="212"/>
      <c r="O50" s="212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8" t="str">
        <f>_xlfn.CONCAT(W2,A57)</f>
        <v>Naldinho - Oitavas de Final</v>
      </c>
      <c r="B58" s="208"/>
      <c r="C58" s="208"/>
      <c r="D58" s="208"/>
      <c r="E58" s="208"/>
      <c r="K58" s="209" t="s">
        <v>126</v>
      </c>
      <c r="L58" s="209"/>
      <c r="M58" s="209"/>
      <c r="N58" s="209"/>
      <c r="O58" s="209"/>
    </row>
    <row r="59" spans="1:15" x14ac:dyDescent="0.3">
      <c r="A59" s="53" t="str">
        <f>K59</f>
        <v>Palmeiras</v>
      </c>
      <c r="B59" s="54">
        <v>2</v>
      </c>
      <c r="C59" s="54" t="s">
        <v>33</v>
      </c>
      <c r="D59" s="54">
        <v>2</v>
      </c>
      <c r="E59" s="55" t="str">
        <f>O59</f>
        <v>Botafogo</v>
      </c>
      <c r="H59" s="2">
        <v>0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1</v>
      </c>
      <c r="C60" s="54" t="s">
        <v>33</v>
      </c>
      <c r="D60" s="54">
        <v>2</v>
      </c>
      <c r="E60" s="55" t="str">
        <f t="shared" ref="E60:E66" si="17">O60</f>
        <v>Chelsea</v>
      </c>
      <c r="H60" s="2">
        <v>15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2</v>
      </c>
      <c r="C61" s="54" t="s">
        <v>33</v>
      </c>
      <c r="D61" s="54">
        <v>1</v>
      </c>
      <c r="E61" s="55" t="str">
        <f t="shared" si="17"/>
        <v>Fluminense</v>
      </c>
      <c r="H61" s="2">
        <v>0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3</v>
      </c>
      <c r="C62" s="54" t="s">
        <v>33</v>
      </c>
      <c r="D62" s="54">
        <v>0</v>
      </c>
      <c r="E62" s="55" t="str">
        <f t="shared" si="17"/>
        <v>Al-Hilal</v>
      </c>
      <c r="H62" s="2">
        <v>5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2</v>
      </c>
      <c r="C63" s="54" t="s">
        <v>33</v>
      </c>
      <c r="D63" s="54">
        <v>1</v>
      </c>
      <c r="E63" s="55" t="str">
        <f t="shared" si="17"/>
        <v>Inter Miami</v>
      </c>
      <c r="H63" s="2">
        <v>10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3</v>
      </c>
      <c r="E64" s="55" t="str">
        <f t="shared" si="17"/>
        <v>Bayer de Munique</v>
      </c>
      <c r="H64" s="2">
        <v>10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3</v>
      </c>
      <c r="C65" s="54" t="s">
        <v>33</v>
      </c>
      <c r="D65" s="54">
        <v>0</v>
      </c>
      <c r="E65" s="55" t="str">
        <f t="shared" si="17"/>
        <v>Monterrey</v>
      </c>
      <c r="H65" s="2">
        <v>10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3</v>
      </c>
      <c r="C66" s="54" t="s">
        <v>33</v>
      </c>
      <c r="D66" s="54">
        <v>1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8" t="str">
        <f>_xlfn.CONCAT(W2,A67)</f>
        <v>Naldinho - Quartas de Final</v>
      </c>
      <c r="B68" s="208"/>
      <c r="C68" s="208"/>
      <c r="D68" s="208"/>
      <c r="E68" s="208"/>
      <c r="J68" s="71" t="str">
        <f>'1.Ivan'!J68</f>
        <v/>
      </c>
      <c r="K68" s="209" t="s">
        <v>95</v>
      </c>
      <c r="L68" s="209"/>
      <c r="M68" s="209"/>
      <c r="N68" s="209"/>
      <c r="O68" s="209"/>
    </row>
    <row r="69" spans="1:15" x14ac:dyDescent="0.3">
      <c r="A69" s="53" t="str">
        <f>K69</f>
        <v>Palmeiras</v>
      </c>
      <c r="B69" s="54"/>
      <c r="C69" s="54" t="s">
        <v>33</v>
      </c>
      <c r="D69" s="54"/>
      <c r="E69" s="55" t="str">
        <f>O69</f>
        <v>Chelsea</v>
      </c>
      <c r="J69" s="71" t="str">
        <f>'1.Ivan'!J69</f>
        <v>N</v>
      </c>
      <c r="K69" s="2" t="str">
        <f>IF(Tabela!A42="","",Tabela!A42)</f>
        <v>Palmeiras</v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/>
      <c r="C70" s="54" t="s">
        <v>33</v>
      </c>
      <c r="D70" s="54"/>
      <c r="E70" s="55" t="str">
        <f t="shared" ref="E70:E72" si="19">O70</f>
        <v>Al-Hilal</v>
      </c>
      <c r="J70" s="71" t="str">
        <f>'1.Ivan'!J70</f>
        <v>N</v>
      </c>
      <c r="K70" s="2" t="str">
        <f>IF(Tabela!A43="","",Tabela!A43)</f>
        <v>Fluminense</v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/>
      <c r="C71" s="54" t="s">
        <v>33</v>
      </c>
      <c r="D71" s="54"/>
      <c r="E71" s="55" t="str">
        <f t="shared" si="19"/>
        <v>Bayern de Munique</v>
      </c>
      <c r="J71" s="71" t="str">
        <f>'1.Ivan'!J71</f>
        <v>N</v>
      </c>
      <c r="K71" s="2" t="str">
        <f>IF(Tabela!A44="","",Tabela!A44)</f>
        <v>PSG</v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>Bayern de Munique</v>
      </c>
    </row>
    <row r="72" spans="1:15" x14ac:dyDescent="0.3">
      <c r="A72" s="53" t="str">
        <f t="shared" si="18"/>
        <v>Borussia Dortmund</v>
      </c>
      <c r="B72" s="54"/>
      <c r="C72" s="54" t="s">
        <v>33</v>
      </c>
      <c r="D72" s="54"/>
      <c r="E72" s="55" t="str">
        <f t="shared" si="19"/>
        <v>Real Madrid</v>
      </c>
      <c r="J72" s="71" t="str">
        <f>'1.Ivan'!J72</f>
        <v>N</v>
      </c>
      <c r="K72" s="2" t="str">
        <f>IF(Tabela!A45="","",Tabela!A45)</f>
        <v>Borussia Dortmund</v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>Real Madrid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8" t="str">
        <f>_xlfn.CONCAT(W$2,A73)</f>
        <v>Naldinho - Semi Final</v>
      </c>
      <c r="B74" s="208"/>
      <c r="C74" s="208"/>
      <c r="D74" s="208"/>
      <c r="E74" s="208"/>
      <c r="J74" s="71" t="str">
        <f>'1.Ivan'!J74</f>
        <v/>
      </c>
      <c r="K74" s="209" t="s">
        <v>96</v>
      </c>
      <c r="L74" s="209"/>
      <c r="M74" s="209"/>
      <c r="N74" s="209"/>
      <c r="O74" s="209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8" t="str">
        <f>_xlfn.CONCAT(W$2,A77)</f>
        <v>Naldinho - Final</v>
      </c>
      <c r="B78" s="208"/>
      <c r="C78" s="208"/>
      <c r="D78" s="208"/>
      <c r="E78" s="208"/>
      <c r="J78" s="71" t="str">
        <f>'1.Ivan'!J78</f>
        <v/>
      </c>
      <c r="K78" s="209" t="s">
        <v>98</v>
      </c>
      <c r="L78" s="209"/>
      <c r="M78" s="209"/>
      <c r="N78" s="209"/>
      <c r="O78" s="209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0EE80E-B822-4E0F-9490-78EFC73154DE}">
  <sheetPr codeName="Planilha11">
    <tabColor rgb="FF0070C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1" t="s">
        <v>35</v>
      </c>
      <c r="B1" s="211"/>
      <c r="C1" s="211"/>
      <c r="D1" s="211"/>
      <c r="E1" s="211"/>
      <c r="K1" s="212" t="s">
        <v>35</v>
      </c>
      <c r="L1" s="212"/>
      <c r="M1" s="212"/>
      <c r="N1" s="212"/>
      <c r="O1" s="212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2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0" t="s">
        <v>224</v>
      </c>
      <c r="X2" s="210"/>
      <c r="Y2" s="210"/>
      <c r="Z2" s="210"/>
      <c r="AA2" s="210"/>
      <c r="AB2" s="210"/>
      <c r="AC2" s="210"/>
      <c r="AD2" s="210"/>
      <c r="AE2" s="210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0"/>
      <c r="X3" s="210"/>
      <c r="Y3" s="210"/>
      <c r="Z3" s="210"/>
      <c r="AA3" s="210"/>
      <c r="AB3" s="210"/>
      <c r="AC3" s="210"/>
      <c r="AD3" s="210"/>
      <c r="AE3" s="210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H4" s="2">
        <v>25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0"/>
      <c r="X4" s="210"/>
      <c r="Y4" s="210"/>
      <c r="Z4" s="210"/>
      <c r="AA4" s="210"/>
      <c r="AB4" s="210"/>
      <c r="AC4" s="210"/>
      <c r="AD4" s="210"/>
      <c r="AE4" s="210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0"/>
      <c r="X5" s="210"/>
      <c r="Y5" s="210"/>
      <c r="Z5" s="210"/>
      <c r="AA5" s="210"/>
      <c r="AB5" s="210"/>
      <c r="AC5" s="210"/>
      <c r="AD5" s="210"/>
      <c r="AE5" s="210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0"/>
      <c r="X6" s="210"/>
      <c r="Y6" s="210"/>
      <c r="Z6" s="210"/>
      <c r="AA6" s="210"/>
      <c r="AB6" s="210"/>
      <c r="AC6" s="210"/>
      <c r="AD6" s="210"/>
      <c r="AE6" s="210"/>
    </row>
    <row r="7" spans="1:56" x14ac:dyDescent="0.3">
      <c r="A7" s="12" t="str">
        <f t="shared" si="0"/>
        <v>Porto</v>
      </c>
      <c r="B7" s="2">
        <v>3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1" t="s">
        <v>42</v>
      </c>
      <c r="B8" s="211"/>
      <c r="C8" s="211"/>
      <c r="D8" s="211"/>
      <c r="E8" s="211"/>
      <c r="J8" s="71" t="str">
        <f>'1.Ivan'!J8</f>
        <v/>
      </c>
      <c r="K8" s="212" t="s">
        <v>42</v>
      </c>
      <c r="L8" s="212"/>
      <c r="M8" s="212"/>
      <c r="N8" s="212"/>
      <c r="O8" s="212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4" t="s">
        <v>43</v>
      </c>
      <c r="R9" s="214"/>
      <c r="S9" s="214"/>
      <c r="T9" s="214"/>
      <c r="U9" s="214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4"/>
      <c r="R10" s="214"/>
      <c r="S10" s="214"/>
      <c r="T10" s="214"/>
      <c r="U10" s="214"/>
      <c r="W10" s="132" t="s">
        <v>185</v>
      </c>
      <c r="X10" s="132"/>
      <c r="Y10" s="132"/>
      <c r="Z10" s="2">
        <v>2</v>
      </c>
      <c r="AB10" s="2">
        <v>0</v>
      </c>
      <c r="AC10" s="132" t="s">
        <v>183</v>
      </c>
      <c r="AD10" s="132"/>
      <c r="AE10" s="132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3">
        <f>SUM(H2:H82)</f>
        <v>555</v>
      </c>
      <c r="R11" s="213"/>
      <c r="S11" s="213"/>
      <c r="T11" s="213"/>
      <c r="U11" s="213"/>
      <c r="W11" s="132" t="s">
        <v>189</v>
      </c>
      <c r="X11" s="132"/>
      <c r="Y11" s="132"/>
      <c r="Z11" s="2">
        <v>2</v>
      </c>
      <c r="AB11" s="2">
        <v>1</v>
      </c>
      <c r="AC11" s="132" t="s">
        <v>190</v>
      </c>
      <c r="AD11" s="132"/>
      <c r="AE11" s="132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3"/>
      <c r="R12" s="213"/>
      <c r="S12" s="213"/>
      <c r="T12" s="213"/>
      <c r="U12" s="213"/>
      <c r="W12" s="132" t="s">
        <v>198</v>
      </c>
      <c r="X12" s="132"/>
      <c r="Y12" s="132"/>
      <c r="Z12" s="2">
        <v>0</v>
      </c>
      <c r="AB12" s="2">
        <v>3</v>
      </c>
      <c r="AC12" s="132" t="s">
        <v>195</v>
      </c>
      <c r="AD12" s="132"/>
      <c r="AE12" s="132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3"/>
      <c r="R13" s="213"/>
      <c r="S13" s="213"/>
      <c r="T13" s="213"/>
      <c r="U13" s="213"/>
      <c r="W13" s="132" t="s">
        <v>202</v>
      </c>
      <c r="X13" s="132"/>
      <c r="Y13" s="132"/>
      <c r="Z13" s="2">
        <v>2</v>
      </c>
      <c r="AB13" s="2">
        <v>0</v>
      </c>
      <c r="AC13" s="132" t="s">
        <v>199</v>
      </c>
      <c r="AD13" s="132"/>
      <c r="AE13" s="132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3"/>
      <c r="R14" s="213"/>
      <c r="S14" s="213"/>
      <c r="T14" s="213"/>
      <c r="U14" s="213"/>
      <c r="W14" s="132" t="s">
        <v>213</v>
      </c>
      <c r="X14" s="132"/>
      <c r="Y14" s="132"/>
      <c r="Z14" s="2">
        <v>1</v>
      </c>
      <c r="AB14" s="2">
        <v>2</v>
      </c>
      <c r="AC14" s="132" t="s">
        <v>214</v>
      </c>
      <c r="AD14" s="132"/>
      <c r="AE14" s="132"/>
      <c r="BD14" s="1">
        <v>5</v>
      </c>
    </row>
    <row r="15" spans="1:56" x14ac:dyDescent="0.3">
      <c r="A15" s="211" t="s">
        <v>41</v>
      </c>
      <c r="B15" s="211"/>
      <c r="C15" s="211"/>
      <c r="D15" s="211"/>
      <c r="E15" s="211"/>
      <c r="K15" s="212" t="s">
        <v>41</v>
      </c>
      <c r="L15" s="212"/>
      <c r="M15" s="212"/>
      <c r="N15" s="212"/>
      <c r="O15" s="212"/>
      <c r="Q15" s="213"/>
      <c r="R15" s="213"/>
      <c r="S15" s="213"/>
      <c r="T15" s="213"/>
      <c r="U15" s="213"/>
      <c r="W15" s="132"/>
      <c r="X15" s="132"/>
      <c r="Y15" s="132"/>
      <c r="AC15" s="132"/>
      <c r="AD15" s="132"/>
      <c r="AE15" s="132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/>
      <c r="X16" s="132"/>
      <c r="Y16" s="132"/>
      <c r="AC16" s="132"/>
      <c r="AD16" s="132"/>
      <c r="AE16" s="132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/>
      <c r="X17" s="132"/>
      <c r="Y17" s="132"/>
      <c r="AC17" s="132"/>
      <c r="AD17" s="132"/>
      <c r="AE17" s="132"/>
    </row>
    <row r="18" spans="1:31" x14ac:dyDescent="0.3">
      <c r="A18" s="12" t="str">
        <f t="shared" si="4"/>
        <v>Benfica</v>
      </c>
      <c r="B18" s="2">
        <v>3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1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5</v>
      </c>
      <c r="R19" s="18">
        <v>17</v>
      </c>
      <c r="S19" s="18">
        <v>12</v>
      </c>
      <c r="T19" s="18">
        <v>11</v>
      </c>
      <c r="U19" s="18">
        <v>11</v>
      </c>
      <c r="W19" s="132"/>
      <c r="X19" s="132"/>
      <c r="Y19" s="132"/>
      <c r="AC19" s="132"/>
      <c r="AD19" s="132"/>
      <c r="AE19" s="132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3</v>
      </c>
      <c r="E20" s="13" t="str">
        <f t="shared" si="5"/>
        <v>Bayern de Munique</v>
      </c>
      <c r="H20" s="2">
        <v>0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3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5" t="s">
        <v>26</v>
      </c>
      <c r="R21" s="215"/>
      <c r="S21" s="216" t="s">
        <v>211</v>
      </c>
      <c r="T21" s="216"/>
      <c r="U21" s="216" t="s">
        <v>187</v>
      </c>
      <c r="V21" s="216"/>
      <c r="W21" s="132"/>
      <c r="X21" s="132"/>
      <c r="Y21" s="132"/>
      <c r="AC21" s="132"/>
      <c r="AD21" s="132"/>
      <c r="AE21" s="132"/>
    </row>
    <row r="22" spans="1:31" x14ac:dyDescent="0.3">
      <c r="A22" s="211" t="s">
        <v>40</v>
      </c>
      <c r="B22" s="211"/>
      <c r="C22" s="211"/>
      <c r="D22" s="211"/>
      <c r="E22" s="211"/>
      <c r="J22" s="71" t="str">
        <f>'1.Ivan'!J22</f>
        <v/>
      </c>
      <c r="K22" s="212" t="s">
        <v>40</v>
      </c>
      <c r="L22" s="212"/>
      <c r="M22" s="212"/>
      <c r="N22" s="212"/>
      <c r="O22" s="212"/>
      <c r="Q22" s="215" t="s">
        <v>25</v>
      </c>
      <c r="R22" s="215"/>
      <c r="S22" s="217" t="s">
        <v>84</v>
      </c>
      <c r="T22" s="217"/>
      <c r="U22" s="217" t="s">
        <v>238</v>
      </c>
      <c r="V22" s="217"/>
      <c r="W22" s="132"/>
      <c r="X22" s="132"/>
      <c r="Y22" s="132"/>
      <c r="AC22" s="132"/>
      <c r="AD22" s="132"/>
      <c r="AE22" s="132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 x14ac:dyDescent="0.3">
      <c r="A24" s="12" t="str">
        <f t="shared" ref="A24:A28" si="6">K24</f>
        <v>Flamengo</v>
      </c>
      <c r="B24" s="2">
        <v>3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H25" s="2">
        <v>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0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3</v>
      </c>
      <c r="E27" s="13" t="str">
        <f t="shared" si="7"/>
        <v>Chelsea</v>
      </c>
      <c r="H27" s="2">
        <v>25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2</v>
      </c>
      <c r="E28" s="13" t="str">
        <f t="shared" si="7"/>
        <v>Flamengo</v>
      </c>
      <c r="H28" s="2">
        <v>0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 x14ac:dyDescent="0.3">
      <c r="A29" s="211" t="s">
        <v>39</v>
      </c>
      <c r="B29" s="211"/>
      <c r="C29" s="211"/>
      <c r="D29" s="211"/>
      <c r="E29" s="211"/>
      <c r="K29" s="212" t="s">
        <v>39</v>
      </c>
      <c r="L29" s="212"/>
      <c r="M29" s="212"/>
      <c r="N29" s="212"/>
      <c r="O29" s="212"/>
      <c r="W29" s="132"/>
      <c r="X29" s="132"/>
      <c r="Y29" s="132"/>
      <c r="AC29" s="132"/>
      <c r="AD29" s="132"/>
      <c r="AE29" s="132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0</v>
      </c>
      <c r="E34" s="13" t="str">
        <f t="shared" si="9"/>
        <v>River Plate</v>
      </c>
      <c r="H34" s="2">
        <v>25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2</v>
      </c>
      <c r="E35" s="13" t="str">
        <f t="shared" si="9"/>
        <v>Monterrey</v>
      </c>
      <c r="H35" s="2">
        <v>10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1" t="s">
        <v>38</v>
      </c>
      <c r="B36" s="211"/>
      <c r="C36" s="211"/>
      <c r="D36" s="211"/>
      <c r="E36" s="211"/>
      <c r="J36" s="71" t="str">
        <f>'1.Ivan'!J36</f>
        <v/>
      </c>
      <c r="K36" s="212" t="s">
        <v>38</v>
      </c>
      <c r="L36" s="212"/>
      <c r="M36" s="212"/>
      <c r="N36" s="212"/>
      <c r="O36" s="212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2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2</v>
      </c>
      <c r="C38" s="2" t="s">
        <v>33</v>
      </c>
      <c r="D38" s="2">
        <v>2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1" t="s">
        <v>37</v>
      </c>
      <c r="B43" s="211"/>
      <c r="C43" s="211"/>
      <c r="D43" s="211"/>
      <c r="E43" s="211"/>
      <c r="J43" s="71" t="str">
        <f>'1.Ivan'!J43</f>
        <v/>
      </c>
      <c r="K43" s="212" t="s">
        <v>37</v>
      </c>
      <c r="L43" s="212"/>
      <c r="M43" s="212"/>
      <c r="N43" s="212"/>
      <c r="O43" s="212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33</v>
      </c>
      <c r="D48" s="2">
        <v>2</v>
      </c>
      <c r="E48" s="13" t="str">
        <f t="shared" si="13"/>
        <v>Manchester City</v>
      </c>
      <c r="H48" s="2">
        <v>5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3</v>
      </c>
      <c r="E49" s="13" t="str">
        <f t="shared" si="13"/>
        <v>Al-Ain</v>
      </c>
      <c r="H49" s="2">
        <v>15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1" t="s">
        <v>36</v>
      </c>
      <c r="B50" s="211"/>
      <c r="C50" s="211"/>
      <c r="D50" s="211"/>
      <c r="E50" s="211"/>
      <c r="J50" s="71" t="str">
        <f>'1.Ivan'!J50</f>
        <v/>
      </c>
      <c r="K50" s="212" t="s">
        <v>36</v>
      </c>
      <c r="L50" s="212"/>
      <c r="M50" s="212"/>
      <c r="N50" s="212"/>
      <c r="O50" s="212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2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3</v>
      </c>
      <c r="C56" s="2" t="s">
        <v>33</v>
      </c>
      <c r="D56" s="2">
        <v>0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8" t="str">
        <f>_xlfn.CONCAT(W2,A57)</f>
        <v>Julio Santos - Oitavas de Final</v>
      </c>
      <c r="B58" s="208"/>
      <c r="C58" s="208"/>
      <c r="D58" s="208"/>
      <c r="E58" s="208"/>
      <c r="K58" s="209" t="s">
        <v>126</v>
      </c>
      <c r="L58" s="209"/>
      <c r="M58" s="209"/>
      <c r="N58" s="209"/>
      <c r="O58" s="209"/>
    </row>
    <row r="59" spans="1:15" x14ac:dyDescent="0.3">
      <c r="A59" s="53" t="str">
        <f>K59</f>
        <v>Palmeiras</v>
      </c>
      <c r="B59" s="54">
        <v>2</v>
      </c>
      <c r="C59" s="54" t="s">
        <v>33</v>
      </c>
      <c r="D59" s="54">
        <v>2</v>
      </c>
      <c r="E59" s="55" t="str">
        <f>O59</f>
        <v>Botafogo</v>
      </c>
      <c r="H59" s="2">
        <v>0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2</v>
      </c>
      <c r="C60" s="54" t="s">
        <v>33</v>
      </c>
      <c r="D60" s="54">
        <v>1</v>
      </c>
      <c r="E60" s="55" t="str">
        <f t="shared" ref="E60:E66" si="17">O60</f>
        <v>Chelsea</v>
      </c>
      <c r="H60" s="2">
        <v>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0</v>
      </c>
      <c r="C61" s="54" t="s">
        <v>33</v>
      </c>
      <c r="D61" s="54">
        <v>0</v>
      </c>
      <c r="E61" s="55" t="str">
        <f t="shared" si="17"/>
        <v>Fluminense</v>
      </c>
      <c r="H61" s="2">
        <v>5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3</v>
      </c>
      <c r="C62" s="54" t="s">
        <v>33</v>
      </c>
      <c r="D62" s="54">
        <v>0</v>
      </c>
      <c r="E62" s="55" t="str">
        <f t="shared" si="17"/>
        <v>Al-Hilal</v>
      </c>
      <c r="H62" s="2">
        <v>5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3</v>
      </c>
      <c r="C63" s="54" t="s">
        <v>33</v>
      </c>
      <c r="D63" s="54">
        <v>0</v>
      </c>
      <c r="E63" s="55" t="str">
        <f t="shared" si="17"/>
        <v>Inter Miami</v>
      </c>
      <c r="H63" s="2">
        <v>15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2</v>
      </c>
      <c r="E64" s="55" t="str">
        <f t="shared" si="17"/>
        <v>Bayer de Munique</v>
      </c>
      <c r="H64" s="2">
        <v>10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2</v>
      </c>
      <c r="C65" s="54" t="s">
        <v>33</v>
      </c>
      <c r="D65" s="54">
        <v>0</v>
      </c>
      <c r="E65" s="55" t="str">
        <f t="shared" si="17"/>
        <v>Monterrey</v>
      </c>
      <c r="H65" s="2">
        <v>15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3</v>
      </c>
      <c r="C66" s="54" t="s">
        <v>33</v>
      </c>
      <c r="D66" s="54">
        <v>1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8" t="str">
        <f>_xlfn.CONCAT(W2,A67)</f>
        <v>Julio Santos - Quartas de Final</v>
      </c>
      <c r="B68" s="208"/>
      <c r="C68" s="208"/>
      <c r="D68" s="208"/>
      <c r="E68" s="208"/>
      <c r="J68" s="71" t="str">
        <f>'1.Ivan'!J68</f>
        <v/>
      </c>
      <c r="K68" s="209" t="s">
        <v>95</v>
      </c>
      <c r="L68" s="209"/>
      <c r="M68" s="209"/>
      <c r="N68" s="209"/>
      <c r="O68" s="209"/>
    </row>
    <row r="69" spans="1:15" x14ac:dyDescent="0.3">
      <c r="A69" s="53" t="str">
        <f>K69</f>
        <v>Palmeiras</v>
      </c>
      <c r="B69" s="54"/>
      <c r="C69" s="54" t="s">
        <v>33</v>
      </c>
      <c r="D69" s="54"/>
      <c r="E69" s="55" t="str">
        <f>O69</f>
        <v>Chelsea</v>
      </c>
      <c r="J69" s="71" t="str">
        <f>'1.Ivan'!J69</f>
        <v>N</v>
      </c>
      <c r="K69" s="2" t="str">
        <f>IF(Tabela!A42="","",Tabela!A42)</f>
        <v>Palmeiras</v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/>
      <c r="C70" s="54" t="s">
        <v>33</v>
      </c>
      <c r="D70" s="54"/>
      <c r="E70" s="55" t="str">
        <f t="shared" ref="E70:E72" si="19">O70</f>
        <v>Al-Hilal</v>
      </c>
      <c r="J70" s="71" t="str">
        <f>'1.Ivan'!J70</f>
        <v>N</v>
      </c>
      <c r="K70" s="2" t="str">
        <f>IF(Tabela!A43="","",Tabela!A43)</f>
        <v>Fluminense</v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/>
      <c r="C71" s="54" t="s">
        <v>33</v>
      </c>
      <c r="D71" s="54"/>
      <c r="E71" s="55" t="str">
        <f t="shared" si="19"/>
        <v>Bayern de Munique</v>
      </c>
      <c r="J71" s="71" t="str">
        <f>'1.Ivan'!J71</f>
        <v>N</v>
      </c>
      <c r="K71" s="2" t="str">
        <f>IF(Tabela!A44="","",Tabela!A44)</f>
        <v>PSG</v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>Bayern de Munique</v>
      </c>
    </row>
    <row r="72" spans="1:15" x14ac:dyDescent="0.3">
      <c r="A72" s="53" t="str">
        <f t="shared" si="18"/>
        <v>Borussia Dortmund</v>
      </c>
      <c r="B72" s="54"/>
      <c r="C72" s="54" t="s">
        <v>33</v>
      </c>
      <c r="D72" s="54"/>
      <c r="E72" s="55" t="str">
        <f t="shared" si="19"/>
        <v>Real Madrid</v>
      </c>
      <c r="J72" s="71" t="str">
        <f>'1.Ivan'!J72</f>
        <v>N</v>
      </c>
      <c r="K72" s="2" t="str">
        <f>IF(Tabela!A45="","",Tabela!A45)</f>
        <v>Borussia Dortmund</v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>Real Madrid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8" t="str">
        <f>_xlfn.CONCAT(W$2,A73)</f>
        <v>Julio Santos - Semi Final</v>
      </c>
      <c r="B74" s="208"/>
      <c r="C74" s="208"/>
      <c r="D74" s="208"/>
      <c r="E74" s="208"/>
      <c r="J74" s="71" t="str">
        <f>'1.Ivan'!J74</f>
        <v/>
      </c>
      <c r="K74" s="209" t="s">
        <v>96</v>
      </c>
      <c r="L74" s="209"/>
      <c r="M74" s="209"/>
      <c r="N74" s="209"/>
      <c r="O74" s="209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8" t="str">
        <f>_xlfn.CONCAT(W$2,A77)</f>
        <v>Julio Santos - Final</v>
      </c>
      <c r="B78" s="208"/>
      <c r="C78" s="208"/>
      <c r="D78" s="208"/>
      <c r="E78" s="208"/>
      <c r="J78" s="71" t="str">
        <f>'1.Ivan'!J78</f>
        <v/>
      </c>
      <c r="K78" s="209" t="s">
        <v>98</v>
      </c>
      <c r="L78" s="209"/>
      <c r="M78" s="209"/>
      <c r="N78" s="209"/>
      <c r="O78" s="209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B9FEB-BDE6-409C-94D4-AAF7ED2B6DEF}">
  <sheetPr codeName="Planilha14">
    <tabColor rgb="FF0070C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8" t="s">
        <v>35</v>
      </c>
      <c r="B1" s="218"/>
      <c r="C1" s="218"/>
      <c r="D1" s="218"/>
      <c r="E1" s="218"/>
      <c r="K1" s="212" t="s">
        <v>35</v>
      </c>
      <c r="L1" s="212"/>
      <c r="M1" s="212"/>
      <c r="N1" s="212"/>
      <c r="O1" s="212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1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0" t="s">
        <v>227</v>
      </c>
      <c r="X2" s="210"/>
      <c r="Y2" s="210"/>
      <c r="Z2" s="210"/>
      <c r="AA2" s="210"/>
      <c r="AB2" s="210"/>
      <c r="AC2" s="210"/>
      <c r="AD2" s="210"/>
      <c r="AE2" s="210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0"/>
      <c r="X3" s="210"/>
      <c r="Y3" s="210"/>
      <c r="Z3" s="210"/>
      <c r="AA3" s="210"/>
      <c r="AB3" s="210"/>
      <c r="AC3" s="210"/>
      <c r="AD3" s="210"/>
      <c r="AE3" s="210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0"/>
      <c r="X4" s="210"/>
      <c r="Y4" s="210"/>
      <c r="Z4" s="210"/>
      <c r="AA4" s="210"/>
      <c r="AB4" s="210"/>
      <c r="AC4" s="210"/>
      <c r="AD4" s="210"/>
      <c r="AE4" s="210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0"/>
      <c r="X5" s="210"/>
      <c r="Y5" s="210"/>
      <c r="Z5" s="210"/>
      <c r="AA5" s="210"/>
      <c r="AB5" s="210"/>
      <c r="AC5" s="210"/>
      <c r="AD5" s="210"/>
      <c r="AE5" s="210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H6" s="2">
        <v>10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0"/>
      <c r="X6" s="210"/>
      <c r="Y6" s="210"/>
      <c r="Z6" s="210"/>
      <c r="AA6" s="210"/>
      <c r="AB6" s="210"/>
      <c r="AC6" s="210"/>
      <c r="AD6" s="210"/>
      <c r="AE6" s="210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8" t="s">
        <v>42</v>
      </c>
      <c r="B8" s="218"/>
      <c r="C8" s="218"/>
      <c r="D8" s="218"/>
      <c r="E8" s="218"/>
      <c r="J8" s="71" t="str">
        <f>'1.Ivan'!J8</f>
        <v/>
      </c>
      <c r="K8" s="212" t="s">
        <v>42</v>
      </c>
      <c r="L8" s="212"/>
      <c r="M8" s="212"/>
      <c r="N8" s="212"/>
      <c r="O8" s="212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4" t="s">
        <v>43</v>
      </c>
      <c r="R9" s="214"/>
      <c r="S9" s="214"/>
      <c r="T9" s="214"/>
      <c r="U9" s="214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4"/>
      <c r="R10" s="214"/>
      <c r="S10" s="214"/>
      <c r="T10" s="214"/>
      <c r="U10" s="214"/>
      <c r="W10" s="132" t="s">
        <v>188</v>
      </c>
      <c r="X10" s="132"/>
      <c r="Y10" s="132"/>
      <c r="Z10" s="2">
        <v>1</v>
      </c>
      <c r="AB10" s="2">
        <v>0</v>
      </c>
      <c r="AC10" s="132" t="s">
        <v>189</v>
      </c>
      <c r="AD10" s="132"/>
      <c r="AE10" s="132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3">
        <f>SUM(H2:H82)</f>
        <v>565</v>
      </c>
      <c r="R11" s="213"/>
      <c r="S11" s="213"/>
      <c r="T11" s="213"/>
      <c r="U11" s="213"/>
      <c r="W11" s="132" t="s">
        <v>194</v>
      </c>
      <c r="X11" s="132"/>
      <c r="Y11" s="132"/>
      <c r="Z11" s="2">
        <v>1</v>
      </c>
      <c r="AB11" s="2">
        <v>0</v>
      </c>
      <c r="AC11" s="132" t="s">
        <v>191</v>
      </c>
      <c r="AD11" s="132"/>
      <c r="AE11" s="132"/>
    </row>
    <row r="12" spans="1:56" x14ac:dyDescent="0.3">
      <c r="A12" s="12" t="str">
        <f t="shared" si="2"/>
        <v>PSG</v>
      </c>
      <c r="B12" s="2">
        <v>1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3"/>
      <c r="R12" s="213"/>
      <c r="S12" s="213"/>
      <c r="T12" s="213"/>
      <c r="U12" s="213"/>
      <c r="W12" s="132" t="s">
        <v>196</v>
      </c>
      <c r="X12" s="132"/>
      <c r="Y12" s="132"/>
      <c r="Z12" s="2">
        <v>0</v>
      </c>
      <c r="AB12" s="2">
        <v>1</v>
      </c>
      <c r="AC12" s="132" t="s">
        <v>198</v>
      </c>
      <c r="AD12" s="132"/>
      <c r="AE12" s="132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1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3"/>
      <c r="R13" s="213"/>
      <c r="S13" s="213"/>
      <c r="T13" s="213"/>
      <c r="U13" s="213"/>
      <c r="W13" s="132" t="s">
        <v>203</v>
      </c>
      <c r="X13" s="132"/>
      <c r="Y13" s="132"/>
      <c r="Z13" s="2">
        <v>0</v>
      </c>
      <c r="AB13" s="2">
        <v>0</v>
      </c>
      <c r="AC13" s="132" t="s">
        <v>218</v>
      </c>
      <c r="AD13" s="132"/>
      <c r="AE13" s="132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0</v>
      </c>
      <c r="E14" s="13" t="str">
        <f t="shared" si="3"/>
        <v>Botafogo</v>
      </c>
      <c r="H14" s="2">
        <v>25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3"/>
      <c r="R14" s="213"/>
      <c r="S14" s="213"/>
      <c r="T14" s="213"/>
      <c r="U14" s="213"/>
      <c r="W14" s="132" t="s">
        <v>204</v>
      </c>
      <c r="X14" s="132"/>
      <c r="Y14" s="132"/>
      <c r="Z14" s="2">
        <v>1</v>
      </c>
      <c r="AB14" s="2">
        <v>0</v>
      </c>
      <c r="AC14" s="132" t="s">
        <v>205</v>
      </c>
      <c r="AD14" s="132"/>
      <c r="AE14" s="132"/>
      <c r="BD14" s="1">
        <v>5</v>
      </c>
    </row>
    <row r="15" spans="1:56" x14ac:dyDescent="0.3">
      <c r="A15" s="218" t="s">
        <v>41</v>
      </c>
      <c r="B15" s="218"/>
      <c r="C15" s="218"/>
      <c r="D15" s="218"/>
      <c r="E15" s="218"/>
      <c r="K15" s="212" t="s">
        <v>41</v>
      </c>
      <c r="L15" s="212"/>
      <c r="M15" s="212"/>
      <c r="N15" s="212"/>
      <c r="O15" s="212"/>
      <c r="Q15" s="213"/>
      <c r="R15" s="213"/>
      <c r="S15" s="213"/>
      <c r="T15" s="213"/>
      <c r="U15" s="213"/>
      <c r="W15" s="132" t="s">
        <v>214</v>
      </c>
      <c r="X15" s="132"/>
      <c r="Y15" s="132"/>
      <c r="Z15" s="2">
        <v>0</v>
      </c>
      <c r="AB15" s="2">
        <v>0</v>
      </c>
      <c r="AC15" s="132" t="s">
        <v>212</v>
      </c>
      <c r="AD15" s="132"/>
      <c r="AE15" s="132"/>
    </row>
    <row r="16" spans="1:56" x14ac:dyDescent="0.3">
      <c r="A16" s="12" t="str">
        <f>K16</f>
        <v>Bayern de Munique</v>
      </c>
      <c r="B16" s="2">
        <v>1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 t="s">
        <v>185</v>
      </c>
      <c r="X16" s="132"/>
      <c r="Y16" s="132"/>
      <c r="Z16" s="2">
        <v>1</v>
      </c>
      <c r="AB16" s="2">
        <v>0</v>
      </c>
      <c r="AC16" s="132" t="s">
        <v>189</v>
      </c>
      <c r="AD16" s="132"/>
      <c r="AE16" s="132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0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/>
      <c r="X17" s="132"/>
      <c r="Y17" s="132"/>
      <c r="AC17" s="132"/>
      <c r="AD17" s="132"/>
      <c r="AE17" s="132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 x14ac:dyDescent="0.3">
      <c r="A19" s="12" t="str">
        <f t="shared" si="4"/>
        <v>Bayern de Munique</v>
      </c>
      <c r="B19" s="2">
        <v>0</v>
      </c>
      <c r="C19" s="2" t="s">
        <v>33</v>
      </c>
      <c r="D19" s="2">
        <v>1</v>
      </c>
      <c r="E19" s="13" t="str">
        <f t="shared" si="5"/>
        <v>Boca Juniors</v>
      </c>
      <c r="H19" s="2">
        <v>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7</v>
      </c>
      <c r="R19" s="18">
        <v>11</v>
      </c>
      <c r="S19" s="18">
        <v>16</v>
      </c>
      <c r="T19" s="18">
        <v>13</v>
      </c>
      <c r="U19" s="18">
        <v>9</v>
      </c>
      <c r="W19" s="132"/>
      <c r="X19" s="132"/>
      <c r="Y19" s="132"/>
      <c r="AC19" s="132"/>
      <c r="AD19" s="132"/>
      <c r="AE19" s="132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0</v>
      </c>
      <c r="E20" s="13" t="str">
        <f t="shared" si="5"/>
        <v>Bayern de Munique</v>
      </c>
      <c r="H20" s="2">
        <v>25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0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5" t="s">
        <v>26</v>
      </c>
      <c r="R21" s="215"/>
      <c r="S21" s="216" t="s">
        <v>187</v>
      </c>
      <c r="T21" s="216"/>
      <c r="U21" s="216" t="s">
        <v>211</v>
      </c>
      <c r="V21" s="216"/>
      <c r="W21" s="132"/>
      <c r="X21" s="132"/>
      <c r="Y21" s="132"/>
      <c r="AC21" s="132"/>
      <c r="AD21" s="132"/>
      <c r="AE21" s="132"/>
    </row>
    <row r="22" spans="1:31" x14ac:dyDescent="0.3">
      <c r="A22" s="218" t="s">
        <v>40</v>
      </c>
      <c r="B22" s="218"/>
      <c r="C22" s="218"/>
      <c r="D22" s="218"/>
      <c r="E22" s="218"/>
      <c r="J22" s="71" t="str">
        <f>'1.Ivan'!J22</f>
        <v/>
      </c>
      <c r="K22" s="212" t="s">
        <v>40</v>
      </c>
      <c r="L22" s="212"/>
      <c r="M22" s="212"/>
      <c r="N22" s="212"/>
      <c r="O22" s="212"/>
      <c r="Q22" s="215" t="s">
        <v>25</v>
      </c>
      <c r="R22" s="215"/>
      <c r="S22" s="217" t="s">
        <v>84</v>
      </c>
      <c r="T22" s="217"/>
      <c r="U22" s="217" t="s">
        <v>239</v>
      </c>
      <c r="V22" s="217"/>
      <c r="W22" s="132"/>
      <c r="X22" s="132"/>
      <c r="Y22" s="132"/>
      <c r="AC22" s="132"/>
      <c r="AD22" s="132"/>
      <c r="AE22" s="132"/>
    </row>
    <row r="23" spans="1:31" x14ac:dyDescent="0.3">
      <c r="A23" s="12" t="str">
        <f>K23</f>
        <v>Chelsea</v>
      </c>
      <c r="B23" s="2">
        <v>1</v>
      </c>
      <c r="C23" s="2" t="s">
        <v>33</v>
      </c>
      <c r="D23" s="2">
        <v>1</v>
      </c>
      <c r="E23" s="13" t="str">
        <f>O23</f>
        <v>Los Angeles FC</v>
      </c>
      <c r="H23" s="2">
        <v>0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0</v>
      </c>
      <c r="E25" s="13" t="str">
        <f t="shared" si="7"/>
        <v>Chelsea</v>
      </c>
      <c r="H25" s="2">
        <v>10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 x14ac:dyDescent="0.3">
      <c r="A26" s="12" t="str">
        <f t="shared" si="6"/>
        <v>Los Angeles FC</v>
      </c>
      <c r="B26" s="2">
        <v>0</v>
      </c>
      <c r="C26" s="2" t="s">
        <v>33</v>
      </c>
      <c r="D26" s="2">
        <v>1</v>
      </c>
      <c r="E26" s="13" t="str">
        <f t="shared" si="7"/>
        <v>Espérance</v>
      </c>
      <c r="H26" s="2">
        <v>25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1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1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 x14ac:dyDescent="0.3">
      <c r="A29" s="218" t="s">
        <v>39</v>
      </c>
      <c r="B29" s="218"/>
      <c r="C29" s="218"/>
      <c r="D29" s="218"/>
      <c r="E29" s="218"/>
      <c r="K29" s="212" t="s">
        <v>39</v>
      </c>
      <c r="L29" s="212"/>
      <c r="M29" s="212"/>
      <c r="N29" s="212"/>
      <c r="O29" s="212"/>
      <c r="W29" s="132"/>
      <c r="X29" s="132"/>
      <c r="Y29" s="132"/>
      <c r="AC29" s="132"/>
      <c r="AD29" s="132"/>
      <c r="AE29" s="132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H34" s="2">
        <v>0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8" t="s">
        <v>38</v>
      </c>
      <c r="B36" s="218"/>
      <c r="C36" s="218"/>
      <c r="D36" s="218"/>
      <c r="E36" s="218"/>
      <c r="J36" s="71" t="str">
        <f>'1.Ivan'!J36</f>
        <v/>
      </c>
      <c r="K36" s="212" t="s">
        <v>38</v>
      </c>
      <c r="L36" s="212"/>
      <c r="M36" s="212"/>
      <c r="N36" s="212"/>
      <c r="O36" s="212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0</v>
      </c>
      <c r="E37" s="13" t="str">
        <f>O37</f>
        <v>Borussisa Dortmund</v>
      </c>
      <c r="H37" s="2">
        <v>25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1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33</v>
      </c>
      <c r="D42" s="2">
        <v>0</v>
      </c>
      <c r="E42" s="13" t="str">
        <f t="shared" si="11"/>
        <v>Ulsan HD</v>
      </c>
      <c r="H42" s="2">
        <v>25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8" t="s">
        <v>37</v>
      </c>
      <c r="B43" s="218"/>
      <c r="C43" s="218"/>
      <c r="D43" s="218"/>
      <c r="E43" s="218"/>
      <c r="J43" s="71" t="str">
        <f>'1.Ivan'!J43</f>
        <v/>
      </c>
      <c r="K43" s="212" t="s">
        <v>37</v>
      </c>
      <c r="L43" s="212"/>
      <c r="M43" s="212"/>
      <c r="N43" s="212"/>
      <c r="O43" s="212"/>
    </row>
    <row r="44" spans="1:15" x14ac:dyDescent="0.3">
      <c r="A44" s="12" t="str">
        <f>K44</f>
        <v>Manchester City</v>
      </c>
      <c r="B44" s="2">
        <v>1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1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0</v>
      </c>
      <c r="C48" s="2" t="s">
        <v>33</v>
      </c>
      <c r="D48" s="2">
        <v>1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0</v>
      </c>
      <c r="E49" s="13" t="str">
        <f t="shared" si="13"/>
        <v>Al-Ain</v>
      </c>
      <c r="H49" s="2">
        <v>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8" t="s">
        <v>36</v>
      </c>
      <c r="B50" s="218"/>
      <c r="C50" s="218"/>
      <c r="D50" s="218"/>
      <c r="E50" s="218"/>
      <c r="J50" s="71" t="str">
        <f>'1.Ivan'!J50</f>
        <v/>
      </c>
      <c r="K50" s="212" t="s">
        <v>36</v>
      </c>
      <c r="L50" s="212"/>
      <c r="M50" s="212"/>
      <c r="N50" s="212"/>
      <c r="O50" s="212"/>
    </row>
    <row r="51" spans="1:15" x14ac:dyDescent="0.3">
      <c r="A51" s="12" t="str">
        <f>K51</f>
        <v>Real Madrid</v>
      </c>
      <c r="B51" s="2">
        <v>1</v>
      </c>
      <c r="C51" s="2" t="s">
        <v>33</v>
      </c>
      <c r="D51" s="2">
        <v>0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0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1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33</v>
      </c>
      <c r="D54" s="2">
        <v>0</v>
      </c>
      <c r="E54" s="13" t="str">
        <f t="shared" si="15"/>
        <v>Al-Hilal</v>
      </c>
      <c r="H54" s="2">
        <v>25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1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1</v>
      </c>
      <c r="E56" s="13" t="str">
        <f t="shared" si="15"/>
        <v>Pachuca</v>
      </c>
      <c r="H56" s="2">
        <v>0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8" t="str">
        <f>_xlfn.CONCAT(W2,A57)</f>
        <v>Joseir - Oitavas de Final</v>
      </c>
      <c r="B58" s="208"/>
      <c r="C58" s="208"/>
      <c r="D58" s="208"/>
      <c r="E58" s="208"/>
      <c r="K58" s="209" t="s">
        <v>126</v>
      </c>
      <c r="L58" s="209"/>
      <c r="M58" s="209"/>
      <c r="N58" s="209"/>
      <c r="O58" s="209"/>
    </row>
    <row r="59" spans="1:15" x14ac:dyDescent="0.3">
      <c r="A59" s="53" t="str">
        <f>K59</f>
        <v>Palmeiras</v>
      </c>
      <c r="B59" s="54">
        <v>1</v>
      </c>
      <c r="C59" s="54" t="s">
        <v>33</v>
      </c>
      <c r="D59" s="54">
        <v>0</v>
      </c>
      <c r="E59" s="55" t="str">
        <f>O59</f>
        <v>Botafogo</v>
      </c>
      <c r="H59" s="2">
        <v>25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0</v>
      </c>
      <c r="C60" s="54" t="s">
        <v>33</v>
      </c>
      <c r="D60" s="54">
        <v>2</v>
      </c>
      <c r="E60" s="55" t="str">
        <f t="shared" ref="E60:E66" si="17">O60</f>
        <v>Chelsea</v>
      </c>
      <c r="H60" s="2">
        <v>10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1</v>
      </c>
      <c r="C61" s="54" t="s">
        <v>33</v>
      </c>
      <c r="D61" s="54">
        <v>0</v>
      </c>
      <c r="E61" s="55" t="str">
        <f t="shared" si="17"/>
        <v>Fluminense</v>
      </c>
      <c r="H61" s="2">
        <v>0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2</v>
      </c>
      <c r="C62" s="54" t="s">
        <v>33</v>
      </c>
      <c r="D62" s="54">
        <v>0</v>
      </c>
      <c r="E62" s="55" t="str">
        <f t="shared" si="17"/>
        <v>Al-Hilal</v>
      </c>
      <c r="H62" s="2">
        <v>0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2</v>
      </c>
      <c r="C63" s="54" t="s">
        <v>33</v>
      </c>
      <c r="D63" s="54">
        <v>0</v>
      </c>
      <c r="E63" s="55" t="str">
        <f t="shared" si="17"/>
        <v>Inter Miami</v>
      </c>
      <c r="H63" s="2">
        <v>15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0</v>
      </c>
      <c r="C64" s="54" t="s">
        <v>33</v>
      </c>
      <c r="D64" s="54">
        <v>1</v>
      </c>
      <c r="E64" s="55" t="str">
        <f t="shared" si="17"/>
        <v>Bayer de Munique</v>
      </c>
      <c r="H64" s="2">
        <v>10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1</v>
      </c>
      <c r="C65" s="54" t="s">
        <v>33</v>
      </c>
      <c r="D65" s="54">
        <v>1</v>
      </c>
      <c r="E65" s="55" t="str">
        <f t="shared" si="17"/>
        <v>Monterrey</v>
      </c>
      <c r="H65" s="2">
        <v>5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2</v>
      </c>
      <c r="C66" s="54" t="s">
        <v>33</v>
      </c>
      <c r="D66" s="54">
        <v>1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8" t="str">
        <f>_xlfn.CONCAT(W2,A67)</f>
        <v>Joseir - Quartas de Final</v>
      </c>
      <c r="B68" s="208"/>
      <c r="C68" s="208"/>
      <c r="D68" s="208"/>
      <c r="E68" s="208"/>
      <c r="J68" s="71" t="str">
        <f>'1.Ivan'!J68</f>
        <v/>
      </c>
      <c r="K68" s="209" t="s">
        <v>95</v>
      </c>
      <c r="L68" s="209"/>
      <c r="M68" s="209"/>
      <c r="N68" s="209"/>
      <c r="O68" s="209"/>
    </row>
    <row r="69" spans="1:15" x14ac:dyDescent="0.3">
      <c r="A69" s="53" t="str">
        <f>K69</f>
        <v>Palmeiras</v>
      </c>
      <c r="B69" s="54"/>
      <c r="C69" s="54" t="s">
        <v>33</v>
      </c>
      <c r="D69" s="54"/>
      <c r="E69" s="55" t="str">
        <f>O69</f>
        <v>Chelsea</v>
      </c>
      <c r="J69" s="71" t="str">
        <f>'1.Ivan'!J69</f>
        <v>N</v>
      </c>
      <c r="K69" s="2" t="str">
        <f>IF(Tabela!A42="","",Tabela!A42)</f>
        <v>Palmeiras</v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/>
      <c r="C70" s="54" t="s">
        <v>33</v>
      </c>
      <c r="D70" s="54"/>
      <c r="E70" s="55" t="str">
        <f t="shared" ref="E70:E72" si="19">O70</f>
        <v>Al-Hilal</v>
      </c>
      <c r="J70" s="71" t="str">
        <f>'1.Ivan'!J70</f>
        <v>N</v>
      </c>
      <c r="K70" s="2" t="str">
        <f>IF(Tabela!A43="","",Tabela!A43)</f>
        <v>Fluminense</v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/>
      <c r="C71" s="54" t="s">
        <v>33</v>
      </c>
      <c r="D71" s="54"/>
      <c r="E71" s="55" t="str">
        <f t="shared" si="19"/>
        <v>Bayern de Munique</v>
      </c>
      <c r="J71" s="71" t="str">
        <f>'1.Ivan'!J71</f>
        <v>N</v>
      </c>
      <c r="K71" s="2" t="str">
        <f>IF(Tabela!A44="","",Tabela!A44)</f>
        <v>PSG</v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>Bayern de Munique</v>
      </c>
    </row>
    <row r="72" spans="1:15" x14ac:dyDescent="0.3">
      <c r="A72" s="53" t="str">
        <f t="shared" si="18"/>
        <v>Borussia Dortmund</v>
      </c>
      <c r="B72" s="54"/>
      <c r="C72" s="54" t="s">
        <v>33</v>
      </c>
      <c r="D72" s="54"/>
      <c r="E72" s="55" t="str">
        <f t="shared" si="19"/>
        <v>Real Madrid</v>
      </c>
      <c r="J72" s="71" t="str">
        <f>'1.Ivan'!J72</f>
        <v>N</v>
      </c>
      <c r="K72" s="2" t="str">
        <f>IF(Tabela!A45="","",Tabela!A45)</f>
        <v>Borussia Dortmund</v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>Real Madrid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8" t="str">
        <f>_xlfn.CONCAT(W$2,A73)</f>
        <v>Joseir - Semi Final</v>
      </c>
      <c r="B74" s="208"/>
      <c r="C74" s="208"/>
      <c r="D74" s="208"/>
      <c r="E74" s="208"/>
      <c r="J74" s="71" t="str">
        <f>'1.Ivan'!J74</f>
        <v/>
      </c>
      <c r="K74" s="209" t="s">
        <v>96</v>
      </c>
      <c r="L74" s="209"/>
      <c r="M74" s="209"/>
      <c r="N74" s="209"/>
      <c r="O74" s="209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8" t="str">
        <f>_xlfn.CONCAT(W$2,A77)</f>
        <v>Joseir - Final</v>
      </c>
      <c r="B78" s="208"/>
      <c r="C78" s="208"/>
      <c r="D78" s="208"/>
      <c r="E78" s="208"/>
      <c r="J78" s="71" t="str">
        <f>'1.Ivan'!J78</f>
        <v/>
      </c>
      <c r="K78" s="209" t="s">
        <v>98</v>
      </c>
      <c r="L78" s="209"/>
      <c r="M78" s="209"/>
      <c r="N78" s="209"/>
      <c r="O78" s="209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DA6B6-BD7E-4210-ACC0-A033DB6CE366}">
  <sheetPr codeName="Planilha13">
    <tabColor rgb="FF0070C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1" t="s">
        <v>35</v>
      </c>
      <c r="B1" s="211"/>
      <c r="C1" s="211"/>
      <c r="D1" s="211"/>
      <c r="E1" s="211"/>
      <c r="K1" s="212" t="s">
        <v>35</v>
      </c>
      <c r="L1" s="212"/>
      <c r="M1" s="212"/>
      <c r="N1" s="212"/>
      <c r="O1" s="212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1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0" t="s">
        <v>226</v>
      </c>
      <c r="X2" s="210"/>
      <c r="Y2" s="210"/>
      <c r="Z2" s="210"/>
      <c r="AA2" s="210"/>
      <c r="AB2" s="210"/>
      <c r="AC2" s="210"/>
      <c r="AD2" s="210"/>
      <c r="AE2" s="210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0"/>
      <c r="X3" s="210"/>
      <c r="Y3" s="210"/>
      <c r="Z3" s="210"/>
      <c r="AA3" s="210"/>
      <c r="AB3" s="210"/>
      <c r="AC3" s="210"/>
      <c r="AD3" s="210"/>
      <c r="AE3" s="210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0"/>
      <c r="X4" s="210"/>
      <c r="Y4" s="210"/>
      <c r="Z4" s="210"/>
      <c r="AA4" s="210"/>
      <c r="AB4" s="210"/>
      <c r="AC4" s="210"/>
      <c r="AD4" s="210"/>
      <c r="AE4" s="210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0</v>
      </c>
      <c r="E5" s="13" t="str">
        <f t="shared" si="1"/>
        <v>Porto</v>
      </c>
      <c r="H5" s="2">
        <v>15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0"/>
      <c r="X5" s="210"/>
      <c r="Y5" s="210"/>
      <c r="Z5" s="210"/>
      <c r="AA5" s="210"/>
      <c r="AB5" s="210"/>
      <c r="AC5" s="210"/>
      <c r="AD5" s="210"/>
      <c r="AE5" s="210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0"/>
      <c r="X6" s="210"/>
      <c r="Y6" s="210"/>
      <c r="Z6" s="210"/>
      <c r="AA6" s="210"/>
      <c r="AB6" s="210"/>
      <c r="AC6" s="210"/>
      <c r="AD6" s="210"/>
      <c r="AE6" s="210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1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1" t="s">
        <v>42</v>
      </c>
      <c r="B8" s="211"/>
      <c r="C8" s="211"/>
      <c r="D8" s="211"/>
      <c r="E8" s="211"/>
      <c r="J8" s="71" t="str">
        <f>'1.Ivan'!J8</f>
        <v/>
      </c>
      <c r="K8" s="212" t="s">
        <v>42</v>
      </c>
      <c r="L8" s="212"/>
      <c r="M8" s="212"/>
      <c r="N8" s="212"/>
      <c r="O8" s="212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4" t="s">
        <v>43</v>
      </c>
      <c r="R9" s="214"/>
      <c r="S9" s="214"/>
      <c r="T9" s="214"/>
      <c r="U9" s="214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2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4"/>
      <c r="R10" s="214"/>
      <c r="S10" s="214"/>
      <c r="T10" s="214"/>
      <c r="U10" s="214"/>
      <c r="W10" s="132" t="s">
        <v>190</v>
      </c>
      <c r="X10" s="132"/>
      <c r="Y10" s="132"/>
      <c r="Z10" s="2">
        <v>1</v>
      </c>
      <c r="AB10" s="2">
        <v>3</v>
      </c>
      <c r="AC10" s="132" t="s">
        <v>188</v>
      </c>
      <c r="AD10" s="132"/>
      <c r="AE10" s="132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H11" s="2">
        <v>25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3">
        <f>SUM(H2:H82)</f>
        <v>415</v>
      </c>
      <c r="R11" s="213"/>
      <c r="S11" s="213"/>
      <c r="T11" s="213"/>
      <c r="U11" s="213"/>
      <c r="W11" s="132" t="s">
        <v>195</v>
      </c>
      <c r="X11" s="132"/>
      <c r="Y11" s="132"/>
      <c r="Z11" s="2">
        <v>2</v>
      </c>
      <c r="AB11" s="2">
        <v>0</v>
      </c>
      <c r="AC11" s="132" t="s">
        <v>196</v>
      </c>
      <c r="AD11" s="132"/>
      <c r="AE11" s="132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3"/>
      <c r="R12" s="213"/>
      <c r="S12" s="213"/>
      <c r="T12" s="213"/>
      <c r="U12" s="213"/>
      <c r="W12" s="132" t="s">
        <v>207</v>
      </c>
      <c r="X12" s="132"/>
      <c r="Y12" s="132"/>
      <c r="Z12" s="2">
        <v>2</v>
      </c>
      <c r="AB12" s="2">
        <v>0</v>
      </c>
      <c r="AC12" s="132" t="s">
        <v>208</v>
      </c>
      <c r="AD12" s="132"/>
      <c r="AE12" s="132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4</v>
      </c>
      <c r="E13" s="13" t="str">
        <f t="shared" si="3"/>
        <v>PSG</v>
      </c>
      <c r="H13" s="2">
        <v>10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3"/>
      <c r="R13" s="213"/>
      <c r="S13" s="213"/>
      <c r="T13" s="213"/>
      <c r="U13" s="213"/>
      <c r="W13" s="132"/>
      <c r="X13" s="132"/>
      <c r="Y13" s="132"/>
      <c r="AC13" s="132"/>
      <c r="AD13" s="132"/>
      <c r="AE13" s="132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3</v>
      </c>
      <c r="E14" s="13" t="str">
        <f t="shared" si="3"/>
        <v>Botafogo</v>
      </c>
      <c r="H14" s="2">
        <v>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3"/>
      <c r="R14" s="213"/>
      <c r="S14" s="213"/>
      <c r="T14" s="213"/>
      <c r="U14" s="213"/>
      <c r="W14" s="132"/>
      <c r="X14" s="132"/>
      <c r="Y14" s="132"/>
      <c r="AC14" s="132"/>
      <c r="AD14" s="132"/>
      <c r="AE14" s="132"/>
      <c r="BD14" s="1">
        <v>5</v>
      </c>
    </row>
    <row r="15" spans="1:56" x14ac:dyDescent="0.3">
      <c r="A15" s="211" t="s">
        <v>41</v>
      </c>
      <c r="B15" s="211"/>
      <c r="C15" s="211"/>
      <c r="D15" s="211"/>
      <c r="E15" s="211"/>
      <c r="K15" s="212" t="s">
        <v>41</v>
      </c>
      <c r="L15" s="212"/>
      <c r="M15" s="212"/>
      <c r="N15" s="212"/>
      <c r="O15" s="212"/>
      <c r="Q15" s="213"/>
      <c r="R15" s="213"/>
      <c r="S15" s="213"/>
      <c r="T15" s="213"/>
      <c r="U15" s="213"/>
      <c r="W15" s="132"/>
      <c r="X15" s="132"/>
      <c r="Y15" s="132"/>
      <c r="AC15" s="132"/>
      <c r="AD15" s="132"/>
      <c r="AE15" s="132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/>
      <c r="X16" s="132"/>
      <c r="Y16" s="132"/>
      <c r="AC16" s="132"/>
      <c r="AD16" s="132"/>
      <c r="AE16" s="132"/>
    </row>
    <row r="17" spans="1:31" x14ac:dyDescent="0.3">
      <c r="A17" s="12" t="str">
        <f t="shared" ref="A17:A21" si="4">K17</f>
        <v>Boca Juniors</v>
      </c>
      <c r="B17" s="2">
        <v>3</v>
      </c>
      <c r="C17" s="2" t="s">
        <v>33</v>
      </c>
      <c r="D17" s="2">
        <v>0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/>
      <c r="X17" s="132"/>
      <c r="Y17" s="132"/>
      <c r="AC17" s="132"/>
      <c r="AD17" s="132"/>
      <c r="AE17" s="132"/>
    </row>
    <row r="18" spans="1:31" x14ac:dyDescent="0.3">
      <c r="A18" s="12" t="str">
        <f t="shared" si="4"/>
        <v>Benfica</v>
      </c>
      <c r="B18" s="2">
        <v>0</v>
      </c>
      <c r="C18" s="2" t="s">
        <v>33</v>
      </c>
      <c r="D18" s="2">
        <v>0</v>
      </c>
      <c r="E18" s="13" t="str">
        <f t="shared" si="5"/>
        <v>Auckland City</v>
      </c>
      <c r="H18" s="2">
        <v>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2</v>
      </c>
      <c r="E19" s="13" t="str">
        <f t="shared" si="5"/>
        <v>Boca Juniors</v>
      </c>
      <c r="H19" s="2">
        <v>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3</v>
      </c>
      <c r="R19" s="18">
        <v>8</v>
      </c>
      <c r="S19" s="18">
        <v>15</v>
      </c>
      <c r="T19" s="18">
        <v>14</v>
      </c>
      <c r="U19" s="18">
        <v>16</v>
      </c>
      <c r="W19" s="132"/>
      <c r="X19" s="132"/>
      <c r="Y19" s="132"/>
      <c r="AC19" s="132"/>
      <c r="AD19" s="132"/>
      <c r="AE19" s="132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5" t="s">
        <v>26</v>
      </c>
      <c r="R21" s="215"/>
      <c r="S21" s="216" t="s">
        <v>211</v>
      </c>
      <c r="T21" s="216"/>
      <c r="U21" s="216" t="s">
        <v>187</v>
      </c>
      <c r="V21" s="216"/>
      <c r="W21" s="132"/>
      <c r="X21" s="132"/>
      <c r="Y21" s="132"/>
      <c r="AC21" s="132"/>
      <c r="AD21" s="132"/>
      <c r="AE21" s="132"/>
    </row>
    <row r="22" spans="1:31" x14ac:dyDescent="0.3">
      <c r="A22" s="211" t="s">
        <v>40</v>
      </c>
      <c r="B22" s="211"/>
      <c r="C22" s="211"/>
      <c r="D22" s="211"/>
      <c r="E22" s="211"/>
      <c r="J22" s="71" t="str">
        <f>'1.Ivan'!J22</f>
        <v/>
      </c>
      <c r="K22" s="212" t="s">
        <v>40</v>
      </c>
      <c r="L22" s="212"/>
      <c r="M22" s="212"/>
      <c r="N22" s="212"/>
      <c r="O22" s="212"/>
      <c r="Q22" s="215" t="s">
        <v>25</v>
      </c>
      <c r="R22" s="215"/>
      <c r="S22" s="217" t="s">
        <v>242</v>
      </c>
      <c r="T22" s="217"/>
      <c r="U22" s="217" t="s">
        <v>237</v>
      </c>
      <c r="V22" s="217"/>
      <c r="W22" s="132"/>
      <c r="X22" s="132"/>
      <c r="Y22" s="132"/>
      <c r="AC22" s="132"/>
      <c r="AD22" s="132"/>
      <c r="AE22" s="132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 x14ac:dyDescent="0.3">
      <c r="A24" s="12" t="str">
        <f t="shared" ref="A24:A28" si="6">K24</f>
        <v>Flamengo</v>
      </c>
      <c r="B24" s="2">
        <v>3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10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0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4</v>
      </c>
      <c r="E27" s="13" t="str">
        <f t="shared" si="7"/>
        <v>Chelsea</v>
      </c>
      <c r="H27" s="2">
        <v>10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 x14ac:dyDescent="0.3">
      <c r="A29" s="211" t="s">
        <v>39</v>
      </c>
      <c r="B29" s="211"/>
      <c r="C29" s="211"/>
      <c r="D29" s="211"/>
      <c r="E29" s="211"/>
      <c r="K29" s="212" t="s">
        <v>39</v>
      </c>
      <c r="L29" s="212"/>
      <c r="M29" s="212"/>
      <c r="N29" s="212"/>
      <c r="O29" s="212"/>
      <c r="W29" s="132"/>
      <c r="X29" s="132"/>
      <c r="Y29" s="132"/>
      <c r="AC29" s="132"/>
      <c r="AD29" s="132"/>
      <c r="AE29" s="132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2</v>
      </c>
      <c r="E34" s="13" t="str">
        <f t="shared" si="9"/>
        <v>River Plate</v>
      </c>
      <c r="H34" s="2">
        <v>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0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1" t="s">
        <v>38</v>
      </c>
      <c r="B36" s="211"/>
      <c r="C36" s="211"/>
      <c r="D36" s="211"/>
      <c r="E36" s="211"/>
      <c r="J36" s="71" t="str">
        <f>'1.Ivan'!J36</f>
        <v/>
      </c>
      <c r="K36" s="212" t="s">
        <v>38</v>
      </c>
      <c r="L36" s="212"/>
      <c r="M36" s="212"/>
      <c r="N36" s="212"/>
      <c r="O36" s="212"/>
    </row>
    <row r="37" spans="1:15" x14ac:dyDescent="0.3">
      <c r="A37" s="12" t="str">
        <f>K37</f>
        <v>Fluminense</v>
      </c>
      <c r="B37" s="2">
        <v>2</v>
      </c>
      <c r="C37" s="2" t="s">
        <v>33</v>
      </c>
      <c r="D37" s="2">
        <v>0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2</v>
      </c>
      <c r="C39" s="2" t="s">
        <v>33</v>
      </c>
      <c r="D39" s="2">
        <v>2</v>
      </c>
      <c r="E39" s="13" t="str">
        <f t="shared" si="11"/>
        <v>Borussisa Dortmund</v>
      </c>
      <c r="H39" s="2">
        <v>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3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1" t="s">
        <v>37</v>
      </c>
      <c r="B43" s="211"/>
      <c r="C43" s="211"/>
      <c r="D43" s="211"/>
      <c r="E43" s="211"/>
      <c r="J43" s="71" t="str">
        <f>'1.Ivan'!J43</f>
        <v/>
      </c>
      <c r="K43" s="212" t="s">
        <v>37</v>
      </c>
      <c r="L43" s="212"/>
      <c r="M43" s="212"/>
      <c r="N43" s="212"/>
      <c r="O43" s="212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1</v>
      </c>
      <c r="E48" s="13" t="str">
        <f t="shared" si="13"/>
        <v>Manchester City</v>
      </c>
      <c r="H48" s="2">
        <v>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33</v>
      </c>
      <c r="D49" s="2">
        <v>3</v>
      </c>
      <c r="E49" s="13" t="str">
        <f t="shared" si="13"/>
        <v>Al-Ain</v>
      </c>
      <c r="H49" s="2">
        <v>10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1" t="s">
        <v>36</v>
      </c>
      <c r="B50" s="211"/>
      <c r="C50" s="211"/>
      <c r="D50" s="211"/>
      <c r="E50" s="211"/>
      <c r="J50" s="71" t="str">
        <f>'1.Ivan'!J50</f>
        <v/>
      </c>
      <c r="K50" s="212" t="s">
        <v>36</v>
      </c>
      <c r="L50" s="212"/>
      <c r="M50" s="212"/>
      <c r="N50" s="212"/>
      <c r="O50" s="212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12" t="str">
        <f t="shared" ref="A52:A56" si="14">K52</f>
        <v>Pachuca</v>
      </c>
      <c r="B52" s="113">
        <v>1</v>
      </c>
      <c r="C52" s="113" t="s">
        <v>33</v>
      </c>
      <c r="D52" s="113">
        <v>0</v>
      </c>
      <c r="E52" s="114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H55" s="2">
        <v>10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2</v>
      </c>
      <c r="E56" s="13" t="str">
        <f t="shared" si="15"/>
        <v>Pachuca</v>
      </c>
      <c r="H56" s="2">
        <v>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8" t="str">
        <f>_xlfn.CONCAT(W2,A57)</f>
        <v>Juninho - Oitavas de Final</v>
      </c>
      <c r="B58" s="208"/>
      <c r="C58" s="208"/>
      <c r="D58" s="208"/>
      <c r="E58" s="208"/>
      <c r="K58" s="209" t="s">
        <v>126</v>
      </c>
      <c r="L58" s="209"/>
      <c r="M58" s="209"/>
      <c r="N58" s="209"/>
      <c r="O58" s="209"/>
    </row>
    <row r="59" spans="1:15" x14ac:dyDescent="0.3">
      <c r="A59" s="53" t="str">
        <f>K59</f>
        <v>Palmeiras</v>
      </c>
      <c r="B59" s="54">
        <v>2</v>
      </c>
      <c r="C59" s="54" t="s">
        <v>33</v>
      </c>
      <c r="D59" s="54">
        <v>1</v>
      </c>
      <c r="E59" s="55" t="str">
        <f>O59</f>
        <v>Botafogo</v>
      </c>
      <c r="H59" s="2">
        <v>10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0</v>
      </c>
      <c r="C60" s="54" t="s">
        <v>33</v>
      </c>
      <c r="D60" s="54">
        <v>2</v>
      </c>
      <c r="E60" s="55" t="str">
        <f t="shared" ref="E60:E66" si="17">O60</f>
        <v>Chelsea</v>
      </c>
      <c r="H60" s="2">
        <v>10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1</v>
      </c>
      <c r="C61" s="54" t="s">
        <v>33</v>
      </c>
      <c r="D61" s="54">
        <v>0</v>
      </c>
      <c r="E61" s="55" t="str">
        <f t="shared" si="17"/>
        <v>Fluminense</v>
      </c>
      <c r="H61" s="2">
        <v>0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2</v>
      </c>
      <c r="C62" s="54" t="s">
        <v>33</v>
      </c>
      <c r="D62" s="54">
        <v>1</v>
      </c>
      <c r="E62" s="55" t="str">
        <f t="shared" si="17"/>
        <v>Al-Hilal</v>
      </c>
      <c r="H62" s="2">
        <v>0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2</v>
      </c>
      <c r="C63" s="54" t="s">
        <v>33</v>
      </c>
      <c r="D63" s="54">
        <v>0</v>
      </c>
      <c r="E63" s="55" t="str">
        <f t="shared" si="17"/>
        <v>Inter Miami</v>
      </c>
      <c r="H63" s="2">
        <v>15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2</v>
      </c>
      <c r="C64" s="54" t="s">
        <v>33</v>
      </c>
      <c r="D64" s="54">
        <v>0</v>
      </c>
      <c r="E64" s="55" t="str">
        <f t="shared" si="17"/>
        <v>Bayer de Munique</v>
      </c>
      <c r="H64" s="2">
        <v>5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1</v>
      </c>
      <c r="C65" s="54" t="s">
        <v>33</v>
      </c>
      <c r="D65" s="54">
        <v>3</v>
      </c>
      <c r="E65" s="55" t="str">
        <f t="shared" si="17"/>
        <v>Monterrey</v>
      </c>
      <c r="H65" s="2">
        <v>0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3</v>
      </c>
      <c r="C66" s="54" t="s">
        <v>33</v>
      </c>
      <c r="D66" s="54">
        <v>1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8" t="str">
        <f>_xlfn.CONCAT(W2,A67)</f>
        <v>Juninho - Quartas de Final</v>
      </c>
      <c r="B68" s="208"/>
      <c r="C68" s="208"/>
      <c r="D68" s="208"/>
      <c r="E68" s="208"/>
      <c r="J68" s="71" t="str">
        <f>'1.Ivan'!J68</f>
        <v/>
      </c>
      <c r="K68" s="209" t="s">
        <v>95</v>
      </c>
      <c r="L68" s="209"/>
      <c r="M68" s="209"/>
      <c r="N68" s="209"/>
      <c r="O68" s="209"/>
    </row>
    <row r="69" spans="1:15" x14ac:dyDescent="0.3">
      <c r="A69" s="53" t="str">
        <f>K69</f>
        <v>Palmeiras</v>
      </c>
      <c r="B69" s="54"/>
      <c r="C69" s="54" t="s">
        <v>33</v>
      </c>
      <c r="D69" s="54"/>
      <c r="E69" s="55" t="str">
        <f>O69</f>
        <v>Chelsea</v>
      </c>
      <c r="J69" s="71" t="str">
        <f>'1.Ivan'!J69</f>
        <v>N</v>
      </c>
      <c r="K69" s="2" t="str">
        <f>IF(Tabela!A42="","",Tabela!A42)</f>
        <v>Palmeiras</v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/>
      <c r="C70" s="54" t="s">
        <v>33</v>
      </c>
      <c r="D70" s="54"/>
      <c r="E70" s="55" t="str">
        <f t="shared" ref="E70:E72" si="19">O70</f>
        <v>Al-Hilal</v>
      </c>
      <c r="J70" s="71" t="str">
        <f>'1.Ivan'!J70</f>
        <v>N</v>
      </c>
      <c r="K70" s="2" t="str">
        <f>IF(Tabela!A43="","",Tabela!A43)</f>
        <v>Fluminense</v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/>
      <c r="C71" s="54" t="s">
        <v>33</v>
      </c>
      <c r="D71" s="54"/>
      <c r="E71" s="55" t="str">
        <f t="shared" si="19"/>
        <v>Bayern de Munique</v>
      </c>
      <c r="J71" s="71" t="str">
        <f>'1.Ivan'!J71</f>
        <v>N</v>
      </c>
      <c r="K71" s="2" t="str">
        <f>IF(Tabela!A44="","",Tabela!A44)</f>
        <v>PSG</v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>Bayern de Munique</v>
      </c>
    </row>
    <row r="72" spans="1:15" x14ac:dyDescent="0.3">
      <c r="A72" s="53" t="str">
        <f t="shared" si="18"/>
        <v>Borussia Dortmund</v>
      </c>
      <c r="B72" s="54"/>
      <c r="C72" s="54" t="s">
        <v>33</v>
      </c>
      <c r="D72" s="54"/>
      <c r="E72" s="55" t="str">
        <f t="shared" si="19"/>
        <v>Real Madrid</v>
      </c>
      <c r="J72" s="71" t="str">
        <f>'1.Ivan'!J72</f>
        <v>N</v>
      </c>
      <c r="K72" s="2" t="str">
        <f>IF(Tabela!A45="","",Tabela!A45)</f>
        <v>Borussia Dortmund</v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>Real Madrid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8" t="str">
        <f>_xlfn.CONCAT(W$2,A73)</f>
        <v>Juninho - Semi Final</v>
      </c>
      <c r="B74" s="208"/>
      <c r="C74" s="208"/>
      <c r="D74" s="208"/>
      <c r="E74" s="208"/>
      <c r="J74" s="71" t="str">
        <f>'1.Ivan'!J74</f>
        <v/>
      </c>
      <c r="K74" s="209" t="s">
        <v>96</v>
      </c>
      <c r="L74" s="209"/>
      <c r="M74" s="209"/>
      <c r="N74" s="209"/>
      <c r="O74" s="209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8" t="str">
        <f>_xlfn.CONCAT(W$2,A77)</f>
        <v>Juninho - Final</v>
      </c>
      <c r="B78" s="208"/>
      <c r="C78" s="208"/>
      <c r="D78" s="208"/>
      <c r="E78" s="208"/>
      <c r="J78" s="71" t="str">
        <f>'1.Ivan'!J78</f>
        <v/>
      </c>
      <c r="K78" s="209" t="s">
        <v>98</v>
      </c>
      <c r="L78" s="209"/>
      <c r="M78" s="209"/>
      <c r="N78" s="209"/>
      <c r="O78" s="209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1AD35-91E6-4811-B5F5-681BA22CDADD}">
  <sheetPr codeName="Planilha15">
    <tabColor rgb="FF0070C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8" t="s">
        <v>35</v>
      </c>
      <c r="B1" s="218"/>
      <c r="C1" s="218"/>
      <c r="D1" s="218"/>
      <c r="E1" s="218"/>
      <c r="K1" s="212" t="s">
        <v>35</v>
      </c>
      <c r="L1" s="212"/>
      <c r="M1" s="212"/>
      <c r="N1" s="212"/>
      <c r="O1" s="212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1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0" t="s">
        <v>59</v>
      </c>
      <c r="X2" s="210"/>
      <c r="Y2" s="210"/>
      <c r="Z2" s="210"/>
      <c r="AA2" s="210"/>
      <c r="AB2" s="210"/>
      <c r="AC2" s="210"/>
      <c r="AD2" s="210"/>
      <c r="AE2" s="210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0"/>
      <c r="X3" s="210"/>
      <c r="Y3" s="210"/>
      <c r="Z3" s="210"/>
      <c r="AA3" s="210"/>
      <c r="AB3" s="210"/>
      <c r="AC3" s="210"/>
      <c r="AD3" s="210"/>
      <c r="AE3" s="210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0"/>
      <c r="X4" s="210"/>
      <c r="Y4" s="210"/>
      <c r="Z4" s="210"/>
      <c r="AA4" s="210"/>
      <c r="AB4" s="210"/>
      <c r="AC4" s="210"/>
      <c r="AD4" s="210"/>
      <c r="AE4" s="210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H5" s="2">
        <v>10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0"/>
      <c r="X5" s="210"/>
      <c r="Y5" s="210"/>
      <c r="Z5" s="210"/>
      <c r="AA5" s="210"/>
      <c r="AB5" s="210"/>
      <c r="AC5" s="210"/>
      <c r="AD5" s="210"/>
      <c r="AE5" s="210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0</v>
      </c>
      <c r="E6" s="13" t="str">
        <f t="shared" si="1"/>
        <v>Palmeiras</v>
      </c>
      <c r="H6" s="2">
        <v>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0"/>
      <c r="X6" s="210"/>
      <c r="Y6" s="210"/>
      <c r="Z6" s="210"/>
      <c r="AA6" s="210"/>
      <c r="AB6" s="210"/>
      <c r="AC6" s="210"/>
      <c r="AD6" s="210"/>
      <c r="AE6" s="210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2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8" t="s">
        <v>42</v>
      </c>
      <c r="B8" s="218"/>
      <c r="C8" s="218"/>
      <c r="D8" s="218"/>
      <c r="E8" s="218"/>
      <c r="J8" s="71" t="str">
        <f>'1.Ivan'!J8</f>
        <v/>
      </c>
      <c r="K8" s="212" t="s">
        <v>42</v>
      </c>
      <c r="L8" s="212"/>
      <c r="M8" s="212"/>
      <c r="N8" s="212"/>
      <c r="O8" s="212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4" t="s">
        <v>43</v>
      </c>
      <c r="R9" s="214"/>
      <c r="S9" s="214"/>
      <c r="T9" s="214"/>
      <c r="U9" s="214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 x14ac:dyDescent="0.3">
      <c r="A10" s="12" t="str">
        <f t="shared" ref="A10:A14" si="2">K10</f>
        <v>Botafogo</v>
      </c>
      <c r="B10" s="2">
        <v>3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4"/>
      <c r="R10" s="214"/>
      <c r="S10" s="214"/>
      <c r="T10" s="214"/>
      <c r="U10" s="214"/>
      <c r="W10" s="132" t="s">
        <v>195</v>
      </c>
      <c r="X10" s="132"/>
      <c r="Y10" s="132"/>
      <c r="Z10" s="2">
        <v>2</v>
      </c>
      <c r="AB10" s="2">
        <v>0</v>
      </c>
      <c r="AC10" s="132" t="s">
        <v>196</v>
      </c>
      <c r="AD10" s="132"/>
      <c r="AE10" s="132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4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3">
        <f>SUM(H2:H82)</f>
        <v>545</v>
      </c>
      <c r="R11" s="213"/>
      <c r="S11" s="213"/>
      <c r="T11" s="213"/>
      <c r="U11" s="213"/>
      <c r="W11" s="132" t="s">
        <v>202</v>
      </c>
      <c r="X11" s="132"/>
      <c r="Y11" s="132"/>
      <c r="Z11" s="2">
        <v>2</v>
      </c>
      <c r="AB11" s="2">
        <v>1</v>
      </c>
      <c r="AC11" s="132" t="s">
        <v>200</v>
      </c>
      <c r="AD11" s="132"/>
      <c r="AE11" s="132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3"/>
      <c r="R12" s="213"/>
      <c r="S12" s="213"/>
      <c r="T12" s="213"/>
      <c r="U12" s="213"/>
      <c r="W12" s="132" t="s">
        <v>208</v>
      </c>
      <c r="X12" s="132"/>
      <c r="Y12" s="132"/>
      <c r="Z12" s="2">
        <v>1</v>
      </c>
      <c r="AB12" s="2">
        <v>2</v>
      </c>
      <c r="AC12" s="132" t="s">
        <v>209</v>
      </c>
      <c r="AD12" s="132"/>
      <c r="AE12" s="132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H13" s="2">
        <v>10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3"/>
      <c r="R13" s="213"/>
      <c r="S13" s="213"/>
      <c r="T13" s="213"/>
      <c r="U13" s="213"/>
      <c r="W13" s="132" t="s">
        <v>213</v>
      </c>
      <c r="X13" s="132"/>
      <c r="Y13" s="132"/>
      <c r="Z13" s="2">
        <v>1</v>
      </c>
      <c r="AB13" s="2">
        <v>2</v>
      </c>
      <c r="AC13" s="132" t="s">
        <v>214</v>
      </c>
      <c r="AD13" s="132"/>
      <c r="AE13" s="132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3"/>
      <c r="R14" s="213"/>
      <c r="S14" s="213"/>
      <c r="T14" s="213"/>
      <c r="U14" s="213"/>
      <c r="W14" s="132"/>
      <c r="X14" s="132"/>
      <c r="Y14" s="132"/>
      <c r="AC14" s="132"/>
      <c r="AD14" s="132"/>
      <c r="AE14" s="132"/>
      <c r="BD14" s="1">
        <v>5</v>
      </c>
    </row>
    <row r="15" spans="1:56" x14ac:dyDescent="0.3">
      <c r="A15" s="218" t="s">
        <v>41</v>
      </c>
      <c r="B15" s="218"/>
      <c r="C15" s="218"/>
      <c r="D15" s="218"/>
      <c r="E15" s="218"/>
      <c r="K15" s="212" t="s">
        <v>41</v>
      </c>
      <c r="L15" s="212"/>
      <c r="M15" s="212"/>
      <c r="N15" s="212"/>
      <c r="O15" s="212"/>
      <c r="Q15" s="213"/>
      <c r="R15" s="213"/>
      <c r="S15" s="213"/>
      <c r="T15" s="213"/>
      <c r="U15" s="213"/>
      <c r="W15" s="132"/>
      <c r="X15" s="132"/>
      <c r="Y15" s="132"/>
      <c r="AC15" s="132"/>
      <c r="AD15" s="132"/>
      <c r="AE15" s="132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/>
      <c r="X16" s="132"/>
      <c r="Y16" s="132"/>
      <c r="AC16" s="132"/>
      <c r="AD16" s="132"/>
      <c r="AE16" s="132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/>
      <c r="X17" s="132"/>
      <c r="Y17" s="132"/>
      <c r="AC17" s="132"/>
      <c r="AD17" s="132"/>
      <c r="AE17" s="132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 x14ac:dyDescent="0.3">
      <c r="A19" s="112" t="str">
        <f t="shared" si="4"/>
        <v>Bayern de Munique</v>
      </c>
      <c r="B19" s="113">
        <v>2</v>
      </c>
      <c r="C19" s="113" t="s">
        <v>33</v>
      </c>
      <c r="D19" s="113">
        <v>0</v>
      </c>
      <c r="E19" s="114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4</v>
      </c>
      <c r="R19" s="18">
        <v>15</v>
      </c>
      <c r="S19" s="18">
        <v>17</v>
      </c>
      <c r="T19" s="18">
        <v>10</v>
      </c>
      <c r="U19" s="18">
        <v>10</v>
      </c>
      <c r="W19" s="132"/>
      <c r="X19" s="132"/>
      <c r="Y19" s="132"/>
      <c r="AC19" s="132"/>
      <c r="AD19" s="132"/>
      <c r="AE19" s="132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5" t="s">
        <v>26</v>
      </c>
      <c r="R21" s="215"/>
      <c r="S21" s="216" t="s">
        <v>207</v>
      </c>
      <c r="T21" s="216"/>
      <c r="U21" s="216" t="s">
        <v>211</v>
      </c>
      <c r="V21" s="216"/>
      <c r="W21" s="132"/>
      <c r="X21" s="132"/>
      <c r="Y21" s="132"/>
      <c r="AC21" s="132"/>
      <c r="AD21" s="132"/>
      <c r="AE21" s="132"/>
    </row>
    <row r="22" spans="1:31" x14ac:dyDescent="0.3">
      <c r="A22" s="218" t="s">
        <v>40</v>
      </c>
      <c r="B22" s="218"/>
      <c r="C22" s="218"/>
      <c r="D22" s="218"/>
      <c r="E22" s="218"/>
      <c r="J22" s="71" t="str">
        <f>'1.Ivan'!J22</f>
        <v/>
      </c>
      <c r="K22" s="212" t="s">
        <v>40</v>
      </c>
      <c r="L22" s="212"/>
      <c r="M22" s="212"/>
      <c r="N22" s="212"/>
      <c r="O22" s="212"/>
      <c r="Q22" s="215" t="s">
        <v>25</v>
      </c>
      <c r="R22" s="215"/>
      <c r="S22" s="217" t="s">
        <v>237</v>
      </c>
      <c r="T22" s="217"/>
      <c r="U22" s="217" t="s">
        <v>84</v>
      </c>
      <c r="V22" s="217"/>
      <c r="W22" s="132"/>
      <c r="X22" s="132"/>
      <c r="Y22" s="132"/>
      <c r="AC22" s="132"/>
      <c r="AD22" s="132"/>
      <c r="AE22" s="132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 x14ac:dyDescent="0.3">
      <c r="A25" s="12" t="str">
        <f t="shared" si="6"/>
        <v>Flamengo</v>
      </c>
      <c r="B25" s="2">
        <v>2</v>
      </c>
      <c r="C25" s="2" t="s">
        <v>33</v>
      </c>
      <c r="D25" s="2">
        <v>1</v>
      </c>
      <c r="E25" s="13" t="str">
        <f t="shared" si="7"/>
        <v>Chelsea</v>
      </c>
      <c r="H25" s="2">
        <v>15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3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4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 x14ac:dyDescent="0.3">
      <c r="A29" s="218" t="s">
        <v>39</v>
      </c>
      <c r="B29" s="218"/>
      <c r="C29" s="218"/>
      <c r="D29" s="218"/>
      <c r="E29" s="218"/>
      <c r="K29" s="212" t="s">
        <v>39</v>
      </c>
      <c r="L29" s="212"/>
      <c r="M29" s="212"/>
      <c r="N29" s="212"/>
      <c r="O29" s="212"/>
      <c r="W29" s="132"/>
      <c r="X29" s="132"/>
      <c r="Y29" s="132"/>
      <c r="AC29" s="132"/>
      <c r="AD29" s="132"/>
      <c r="AE29" s="132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2</v>
      </c>
      <c r="E33" s="13" t="str">
        <f t="shared" si="9"/>
        <v>Monterrey</v>
      </c>
      <c r="H33" s="2">
        <v>10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2</v>
      </c>
      <c r="E35" s="13" t="str">
        <f t="shared" si="9"/>
        <v>Monterrey</v>
      </c>
      <c r="H35" s="2">
        <v>10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8" t="s">
        <v>38</v>
      </c>
      <c r="B36" s="218"/>
      <c r="C36" s="218"/>
      <c r="D36" s="218"/>
      <c r="E36" s="218"/>
      <c r="J36" s="71" t="str">
        <f>'1.Ivan'!J36</f>
        <v/>
      </c>
      <c r="K36" s="212" t="s">
        <v>38</v>
      </c>
      <c r="L36" s="212"/>
      <c r="M36" s="212"/>
      <c r="N36" s="212"/>
      <c r="O36" s="212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1</v>
      </c>
      <c r="E37" s="13" t="str">
        <f>O37</f>
        <v>Borussisa Dortmund</v>
      </c>
      <c r="H37" s="2">
        <v>10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3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8" t="s">
        <v>37</v>
      </c>
      <c r="B43" s="218"/>
      <c r="C43" s="218"/>
      <c r="D43" s="218"/>
      <c r="E43" s="218"/>
      <c r="J43" s="71" t="str">
        <f>'1.Ivan'!J43</f>
        <v/>
      </c>
      <c r="K43" s="212" t="s">
        <v>37</v>
      </c>
      <c r="L43" s="212"/>
      <c r="M43" s="212"/>
      <c r="N43" s="212"/>
      <c r="O43" s="212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33</v>
      </c>
      <c r="D48" s="2">
        <v>3</v>
      </c>
      <c r="E48" s="13" t="str">
        <f t="shared" si="13"/>
        <v>Manchester City</v>
      </c>
      <c r="H48" s="2">
        <v>15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H49" s="2">
        <v>25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8" t="s">
        <v>36</v>
      </c>
      <c r="B50" s="218"/>
      <c r="C50" s="218"/>
      <c r="D50" s="218"/>
      <c r="E50" s="218"/>
      <c r="J50" s="71" t="str">
        <f>'1.Ivan'!J50</f>
        <v/>
      </c>
      <c r="K50" s="212" t="s">
        <v>36</v>
      </c>
      <c r="L50" s="212"/>
      <c r="M50" s="212"/>
      <c r="N50" s="212"/>
      <c r="O50" s="212"/>
    </row>
    <row r="51" spans="1:15" x14ac:dyDescent="0.3">
      <c r="A51" s="12" t="str">
        <f>K51</f>
        <v>Real Madrid</v>
      </c>
      <c r="B51" s="2">
        <v>4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33</v>
      </c>
      <c r="D54" s="2">
        <v>1</v>
      </c>
      <c r="E54" s="13" t="str">
        <f t="shared" si="15"/>
        <v>Al-Hilal</v>
      </c>
      <c r="H54" s="2">
        <v>5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4</v>
      </c>
      <c r="E55" s="13" t="str">
        <f t="shared" si="15"/>
        <v>Real Madrid</v>
      </c>
      <c r="H55" s="2">
        <v>10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2</v>
      </c>
      <c r="E56" s="13" t="str">
        <f t="shared" si="15"/>
        <v>Pachuca</v>
      </c>
      <c r="H56" s="2">
        <v>0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8" t="str">
        <f>_xlfn.CONCAT(W2,A57)</f>
        <v>Ivani - Oitavas de Final</v>
      </c>
      <c r="B58" s="208"/>
      <c r="C58" s="208"/>
      <c r="D58" s="208"/>
      <c r="E58" s="208"/>
      <c r="K58" s="209" t="s">
        <v>126</v>
      </c>
      <c r="L58" s="209"/>
      <c r="M58" s="209"/>
      <c r="N58" s="209"/>
      <c r="O58" s="209"/>
    </row>
    <row r="59" spans="1:15" x14ac:dyDescent="0.3">
      <c r="A59" s="53" t="str">
        <f>K59</f>
        <v>Palmeiras</v>
      </c>
      <c r="B59" s="54">
        <v>2</v>
      </c>
      <c r="C59" s="54" t="s">
        <v>33</v>
      </c>
      <c r="D59" s="54">
        <v>1</v>
      </c>
      <c r="E59" s="55" t="str">
        <f>O59</f>
        <v>Botafogo</v>
      </c>
      <c r="H59" s="2">
        <v>10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1</v>
      </c>
      <c r="C60" s="54" t="s">
        <v>33</v>
      </c>
      <c r="D60" s="54">
        <v>2</v>
      </c>
      <c r="E60" s="55" t="str">
        <f t="shared" ref="E60:E66" si="17">O60</f>
        <v>Chelsea</v>
      </c>
      <c r="H60" s="2">
        <v>15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3</v>
      </c>
      <c r="C61" s="54" t="s">
        <v>33</v>
      </c>
      <c r="D61" s="54">
        <v>2</v>
      </c>
      <c r="E61" s="55" t="str">
        <f t="shared" si="17"/>
        <v>Fluminense</v>
      </c>
      <c r="H61" s="2">
        <v>5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4</v>
      </c>
      <c r="C62" s="54" t="s">
        <v>33</v>
      </c>
      <c r="D62" s="54">
        <v>2</v>
      </c>
      <c r="E62" s="55" t="str">
        <f t="shared" si="17"/>
        <v>Al-Hilal</v>
      </c>
      <c r="H62" s="2">
        <v>0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2</v>
      </c>
      <c r="C63" s="54" t="s">
        <v>33</v>
      </c>
      <c r="D63" s="54">
        <v>2</v>
      </c>
      <c r="E63" s="55" t="str">
        <f t="shared" si="17"/>
        <v>Inter Miami</v>
      </c>
      <c r="H63" s="2">
        <v>0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0</v>
      </c>
      <c r="E64" s="55" t="str">
        <f t="shared" si="17"/>
        <v>Bayer de Munique</v>
      </c>
      <c r="H64" s="2">
        <v>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2</v>
      </c>
      <c r="C65" s="54" t="s">
        <v>33</v>
      </c>
      <c r="D65" s="54">
        <v>3</v>
      </c>
      <c r="E65" s="55" t="str">
        <f t="shared" si="17"/>
        <v>Monterrey</v>
      </c>
      <c r="H65" s="2">
        <v>5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2</v>
      </c>
      <c r="C66" s="54" t="s">
        <v>33</v>
      </c>
      <c r="D66" s="54">
        <v>0</v>
      </c>
      <c r="E66" s="55" t="str">
        <f t="shared" si="17"/>
        <v>Juventus</v>
      </c>
      <c r="H66" s="2">
        <v>15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8" t="str">
        <f>_xlfn.CONCAT(W2,A67)</f>
        <v>Ivani - Quartas de Final</v>
      </c>
      <c r="B68" s="208"/>
      <c r="C68" s="208"/>
      <c r="D68" s="208"/>
      <c r="E68" s="208"/>
      <c r="J68" s="71" t="str">
        <f>'1.Ivan'!J68</f>
        <v/>
      </c>
      <c r="K68" s="209" t="s">
        <v>95</v>
      </c>
      <c r="L68" s="209"/>
      <c r="M68" s="209"/>
      <c r="N68" s="209"/>
      <c r="O68" s="209"/>
    </row>
    <row r="69" spans="1:15" x14ac:dyDescent="0.3">
      <c r="A69" s="53" t="str">
        <f>K69</f>
        <v>Palmeiras</v>
      </c>
      <c r="B69" s="54"/>
      <c r="C69" s="54" t="s">
        <v>33</v>
      </c>
      <c r="D69" s="54"/>
      <c r="E69" s="55" t="str">
        <f>O69</f>
        <v>Chelsea</v>
      </c>
      <c r="J69" s="71" t="str">
        <f>'1.Ivan'!J69</f>
        <v>N</v>
      </c>
      <c r="K69" s="2" t="str">
        <f>IF(Tabela!A42="","",Tabela!A42)</f>
        <v>Palmeiras</v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/>
      <c r="C70" s="54" t="s">
        <v>33</v>
      </c>
      <c r="D70" s="54"/>
      <c r="E70" s="55" t="str">
        <f t="shared" ref="E70:E72" si="19">O70</f>
        <v>Al-Hilal</v>
      </c>
      <c r="J70" s="71" t="str">
        <f>'1.Ivan'!J70</f>
        <v>N</v>
      </c>
      <c r="K70" s="2" t="str">
        <f>IF(Tabela!A43="","",Tabela!A43)</f>
        <v>Fluminense</v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/>
      <c r="C71" s="54" t="s">
        <v>33</v>
      </c>
      <c r="D71" s="54"/>
      <c r="E71" s="55" t="str">
        <f t="shared" si="19"/>
        <v>Bayern de Munique</v>
      </c>
      <c r="J71" s="71" t="str">
        <f>'1.Ivan'!J71</f>
        <v>N</v>
      </c>
      <c r="K71" s="2" t="str">
        <f>IF(Tabela!A44="","",Tabela!A44)</f>
        <v>PSG</v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>Bayern de Munique</v>
      </c>
    </row>
    <row r="72" spans="1:15" x14ac:dyDescent="0.3">
      <c r="A72" s="53" t="str">
        <f t="shared" si="18"/>
        <v>Borussia Dortmund</v>
      </c>
      <c r="B72" s="54"/>
      <c r="C72" s="54" t="s">
        <v>33</v>
      </c>
      <c r="D72" s="54"/>
      <c r="E72" s="55" t="str">
        <f t="shared" si="19"/>
        <v>Real Madrid</v>
      </c>
      <c r="J72" s="71" t="str">
        <f>'1.Ivan'!J72</f>
        <v>N</v>
      </c>
      <c r="K72" s="2" t="str">
        <f>IF(Tabela!A45="","",Tabela!A45)</f>
        <v>Borussia Dortmund</v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>Real Madrid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8" t="str">
        <f>_xlfn.CONCAT(W$2,A73)</f>
        <v>Ivani - Semi Final</v>
      </c>
      <c r="B74" s="208"/>
      <c r="C74" s="208"/>
      <c r="D74" s="208"/>
      <c r="E74" s="208"/>
      <c r="J74" s="71" t="str">
        <f>'1.Ivan'!J74</f>
        <v/>
      </c>
      <c r="K74" s="209" t="s">
        <v>96</v>
      </c>
      <c r="L74" s="209"/>
      <c r="M74" s="209"/>
      <c r="N74" s="209"/>
      <c r="O74" s="209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8" t="str">
        <f>_xlfn.CONCAT(W$2,A77)</f>
        <v>Ivani - Final</v>
      </c>
      <c r="B78" s="208"/>
      <c r="C78" s="208"/>
      <c r="D78" s="208"/>
      <c r="E78" s="208"/>
      <c r="J78" s="71" t="str">
        <f>'1.Ivan'!J78</f>
        <v/>
      </c>
      <c r="K78" s="209" t="s">
        <v>98</v>
      </c>
      <c r="L78" s="209"/>
      <c r="M78" s="209"/>
      <c r="N78" s="209"/>
      <c r="O78" s="209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A2F612-BE83-410F-806E-067426AE696A}">
  <sheetPr codeName="Planilha16">
    <tabColor rgb="FF0070C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1" t="s">
        <v>35</v>
      </c>
      <c r="B1" s="211"/>
      <c r="C1" s="211"/>
      <c r="D1" s="211"/>
      <c r="E1" s="211"/>
      <c r="K1" s="212" t="s">
        <v>35</v>
      </c>
      <c r="L1" s="212"/>
      <c r="M1" s="212"/>
      <c r="N1" s="212"/>
      <c r="O1" s="212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0" t="s">
        <v>228</v>
      </c>
      <c r="X2" s="210"/>
      <c r="Y2" s="210"/>
      <c r="Z2" s="210"/>
      <c r="AA2" s="210"/>
      <c r="AB2" s="210"/>
      <c r="AC2" s="210"/>
      <c r="AD2" s="210"/>
      <c r="AE2" s="210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0"/>
      <c r="X3" s="210"/>
      <c r="Y3" s="210"/>
      <c r="Z3" s="210"/>
      <c r="AA3" s="210"/>
      <c r="AB3" s="210"/>
      <c r="AC3" s="210"/>
      <c r="AD3" s="210"/>
      <c r="AE3" s="210"/>
    </row>
    <row r="4" spans="1:56" x14ac:dyDescent="0.3">
      <c r="A4" s="12" t="str">
        <f t="shared" si="0"/>
        <v>Palmeiras</v>
      </c>
      <c r="B4" s="2">
        <v>3</v>
      </c>
      <c r="C4" s="2" t="s">
        <v>33</v>
      </c>
      <c r="D4" s="2">
        <v>2</v>
      </c>
      <c r="E4" s="13" t="str">
        <f t="shared" si="1"/>
        <v>Al Ahly</v>
      </c>
      <c r="H4" s="2">
        <v>10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0"/>
      <c r="X4" s="210"/>
      <c r="Y4" s="210"/>
      <c r="Z4" s="210"/>
      <c r="AA4" s="210"/>
      <c r="AB4" s="210"/>
      <c r="AC4" s="210"/>
      <c r="AD4" s="210"/>
      <c r="AE4" s="210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0"/>
      <c r="X5" s="210"/>
      <c r="Y5" s="210"/>
      <c r="Z5" s="210"/>
      <c r="AA5" s="210"/>
      <c r="AB5" s="210"/>
      <c r="AC5" s="210"/>
      <c r="AD5" s="210"/>
      <c r="AE5" s="210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H6" s="2">
        <v>10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0"/>
      <c r="X6" s="210"/>
      <c r="Y6" s="210"/>
      <c r="Z6" s="210"/>
      <c r="AA6" s="210"/>
      <c r="AB6" s="210"/>
      <c r="AC6" s="210"/>
      <c r="AD6" s="210"/>
      <c r="AE6" s="210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1" t="s">
        <v>42</v>
      </c>
      <c r="B8" s="211"/>
      <c r="C8" s="211"/>
      <c r="D8" s="211"/>
      <c r="E8" s="211"/>
      <c r="J8" s="71" t="str">
        <f>'1.Ivan'!J8</f>
        <v/>
      </c>
      <c r="K8" s="212" t="s">
        <v>42</v>
      </c>
      <c r="L8" s="212"/>
      <c r="M8" s="212"/>
      <c r="N8" s="212"/>
      <c r="O8" s="212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4" t="s">
        <v>43</v>
      </c>
      <c r="R9" s="214"/>
      <c r="S9" s="214"/>
      <c r="T9" s="214"/>
      <c r="U9" s="214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4"/>
      <c r="R10" s="214"/>
      <c r="S10" s="214"/>
      <c r="T10" s="214"/>
      <c r="U10" s="214"/>
      <c r="W10" s="132" t="s">
        <v>190</v>
      </c>
      <c r="X10" s="132"/>
      <c r="Y10" s="132"/>
      <c r="Z10" s="2">
        <v>1</v>
      </c>
      <c r="AB10" s="2">
        <v>3</v>
      </c>
      <c r="AC10" s="132" t="s">
        <v>188</v>
      </c>
      <c r="AD10" s="132"/>
      <c r="AE10" s="132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H11" s="2">
        <v>25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3">
        <f>SUM(H2:H82)</f>
        <v>480</v>
      </c>
      <c r="R11" s="213"/>
      <c r="S11" s="213"/>
      <c r="T11" s="213"/>
      <c r="U11" s="213"/>
      <c r="W11" s="132" t="s">
        <v>190</v>
      </c>
      <c r="X11" s="132"/>
      <c r="Y11" s="132"/>
      <c r="Z11" s="2">
        <v>0</v>
      </c>
      <c r="AB11" s="2">
        <v>2</v>
      </c>
      <c r="AC11" s="132" t="s">
        <v>187</v>
      </c>
      <c r="AD11" s="132"/>
      <c r="AE11" s="132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1</v>
      </c>
      <c r="E12" s="13" t="str">
        <f t="shared" si="3"/>
        <v>Botafogo</v>
      </c>
      <c r="H12" s="2">
        <v>5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3"/>
      <c r="R12" s="213"/>
      <c r="S12" s="213"/>
      <c r="T12" s="213"/>
      <c r="U12" s="213"/>
      <c r="W12" s="132" t="s">
        <v>197</v>
      </c>
      <c r="X12" s="132"/>
      <c r="Y12" s="132"/>
      <c r="Z12" s="2">
        <v>2</v>
      </c>
      <c r="AB12" s="2">
        <v>0</v>
      </c>
      <c r="AC12" s="132" t="s">
        <v>198</v>
      </c>
      <c r="AD12" s="132"/>
      <c r="AE12" s="132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H13" s="2">
        <v>25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3"/>
      <c r="R13" s="213"/>
      <c r="S13" s="213"/>
      <c r="T13" s="213"/>
      <c r="U13" s="213"/>
      <c r="W13" s="132" t="s">
        <v>205</v>
      </c>
      <c r="X13" s="132"/>
      <c r="Y13" s="132"/>
      <c r="Z13" s="2">
        <v>0</v>
      </c>
      <c r="AB13" s="2">
        <v>1</v>
      </c>
      <c r="AC13" s="132" t="s">
        <v>206</v>
      </c>
      <c r="AD13" s="132"/>
      <c r="AE13" s="132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3"/>
      <c r="R14" s="213"/>
      <c r="S14" s="213"/>
      <c r="T14" s="213"/>
      <c r="U14" s="213"/>
      <c r="W14" s="132" t="s">
        <v>214</v>
      </c>
      <c r="X14" s="132"/>
      <c r="Y14" s="132"/>
      <c r="Z14" s="2">
        <v>0</v>
      </c>
      <c r="AB14" s="2">
        <v>3</v>
      </c>
      <c r="AC14" s="132" t="s">
        <v>211</v>
      </c>
      <c r="AD14" s="132"/>
      <c r="AE14" s="132"/>
      <c r="BD14" s="1">
        <v>5</v>
      </c>
    </row>
    <row r="15" spans="1:56" x14ac:dyDescent="0.3">
      <c r="A15" s="211" t="s">
        <v>41</v>
      </c>
      <c r="B15" s="211"/>
      <c r="C15" s="211"/>
      <c r="D15" s="211"/>
      <c r="E15" s="211"/>
      <c r="K15" s="212" t="s">
        <v>41</v>
      </c>
      <c r="L15" s="212"/>
      <c r="M15" s="212"/>
      <c r="N15" s="212"/>
      <c r="O15" s="212"/>
      <c r="Q15" s="213"/>
      <c r="R15" s="213"/>
      <c r="S15" s="213"/>
      <c r="T15" s="213"/>
      <c r="U15" s="213"/>
      <c r="W15" s="132"/>
      <c r="X15" s="132"/>
      <c r="Y15" s="132"/>
      <c r="AC15" s="132"/>
      <c r="AD15" s="132"/>
      <c r="AE15" s="132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/>
      <c r="X16" s="132"/>
      <c r="Y16" s="132"/>
      <c r="AC16" s="132"/>
      <c r="AD16" s="132"/>
      <c r="AE16" s="132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33</v>
      </c>
      <c r="D17" s="2">
        <v>3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/>
      <c r="X17" s="132"/>
      <c r="Y17" s="132"/>
      <c r="AC17" s="132"/>
      <c r="AD17" s="132"/>
      <c r="AE17" s="132"/>
    </row>
    <row r="18" spans="1:31" x14ac:dyDescent="0.3">
      <c r="A18" s="12" t="str">
        <f t="shared" si="4"/>
        <v>Benfica</v>
      </c>
      <c r="B18" s="2">
        <v>5</v>
      </c>
      <c r="C18" s="2" t="s">
        <v>33</v>
      </c>
      <c r="D18" s="2">
        <v>2</v>
      </c>
      <c r="E18" s="13" t="str">
        <f t="shared" si="5"/>
        <v>Auckland City</v>
      </c>
      <c r="H18" s="2">
        <v>10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1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5</v>
      </c>
      <c r="R19" s="18">
        <v>8</v>
      </c>
      <c r="S19" s="18">
        <v>20</v>
      </c>
      <c r="T19" s="18">
        <v>7</v>
      </c>
      <c r="U19" s="18">
        <v>16</v>
      </c>
      <c r="W19" s="132"/>
      <c r="X19" s="132"/>
      <c r="Y19" s="132"/>
      <c r="AC19" s="132"/>
      <c r="AD19" s="132"/>
      <c r="AE19" s="132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 x14ac:dyDescent="0.3">
      <c r="A21" s="12" t="str">
        <f t="shared" si="4"/>
        <v>Auckland City</v>
      </c>
      <c r="B21" s="2">
        <v>2</v>
      </c>
      <c r="C21" s="2" t="s">
        <v>33</v>
      </c>
      <c r="D21" s="2">
        <v>1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5" t="s">
        <v>26</v>
      </c>
      <c r="R21" s="215"/>
      <c r="S21" s="216" t="s">
        <v>207</v>
      </c>
      <c r="T21" s="216"/>
      <c r="U21" s="216" t="s">
        <v>211</v>
      </c>
      <c r="V21" s="216"/>
      <c r="W21" s="132"/>
      <c r="X21" s="132"/>
      <c r="Y21" s="132"/>
      <c r="AC21" s="132"/>
      <c r="AD21" s="132"/>
      <c r="AE21" s="132"/>
    </row>
    <row r="22" spans="1:31" x14ac:dyDescent="0.3">
      <c r="A22" s="211" t="s">
        <v>40</v>
      </c>
      <c r="B22" s="211"/>
      <c r="C22" s="211"/>
      <c r="D22" s="211"/>
      <c r="E22" s="211"/>
      <c r="J22" s="71" t="str">
        <f>'1.Ivan'!J22</f>
        <v/>
      </c>
      <c r="K22" s="212" t="s">
        <v>40</v>
      </c>
      <c r="L22" s="212"/>
      <c r="M22" s="212"/>
      <c r="N22" s="212"/>
      <c r="O22" s="212"/>
      <c r="Q22" s="215" t="s">
        <v>25</v>
      </c>
      <c r="R22" s="215"/>
      <c r="S22" s="217" t="s">
        <v>238</v>
      </c>
      <c r="T22" s="217"/>
      <c r="U22" s="217" t="s">
        <v>84</v>
      </c>
      <c r="V22" s="217"/>
      <c r="W22" s="132"/>
      <c r="X22" s="132"/>
      <c r="Y22" s="132"/>
      <c r="AC22" s="132"/>
      <c r="AD22" s="132"/>
      <c r="AE22" s="132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1</v>
      </c>
      <c r="E23" s="13" t="str">
        <f>O23</f>
        <v>Los Angeles FC</v>
      </c>
      <c r="H23" s="2">
        <v>10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4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 x14ac:dyDescent="0.3">
      <c r="A29" s="211" t="s">
        <v>39</v>
      </c>
      <c r="B29" s="211"/>
      <c r="C29" s="211"/>
      <c r="D29" s="211"/>
      <c r="E29" s="211"/>
      <c r="K29" s="212" t="s">
        <v>39</v>
      </c>
      <c r="L29" s="212"/>
      <c r="M29" s="212"/>
      <c r="N29" s="212"/>
      <c r="O29" s="212"/>
      <c r="W29" s="132"/>
      <c r="X29" s="132"/>
      <c r="Y29" s="132"/>
      <c r="AC29" s="132"/>
      <c r="AD29" s="132"/>
      <c r="AE29" s="132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1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3</v>
      </c>
      <c r="C34" s="2" t="s">
        <v>33</v>
      </c>
      <c r="D34" s="2">
        <v>1</v>
      </c>
      <c r="E34" s="13" t="str">
        <f t="shared" si="9"/>
        <v>River Plate</v>
      </c>
      <c r="H34" s="2">
        <v>10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2</v>
      </c>
      <c r="C35" s="2" t="s">
        <v>33</v>
      </c>
      <c r="D35" s="2">
        <v>1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1" t="s">
        <v>38</v>
      </c>
      <c r="B36" s="211"/>
      <c r="C36" s="211"/>
      <c r="D36" s="211"/>
      <c r="E36" s="211"/>
      <c r="J36" s="71" t="str">
        <f>'1.Ivan'!J36</f>
        <v/>
      </c>
      <c r="K36" s="212" t="s">
        <v>38</v>
      </c>
      <c r="L36" s="212"/>
      <c r="M36" s="212"/>
      <c r="N36" s="212"/>
      <c r="O36" s="212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25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3</v>
      </c>
      <c r="C40" s="2" t="s">
        <v>33</v>
      </c>
      <c r="D40" s="2">
        <v>1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2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1</v>
      </c>
      <c r="E42" s="13" t="str">
        <f t="shared" si="11"/>
        <v>Ulsan HD</v>
      </c>
      <c r="H42" s="2">
        <v>10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1" t="s">
        <v>37</v>
      </c>
      <c r="B43" s="211"/>
      <c r="C43" s="211"/>
      <c r="D43" s="211"/>
      <c r="E43" s="211"/>
      <c r="J43" s="71" t="str">
        <f>'1.Ivan'!J43</f>
        <v/>
      </c>
      <c r="K43" s="212" t="s">
        <v>37</v>
      </c>
      <c r="L43" s="212"/>
      <c r="M43" s="212"/>
      <c r="N43" s="212"/>
      <c r="O43" s="212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1</v>
      </c>
      <c r="E49" s="13" t="str">
        <f t="shared" si="13"/>
        <v>Al-Ain</v>
      </c>
      <c r="H49" s="2">
        <v>10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1" t="s">
        <v>36</v>
      </c>
      <c r="B50" s="211"/>
      <c r="C50" s="211"/>
      <c r="D50" s="211"/>
      <c r="E50" s="211"/>
      <c r="J50" s="71" t="str">
        <f>'1.Ivan'!J50</f>
        <v/>
      </c>
      <c r="K50" s="212" t="s">
        <v>36</v>
      </c>
      <c r="L50" s="212"/>
      <c r="M50" s="212"/>
      <c r="N50" s="212"/>
      <c r="O50" s="212"/>
    </row>
    <row r="51" spans="1:15" x14ac:dyDescent="0.3">
      <c r="A51" s="12" t="str">
        <f>K51</f>
        <v>Real Madrid</v>
      </c>
      <c r="B51" s="2">
        <v>4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2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3</v>
      </c>
      <c r="E55" s="13" t="str">
        <f t="shared" si="15"/>
        <v>Real Madrid</v>
      </c>
      <c r="H55" s="2">
        <v>25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8" t="str">
        <f>_xlfn.CONCAT(W2,A57)</f>
        <v>Manoel - Oitavas de Final</v>
      </c>
      <c r="B58" s="208"/>
      <c r="C58" s="208"/>
      <c r="D58" s="208"/>
      <c r="E58" s="208"/>
      <c r="K58" s="209" t="s">
        <v>126</v>
      </c>
      <c r="L58" s="209"/>
      <c r="M58" s="209"/>
      <c r="N58" s="209"/>
      <c r="O58" s="209"/>
    </row>
    <row r="59" spans="1:15" x14ac:dyDescent="0.3">
      <c r="A59" s="53" t="str">
        <f>K59</f>
        <v>Palmeiras</v>
      </c>
      <c r="B59" s="54">
        <v>2</v>
      </c>
      <c r="C59" s="54" t="s">
        <v>33</v>
      </c>
      <c r="D59" s="54">
        <v>1</v>
      </c>
      <c r="E59" s="55" t="str">
        <f>O59</f>
        <v>Botafogo</v>
      </c>
      <c r="H59" s="2">
        <v>10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2</v>
      </c>
      <c r="C60" s="54" t="s">
        <v>33</v>
      </c>
      <c r="D60" s="54">
        <v>1</v>
      </c>
      <c r="E60" s="55" t="str">
        <f t="shared" ref="E60:E66" si="17">O60</f>
        <v>Chelsea</v>
      </c>
      <c r="H60" s="2">
        <v>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3</v>
      </c>
      <c r="C61" s="54" t="s">
        <v>33</v>
      </c>
      <c r="D61" s="54">
        <v>1</v>
      </c>
      <c r="E61" s="55" t="str">
        <f t="shared" si="17"/>
        <v>Fluminense</v>
      </c>
      <c r="H61" s="2">
        <v>0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3</v>
      </c>
      <c r="C62" s="54" t="s">
        <v>33</v>
      </c>
      <c r="D62" s="54">
        <v>2</v>
      </c>
      <c r="E62" s="55" t="str">
        <f t="shared" si="17"/>
        <v>Al-Hilal</v>
      </c>
      <c r="H62" s="2">
        <v>5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3</v>
      </c>
      <c r="C63" s="54" t="s">
        <v>33</v>
      </c>
      <c r="D63" s="54">
        <v>1</v>
      </c>
      <c r="E63" s="55" t="str">
        <f t="shared" si="17"/>
        <v>Inter Miami</v>
      </c>
      <c r="H63" s="2">
        <v>10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1</v>
      </c>
      <c r="E64" s="55" t="str">
        <f t="shared" si="17"/>
        <v>Bayer de Munique</v>
      </c>
      <c r="H64" s="2">
        <v>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1</v>
      </c>
      <c r="C65" s="54" t="s">
        <v>33</v>
      </c>
      <c r="D65" s="54">
        <v>0</v>
      </c>
      <c r="E65" s="55" t="str">
        <f t="shared" si="17"/>
        <v>Monterrey</v>
      </c>
      <c r="H65" s="2">
        <v>10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2</v>
      </c>
      <c r="C66" s="54" t="s">
        <v>33</v>
      </c>
      <c r="D66" s="54">
        <v>1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8" t="str">
        <f>_xlfn.CONCAT(W2,A67)</f>
        <v>Manoel - Quartas de Final</v>
      </c>
      <c r="B68" s="208"/>
      <c r="C68" s="208"/>
      <c r="D68" s="208"/>
      <c r="E68" s="208"/>
      <c r="J68" s="71" t="str">
        <f>'1.Ivan'!J68</f>
        <v/>
      </c>
      <c r="K68" s="209" t="s">
        <v>95</v>
      </c>
      <c r="L68" s="209"/>
      <c r="M68" s="209"/>
      <c r="N68" s="209"/>
      <c r="O68" s="209"/>
    </row>
    <row r="69" spans="1:15" x14ac:dyDescent="0.3">
      <c r="A69" s="53" t="str">
        <f>K69</f>
        <v>Palmeiras</v>
      </c>
      <c r="B69" s="54"/>
      <c r="C69" s="54" t="s">
        <v>33</v>
      </c>
      <c r="D69" s="54"/>
      <c r="E69" s="55" t="str">
        <f>O69</f>
        <v>Chelsea</v>
      </c>
      <c r="J69" s="71" t="str">
        <f>'1.Ivan'!J69</f>
        <v>N</v>
      </c>
      <c r="K69" s="2" t="str">
        <f>IF(Tabela!A42="","",Tabela!A42)</f>
        <v>Palmeiras</v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/>
      <c r="C70" s="54" t="s">
        <v>33</v>
      </c>
      <c r="D70" s="54"/>
      <c r="E70" s="55" t="str">
        <f t="shared" ref="E70:E72" si="19">O70</f>
        <v>Al-Hilal</v>
      </c>
      <c r="J70" s="71" t="str">
        <f>'1.Ivan'!J70</f>
        <v>N</v>
      </c>
      <c r="K70" s="2" t="str">
        <f>IF(Tabela!A43="","",Tabela!A43)</f>
        <v>Fluminense</v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/>
      <c r="C71" s="54" t="s">
        <v>33</v>
      </c>
      <c r="D71" s="54"/>
      <c r="E71" s="55" t="str">
        <f t="shared" si="19"/>
        <v>Bayern de Munique</v>
      </c>
      <c r="J71" s="71" t="str">
        <f>'1.Ivan'!J71</f>
        <v>N</v>
      </c>
      <c r="K71" s="2" t="str">
        <f>IF(Tabela!A44="","",Tabela!A44)</f>
        <v>PSG</v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>Bayern de Munique</v>
      </c>
    </row>
    <row r="72" spans="1:15" x14ac:dyDescent="0.3">
      <c r="A72" s="53" t="str">
        <f t="shared" si="18"/>
        <v>Borussia Dortmund</v>
      </c>
      <c r="B72" s="54"/>
      <c r="C72" s="54" t="s">
        <v>33</v>
      </c>
      <c r="D72" s="54"/>
      <c r="E72" s="55" t="str">
        <f t="shared" si="19"/>
        <v>Real Madrid</v>
      </c>
      <c r="J72" s="71" t="str">
        <f>'1.Ivan'!J72</f>
        <v>N</v>
      </c>
      <c r="K72" s="2" t="str">
        <f>IF(Tabela!A45="","",Tabela!A45)</f>
        <v>Borussia Dortmund</v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>Real Madrid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8" t="str">
        <f>_xlfn.CONCAT(W$2,A73)</f>
        <v>Manoel - Semi Final</v>
      </c>
      <c r="B74" s="208"/>
      <c r="C74" s="208"/>
      <c r="D74" s="208"/>
      <c r="E74" s="208"/>
      <c r="J74" s="71" t="str">
        <f>'1.Ivan'!J74</f>
        <v/>
      </c>
      <c r="K74" s="209" t="s">
        <v>96</v>
      </c>
      <c r="L74" s="209"/>
      <c r="M74" s="209"/>
      <c r="N74" s="209"/>
      <c r="O74" s="209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8" t="str">
        <f>_xlfn.CONCAT(W$2,A77)</f>
        <v>Manoel - Final</v>
      </c>
      <c r="B78" s="208"/>
      <c r="C78" s="208"/>
      <c r="D78" s="208"/>
      <c r="E78" s="208"/>
      <c r="J78" s="71" t="str">
        <f>'1.Ivan'!J78</f>
        <v/>
      </c>
      <c r="K78" s="209" t="s">
        <v>98</v>
      </c>
      <c r="L78" s="209"/>
      <c r="M78" s="209"/>
      <c r="N78" s="209"/>
      <c r="O78" s="209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E253CE-5EB9-419D-A641-59584A154D95}">
  <sheetPr codeName="Planilha10">
    <tabColor rgb="FF0070C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8" t="s">
        <v>35</v>
      </c>
      <c r="B1" s="218"/>
      <c r="C1" s="218"/>
      <c r="D1" s="218"/>
      <c r="E1" s="218"/>
      <c r="K1" s="212" t="s">
        <v>35</v>
      </c>
      <c r="L1" s="212"/>
      <c r="M1" s="212"/>
      <c r="N1" s="212"/>
      <c r="O1" s="212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0" t="s">
        <v>234</v>
      </c>
      <c r="X2" s="210"/>
      <c r="Y2" s="210"/>
      <c r="Z2" s="210"/>
      <c r="AA2" s="210"/>
      <c r="AB2" s="210"/>
      <c r="AC2" s="210"/>
      <c r="AD2" s="210"/>
      <c r="AE2" s="210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0"/>
      <c r="X3" s="210"/>
      <c r="Y3" s="210"/>
      <c r="Z3" s="210"/>
      <c r="AA3" s="210"/>
      <c r="AB3" s="210"/>
      <c r="AC3" s="210"/>
      <c r="AD3" s="210"/>
      <c r="AE3" s="210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0"/>
      <c r="X4" s="210"/>
      <c r="Y4" s="210"/>
      <c r="Z4" s="210"/>
      <c r="AA4" s="210"/>
      <c r="AB4" s="210"/>
      <c r="AC4" s="210"/>
      <c r="AD4" s="210"/>
      <c r="AE4" s="210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0"/>
      <c r="X5" s="210"/>
      <c r="Y5" s="210"/>
      <c r="Z5" s="210"/>
      <c r="AA5" s="210"/>
      <c r="AB5" s="210"/>
      <c r="AC5" s="210"/>
      <c r="AD5" s="210"/>
      <c r="AE5" s="210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0"/>
      <c r="X6" s="210"/>
      <c r="Y6" s="210"/>
      <c r="Z6" s="210"/>
      <c r="AA6" s="210"/>
      <c r="AB6" s="210"/>
      <c r="AC6" s="210"/>
      <c r="AD6" s="210"/>
      <c r="AE6" s="210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8" t="s">
        <v>42</v>
      </c>
      <c r="B8" s="218"/>
      <c r="C8" s="218"/>
      <c r="D8" s="218"/>
      <c r="E8" s="218"/>
      <c r="J8" s="71" t="str">
        <f>'1.Ivan'!J8</f>
        <v/>
      </c>
      <c r="K8" s="212" t="s">
        <v>42</v>
      </c>
      <c r="L8" s="212"/>
      <c r="M8" s="212"/>
      <c r="N8" s="212"/>
      <c r="O8" s="212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4" t="s">
        <v>43</v>
      </c>
      <c r="R9" s="214"/>
      <c r="S9" s="214"/>
      <c r="T9" s="214"/>
      <c r="U9" s="214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4"/>
      <c r="R10" s="214"/>
      <c r="S10" s="214"/>
      <c r="T10" s="214"/>
      <c r="U10" s="214"/>
      <c r="W10" s="132" t="s">
        <v>191</v>
      </c>
      <c r="X10" s="132"/>
      <c r="Y10" s="132"/>
      <c r="Z10" s="2">
        <v>2</v>
      </c>
      <c r="AB10" s="2">
        <v>1</v>
      </c>
      <c r="AC10" s="132" t="s">
        <v>193</v>
      </c>
      <c r="AD10" s="132"/>
      <c r="AE10" s="132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3">
        <f>SUM(H2:H82)</f>
        <v>520</v>
      </c>
      <c r="R11" s="213"/>
      <c r="S11" s="213"/>
      <c r="T11" s="213"/>
      <c r="U11" s="213"/>
      <c r="W11" s="132" t="s">
        <v>202</v>
      </c>
      <c r="X11" s="132"/>
      <c r="Y11" s="132"/>
      <c r="Z11" s="2">
        <v>2</v>
      </c>
      <c r="AB11" s="2">
        <v>1</v>
      </c>
      <c r="AC11" s="132" t="s">
        <v>200</v>
      </c>
      <c r="AD11" s="132"/>
      <c r="AE11" s="132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3"/>
      <c r="R12" s="213"/>
      <c r="S12" s="213"/>
      <c r="T12" s="213"/>
      <c r="U12" s="213"/>
      <c r="W12" s="132" t="s">
        <v>208</v>
      </c>
      <c r="X12" s="132"/>
      <c r="Y12" s="132"/>
      <c r="Z12" s="2">
        <v>1</v>
      </c>
      <c r="AB12" s="2">
        <v>2</v>
      </c>
      <c r="AC12" s="132" t="s">
        <v>209</v>
      </c>
      <c r="AD12" s="132"/>
      <c r="AE12" s="132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H13" s="2">
        <v>10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3"/>
      <c r="R13" s="213"/>
      <c r="S13" s="213"/>
      <c r="T13" s="213"/>
      <c r="U13" s="213"/>
      <c r="W13" s="132" t="s">
        <v>213</v>
      </c>
      <c r="X13" s="132"/>
      <c r="Y13" s="132"/>
      <c r="Z13" s="2">
        <v>1</v>
      </c>
      <c r="AB13" s="2">
        <v>2</v>
      </c>
      <c r="AC13" s="132" t="s">
        <v>214</v>
      </c>
      <c r="AD13" s="132"/>
      <c r="AE13" s="132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H14" s="2">
        <v>15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3"/>
      <c r="R14" s="213"/>
      <c r="S14" s="213"/>
      <c r="T14" s="213"/>
      <c r="U14" s="213"/>
      <c r="W14" s="132" t="s">
        <v>211</v>
      </c>
      <c r="X14" s="132"/>
      <c r="Y14" s="132"/>
      <c r="Z14" s="2">
        <v>3</v>
      </c>
      <c r="AB14" s="2">
        <v>1</v>
      </c>
      <c r="AC14" s="132" t="s">
        <v>213</v>
      </c>
      <c r="AD14" s="132"/>
      <c r="AE14" s="132"/>
      <c r="BD14" s="1">
        <v>5</v>
      </c>
    </row>
    <row r="15" spans="1:56" x14ac:dyDescent="0.3">
      <c r="A15" s="218" t="s">
        <v>41</v>
      </c>
      <c r="B15" s="218"/>
      <c r="C15" s="218"/>
      <c r="D15" s="218"/>
      <c r="E15" s="218"/>
      <c r="K15" s="212" t="s">
        <v>41</v>
      </c>
      <c r="L15" s="212"/>
      <c r="M15" s="212"/>
      <c r="N15" s="212"/>
      <c r="O15" s="212"/>
      <c r="Q15" s="213"/>
      <c r="R15" s="213"/>
      <c r="S15" s="213"/>
      <c r="T15" s="213"/>
      <c r="U15" s="213"/>
      <c r="W15" s="132"/>
      <c r="X15" s="132"/>
      <c r="Y15" s="132"/>
      <c r="AC15" s="132"/>
      <c r="AD15" s="132"/>
      <c r="AE15" s="132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/>
      <c r="X16" s="132"/>
      <c r="Y16" s="132"/>
      <c r="AC16" s="132"/>
      <c r="AD16" s="132"/>
      <c r="AE16" s="132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/>
      <c r="X17" s="132"/>
      <c r="Y17" s="132"/>
      <c r="AC17" s="132"/>
      <c r="AD17" s="132"/>
      <c r="AE17" s="132"/>
    </row>
    <row r="18" spans="1:31" x14ac:dyDescent="0.3">
      <c r="A18" s="12" t="str">
        <f t="shared" si="4"/>
        <v>Benfica</v>
      </c>
      <c r="B18" s="2">
        <v>3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1</v>
      </c>
      <c r="E19" s="13" t="str">
        <f t="shared" si="5"/>
        <v>Boca Juniors</v>
      </c>
      <c r="H19" s="2">
        <v>25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5</v>
      </c>
      <c r="R19" s="18">
        <v>11</v>
      </c>
      <c r="S19" s="18">
        <v>16</v>
      </c>
      <c r="T19" s="18">
        <v>14</v>
      </c>
      <c r="U19" s="18">
        <v>10</v>
      </c>
      <c r="W19" s="132"/>
      <c r="X19" s="132"/>
      <c r="Y19" s="132"/>
      <c r="AC19" s="132"/>
      <c r="AD19" s="132"/>
      <c r="AE19" s="132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2</v>
      </c>
      <c r="E20" s="13" t="str">
        <f t="shared" si="5"/>
        <v>Bayern de Munique</v>
      </c>
      <c r="H20" s="2">
        <v>0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2</v>
      </c>
      <c r="E21" s="13" t="str">
        <f t="shared" si="5"/>
        <v>Boca Juniors</v>
      </c>
      <c r="H21" s="2">
        <v>0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5" t="s">
        <v>26</v>
      </c>
      <c r="R21" s="215"/>
      <c r="S21" s="216" t="s">
        <v>211</v>
      </c>
      <c r="T21" s="216"/>
      <c r="U21" s="216" t="s">
        <v>187</v>
      </c>
      <c r="V21" s="216"/>
      <c r="W21" s="132"/>
      <c r="X21" s="132"/>
      <c r="Y21" s="132"/>
      <c r="AC21" s="132"/>
      <c r="AD21" s="132"/>
      <c r="AE21" s="132"/>
    </row>
    <row r="22" spans="1:31" x14ac:dyDescent="0.3">
      <c r="A22" s="218" t="s">
        <v>40</v>
      </c>
      <c r="B22" s="218"/>
      <c r="C22" s="218"/>
      <c r="D22" s="218"/>
      <c r="E22" s="218"/>
      <c r="J22" s="71" t="str">
        <f>'1.Ivan'!J22</f>
        <v/>
      </c>
      <c r="K22" s="212" t="s">
        <v>40</v>
      </c>
      <c r="L22" s="212"/>
      <c r="M22" s="212"/>
      <c r="N22" s="212"/>
      <c r="O22" s="212"/>
      <c r="Q22" s="215" t="s">
        <v>25</v>
      </c>
      <c r="R22" s="215"/>
      <c r="S22" s="217" t="s">
        <v>84</v>
      </c>
      <c r="T22" s="217"/>
      <c r="U22" s="217" t="s">
        <v>238</v>
      </c>
      <c r="V22" s="217"/>
      <c r="W22" s="132"/>
      <c r="X22" s="132"/>
      <c r="Y22" s="132"/>
      <c r="AC22" s="132"/>
      <c r="AD22" s="132"/>
      <c r="AE22" s="132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 x14ac:dyDescent="0.3">
      <c r="A24" s="12" t="str">
        <f t="shared" ref="A24:A28" si="6">K24</f>
        <v>Flamengo</v>
      </c>
      <c r="B24" s="2">
        <v>3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H25" s="2">
        <v>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1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 x14ac:dyDescent="0.3">
      <c r="A29" s="218" t="s">
        <v>39</v>
      </c>
      <c r="B29" s="218"/>
      <c r="C29" s="218"/>
      <c r="D29" s="218"/>
      <c r="E29" s="218"/>
      <c r="K29" s="212" t="s">
        <v>39</v>
      </c>
      <c r="L29" s="212"/>
      <c r="M29" s="212"/>
      <c r="N29" s="212"/>
      <c r="O29" s="212"/>
      <c r="W29" s="132"/>
      <c r="X29" s="132"/>
      <c r="Y29" s="132"/>
      <c r="AC29" s="132"/>
      <c r="AD29" s="132"/>
      <c r="AE29" s="132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 x14ac:dyDescent="0.3">
      <c r="A31" s="112" t="str">
        <f t="shared" ref="A31:A35" si="8">K31</f>
        <v>Monterrey</v>
      </c>
      <c r="B31" s="113">
        <v>1</v>
      </c>
      <c r="C31" s="113" t="s">
        <v>33</v>
      </c>
      <c r="D31" s="113">
        <v>2</v>
      </c>
      <c r="E31" s="114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8" t="s">
        <v>38</v>
      </c>
      <c r="B36" s="218"/>
      <c r="C36" s="218"/>
      <c r="D36" s="218"/>
      <c r="E36" s="218"/>
      <c r="J36" s="71" t="str">
        <f>'1.Ivan'!J36</f>
        <v/>
      </c>
      <c r="K36" s="212" t="s">
        <v>38</v>
      </c>
      <c r="L36" s="212"/>
      <c r="M36" s="212"/>
      <c r="N36" s="212"/>
      <c r="O36" s="212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1</v>
      </c>
      <c r="E42" s="13" t="str">
        <f t="shared" si="11"/>
        <v>Ulsan HD</v>
      </c>
      <c r="H42" s="2">
        <v>10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8" t="s">
        <v>37</v>
      </c>
      <c r="B43" s="218"/>
      <c r="C43" s="218"/>
      <c r="D43" s="218"/>
      <c r="E43" s="218"/>
      <c r="J43" s="71" t="str">
        <f>'1.Ivan'!J43</f>
        <v/>
      </c>
      <c r="K43" s="212" t="s">
        <v>37</v>
      </c>
      <c r="L43" s="212"/>
      <c r="M43" s="212"/>
      <c r="N43" s="212"/>
      <c r="O43" s="212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H49" s="2">
        <v>25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8" t="s">
        <v>36</v>
      </c>
      <c r="B50" s="218"/>
      <c r="C50" s="218"/>
      <c r="D50" s="218"/>
      <c r="E50" s="218"/>
      <c r="J50" s="71" t="str">
        <f>'1.Ivan'!J50</f>
        <v/>
      </c>
      <c r="K50" s="212" t="s">
        <v>36</v>
      </c>
      <c r="L50" s="212"/>
      <c r="M50" s="212"/>
      <c r="N50" s="212"/>
      <c r="O50" s="212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1</v>
      </c>
      <c r="E53" s="13" t="str">
        <f t="shared" si="15"/>
        <v>Pachuca</v>
      </c>
      <c r="H53" s="2">
        <v>25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0</v>
      </c>
      <c r="E54" s="13" t="str">
        <f t="shared" si="15"/>
        <v>Al-Hilal</v>
      </c>
      <c r="H54" s="2">
        <v>5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H55" s="2">
        <v>10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2</v>
      </c>
      <c r="E56" s="13" t="str">
        <f t="shared" si="15"/>
        <v>Pachuca</v>
      </c>
      <c r="H56" s="2">
        <v>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8" t="str">
        <f>_xlfn.CONCAT(W2,A57)</f>
        <v>Mateus Henrique - Oitavas de Final</v>
      </c>
      <c r="B58" s="208"/>
      <c r="C58" s="208"/>
      <c r="D58" s="208"/>
      <c r="E58" s="208"/>
      <c r="K58" s="209" t="s">
        <v>126</v>
      </c>
      <c r="L58" s="209"/>
      <c r="M58" s="209"/>
      <c r="N58" s="209"/>
      <c r="O58" s="209"/>
    </row>
    <row r="59" spans="1:15" x14ac:dyDescent="0.3">
      <c r="A59" s="53" t="str">
        <f>K59</f>
        <v>Palmeiras</v>
      </c>
      <c r="B59" s="54">
        <v>2</v>
      </c>
      <c r="C59" s="54" t="s">
        <v>33</v>
      </c>
      <c r="D59" s="54">
        <v>1</v>
      </c>
      <c r="E59" s="55" t="str">
        <f>O59</f>
        <v>Botafogo</v>
      </c>
      <c r="H59" s="2">
        <v>10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2</v>
      </c>
      <c r="C60" s="54" t="s">
        <v>33</v>
      </c>
      <c r="D60" s="54">
        <v>1</v>
      </c>
      <c r="E60" s="55" t="str">
        <f t="shared" ref="E60:E66" si="17">O60</f>
        <v>Chelsea</v>
      </c>
      <c r="H60" s="2">
        <v>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0</v>
      </c>
      <c r="C61" s="54" t="s">
        <v>33</v>
      </c>
      <c r="D61" s="54">
        <v>1</v>
      </c>
      <c r="E61" s="55" t="str">
        <f t="shared" si="17"/>
        <v>Fluminense</v>
      </c>
      <c r="H61" s="2">
        <v>15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3</v>
      </c>
      <c r="C62" s="54" t="s">
        <v>33</v>
      </c>
      <c r="D62" s="54">
        <v>1</v>
      </c>
      <c r="E62" s="55" t="str">
        <f t="shared" si="17"/>
        <v>Al-Hilal</v>
      </c>
      <c r="H62" s="2">
        <v>5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3</v>
      </c>
      <c r="C63" s="54" t="s">
        <v>33</v>
      </c>
      <c r="D63" s="54">
        <v>2</v>
      </c>
      <c r="E63" s="55" t="str">
        <f t="shared" si="17"/>
        <v>Inter Miami</v>
      </c>
      <c r="H63" s="2">
        <v>10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3</v>
      </c>
      <c r="E64" s="55" t="str">
        <f t="shared" si="17"/>
        <v>Bayer de Munique</v>
      </c>
      <c r="H64" s="2">
        <v>10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1</v>
      </c>
      <c r="C65" s="54" t="s">
        <v>33</v>
      </c>
      <c r="D65" s="54">
        <v>2</v>
      </c>
      <c r="E65" s="55" t="str">
        <f t="shared" si="17"/>
        <v>Monterrey</v>
      </c>
      <c r="H65" s="2">
        <v>0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3</v>
      </c>
      <c r="C66" s="54" t="s">
        <v>33</v>
      </c>
      <c r="D66" s="54">
        <v>1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8" t="str">
        <f>_xlfn.CONCAT(W2,A67)</f>
        <v>Mateus Henrique - Quartas de Final</v>
      </c>
      <c r="B68" s="208"/>
      <c r="C68" s="208"/>
      <c r="D68" s="208"/>
      <c r="E68" s="208"/>
      <c r="J68" s="71" t="str">
        <f>'1.Ivan'!J68</f>
        <v/>
      </c>
      <c r="K68" s="209" t="s">
        <v>95</v>
      </c>
      <c r="L68" s="209"/>
      <c r="M68" s="209"/>
      <c r="N68" s="209"/>
      <c r="O68" s="209"/>
    </row>
    <row r="69" spans="1:15" x14ac:dyDescent="0.3">
      <c r="A69" s="53" t="str">
        <f>K69</f>
        <v>Palmeiras</v>
      </c>
      <c r="B69" s="54"/>
      <c r="C69" s="54" t="s">
        <v>33</v>
      </c>
      <c r="D69" s="54"/>
      <c r="E69" s="55" t="str">
        <f>O69</f>
        <v>Chelsea</v>
      </c>
      <c r="J69" s="71" t="str">
        <f>'1.Ivan'!J69</f>
        <v>N</v>
      </c>
      <c r="K69" s="2" t="str">
        <f>IF(Tabela!A42="","",Tabela!A42)</f>
        <v>Palmeiras</v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/>
      <c r="C70" s="54" t="s">
        <v>33</v>
      </c>
      <c r="D70" s="54"/>
      <c r="E70" s="55" t="str">
        <f t="shared" ref="E70:E72" si="19">O70</f>
        <v>Al-Hilal</v>
      </c>
      <c r="J70" s="71" t="str">
        <f>'1.Ivan'!J70</f>
        <v>N</v>
      </c>
      <c r="K70" s="2" t="str">
        <f>IF(Tabela!A43="","",Tabela!A43)</f>
        <v>Fluminense</v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/>
      <c r="C71" s="54" t="s">
        <v>33</v>
      </c>
      <c r="D71" s="54"/>
      <c r="E71" s="55" t="str">
        <f t="shared" si="19"/>
        <v>Bayern de Munique</v>
      </c>
      <c r="J71" s="71" t="str">
        <f>'1.Ivan'!J71</f>
        <v>N</v>
      </c>
      <c r="K71" s="2" t="str">
        <f>IF(Tabela!A44="","",Tabela!A44)</f>
        <v>PSG</v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>Bayern de Munique</v>
      </c>
    </row>
    <row r="72" spans="1:15" x14ac:dyDescent="0.3">
      <c r="A72" s="53" t="str">
        <f t="shared" si="18"/>
        <v>Borussia Dortmund</v>
      </c>
      <c r="B72" s="54"/>
      <c r="C72" s="54" t="s">
        <v>33</v>
      </c>
      <c r="D72" s="54"/>
      <c r="E72" s="55" t="str">
        <f t="shared" si="19"/>
        <v>Real Madrid</v>
      </c>
      <c r="J72" s="71" t="str">
        <f>'1.Ivan'!J72</f>
        <v>N</v>
      </c>
      <c r="K72" s="2" t="str">
        <f>IF(Tabela!A45="","",Tabela!A45)</f>
        <v>Borussia Dortmund</v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>Real Madrid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8" t="str">
        <f>_xlfn.CONCAT(W$2,A73)</f>
        <v>Mateus Henrique - Semi Final</v>
      </c>
      <c r="B74" s="208"/>
      <c r="C74" s="208"/>
      <c r="D74" s="208"/>
      <c r="E74" s="208"/>
      <c r="J74" s="71" t="str">
        <f>'1.Ivan'!J74</f>
        <v/>
      </c>
      <c r="K74" s="209" t="s">
        <v>96</v>
      </c>
      <c r="L74" s="209"/>
      <c r="M74" s="209"/>
      <c r="N74" s="209"/>
      <c r="O74" s="209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8" t="str">
        <f>_xlfn.CONCAT(W$2,A77)</f>
        <v>Mateus Henrique - Final</v>
      </c>
      <c r="B78" s="208"/>
      <c r="C78" s="208"/>
      <c r="D78" s="208"/>
      <c r="E78" s="208"/>
      <c r="J78" s="71" t="str">
        <f>'1.Ivan'!J78</f>
        <v/>
      </c>
      <c r="K78" s="209" t="s">
        <v>98</v>
      </c>
      <c r="L78" s="209"/>
      <c r="M78" s="209"/>
      <c r="N78" s="209"/>
      <c r="O78" s="209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0C5D2-599F-4976-A2FE-877B065E7C5B}">
  <sheetPr codeName="Planilha17">
    <tabColor rgb="FF0070C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1" t="s">
        <v>35</v>
      </c>
      <c r="B1" s="211"/>
      <c r="C1" s="211"/>
      <c r="D1" s="211"/>
      <c r="E1" s="211"/>
      <c r="K1" s="212" t="s">
        <v>35</v>
      </c>
      <c r="L1" s="212"/>
      <c r="M1" s="212"/>
      <c r="N1" s="212"/>
      <c r="O1" s="212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0" t="s">
        <v>47</v>
      </c>
      <c r="X2" s="210"/>
      <c r="Y2" s="210"/>
      <c r="Z2" s="210"/>
      <c r="AA2" s="210"/>
      <c r="AB2" s="210"/>
      <c r="AC2" s="210"/>
      <c r="AD2" s="210"/>
      <c r="AE2" s="210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0"/>
      <c r="X3" s="210"/>
      <c r="Y3" s="210"/>
      <c r="Z3" s="210"/>
      <c r="AA3" s="210"/>
      <c r="AB3" s="210"/>
      <c r="AC3" s="210"/>
      <c r="AD3" s="210"/>
      <c r="AE3" s="210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0"/>
      <c r="X4" s="210"/>
      <c r="Y4" s="210"/>
      <c r="Z4" s="210"/>
      <c r="AA4" s="210"/>
      <c r="AB4" s="210"/>
      <c r="AC4" s="210"/>
      <c r="AD4" s="210"/>
      <c r="AE4" s="210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0"/>
      <c r="X5" s="210"/>
      <c r="Y5" s="210"/>
      <c r="Z5" s="210"/>
      <c r="AA5" s="210"/>
      <c r="AB5" s="210"/>
      <c r="AC5" s="210"/>
      <c r="AD5" s="210"/>
      <c r="AE5" s="210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2</v>
      </c>
      <c r="E6" s="13" t="str">
        <f t="shared" si="1"/>
        <v>Palmeiras</v>
      </c>
      <c r="H6" s="2">
        <v>25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0"/>
      <c r="X6" s="210"/>
      <c r="Y6" s="210"/>
      <c r="Z6" s="210"/>
      <c r="AA6" s="210"/>
      <c r="AB6" s="210"/>
      <c r="AC6" s="210"/>
      <c r="AD6" s="210"/>
      <c r="AE6" s="210"/>
    </row>
    <row r="7" spans="1:56" x14ac:dyDescent="0.3">
      <c r="A7" s="12" t="str">
        <f t="shared" si="0"/>
        <v>Porto</v>
      </c>
      <c r="B7" s="2">
        <v>3</v>
      </c>
      <c r="C7" s="2" t="s">
        <v>33</v>
      </c>
      <c r="D7" s="2">
        <v>1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1" t="s">
        <v>42</v>
      </c>
      <c r="B8" s="211"/>
      <c r="C8" s="211"/>
      <c r="D8" s="211"/>
      <c r="E8" s="211"/>
      <c r="J8" s="71" t="str">
        <f>'1.Ivan'!J8</f>
        <v/>
      </c>
      <c r="K8" s="212" t="s">
        <v>42</v>
      </c>
      <c r="L8" s="212"/>
      <c r="M8" s="212"/>
      <c r="N8" s="212"/>
      <c r="O8" s="212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4" t="s">
        <v>43</v>
      </c>
      <c r="R9" s="214"/>
      <c r="S9" s="214"/>
      <c r="T9" s="214"/>
      <c r="U9" s="214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4"/>
      <c r="R10" s="214"/>
      <c r="S10" s="214"/>
      <c r="T10" s="214"/>
      <c r="U10" s="214"/>
      <c r="W10" s="132" t="s">
        <v>184</v>
      </c>
      <c r="X10" s="132"/>
      <c r="Y10" s="132"/>
      <c r="Z10" s="2">
        <v>2</v>
      </c>
      <c r="AB10" s="2">
        <v>2</v>
      </c>
      <c r="AC10" s="132" t="s">
        <v>185</v>
      </c>
      <c r="AD10" s="132"/>
      <c r="AE10" s="132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3">
        <f>SUM(H2:H82)</f>
        <v>510</v>
      </c>
      <c r="R11" s="213"/>
      <c r="S11" s="213"/>
      <c r="T11" s="213"/>
      <c r="U11" s="213"/>
      <c r="W11" s="132" t="s">
        <v>208</v>
      </c>
      <c r="X11" s="132"/>
      <c r="Y11" s="132"/>
      <c r="Z11" s="2">
        <v>1</v>
      </c>
      <c r="AB11" s="2">
        <v>2</v>
      </c>
      <c r="AC11" s="132" t="s">
        <v>209</v>
      </c>
      <c r="AD11" s="132"/>
      <c r="AE11" s="132"/>
    </row>
    <row r="12" spans="1:56" x14ac:dyDescent="0.3">
      <c r="A12" s="12" t="str">
        <f t="shared" si="2"/>
        <v>PSG</v>
      </c>
      <c r="B12" s="2">
        <v>4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3"/>
      <c r="R12" s="213"/>
      <c r="S12" s="213"/>
      <c r="T12" s="213"/>
      <c r="U12" s="213"/>
      <c r="W12" s="132" t="s">
        <v>213</v>
      </c>
      <c r="X12" s="132"/>
      <c r="Y12" s="132"/>
      <c r="Z12" s="2">
        <v>1</v>
      </c>
      <c r="AB12" s="2">
        <v>2</v>
      </c>
      <c r="AC12" s="132" t="s">
        <v>214</v>
      </c>
      <c r="AD12" s="132"/>
      <c r="AE12" s="132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5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3"/>
      <c r="R13" s="213"/>
      <c r="S13" s="213"/>
      <c r="T13" s="213"/>
      <c r="U13" s="213"/>
      <c r="W13" s="132"/>
      <c r="X13" s="132"/>
      <c r="Y13" s="132"/>
      <c r="AC13" s="132"/>
      <c r="AD13" s="132"/>
      <c r="AE13" s="132"/>
    </row>
    <row r="14" spans="1:56" x14ac:dyDescent="0.3">
      <c r="A14" s="12" t="str">
        <f t="shared" si="2"/>
        <v>Atlético de Madrid</v>
      </c>
      <c r="B14" s="2">
        <v>4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3"/>
      <c r="R14" s="213"/>
      <c r="S14" s="213"/>
      <c r="T14" s="213"/>
      <c r="U14" s="213"/>
      <c r="W14" s="132"/>
      <c r="X14" s="132"/>
      <c r="Y14" s="132"/>
      <c r="AC14" s="132"/>
      <c r="AD14" s="132"/>
      <c r="AE14" s="132"/>
      <c r="BD14" s="1">
        <v>5</v>
      </c>
    </row>
    <row r="15" spans="1:56" x14ac:dyDescent="0.3">
      <c r="A15" s="211" t="s">
        <v>41</v>
      </c>
      <c r="B15" s="211"/>
      <c r="C15" s="211"/>
      <c r="D15" s="211"/>
      <c r="E15" s="211"/>
      <c r="K15" s="212" t="s">
        <v>41</v>
      </c>
      <c r="L15" s="212"/>
      <c r="M15" s="212"/>
      <c r="N15" s="212"/>
      <c r="O15" s="212"/>
      <c r="Q15" s="213"/>
      <c r="R15" s="213"/>
      <c r="S15" s="213"/>
      <c r="T15" s="213"/>
      <c r="U15" s="213"/>
      <c r="W15" s="132"/>
      <c r="X15" s="132"/>
      <c r="Y15" s="132"/>
      <c r="AC15" s="132"/>
      <c r="AD15" s="132"/>
      <c r="AE15" s="132"/>
    </row>
    <row r="16" spans="1:56" x14ac:dyDescent="0.3">
      <c r="A16" s="12" t="str">
        <f>K16</f>
        <v>Bayern de Munique</v>
      </c>
      <c r="B16" s="2">
        <v>5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/>
      <c r="X16" s="132"/>
      <c r="Y16" s="132"/>
      <c r="AC16" s="132"/>
      <c r="AD16" s="132"/>
      <c r="AE16" s="132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3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/>
      <c r="X17" s="132"/>
      <c r="Y17" s="132"/>
      <c r="AC17" s="132"/>
      <c r="AD17" s="132"/>
      <c r="AE17" s="132"/>
    </row>
    <row r="18" spans="1:31" x14ac:dyDescent="0.3">
      <c r="A18" s="12" t="str">
        <f t="shared" si="4"/>
        <v>Benfica</v>
      </c>
      <c r="B18" s="2">
        <v>4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 x14ac:dyDescent="0.3">
      <c r="A19" s="12" t="str">
        <f t="shared" si="4"/>
        <v>Bayern de Munique</v>
      </c>
      <c r="B19" s="2">
        <v>4</v>
      </c>
      <c r="C19" s="2" t="s">
        <v>33</v>
      </c>
      <c r="D19" s="2">
        <v>1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3</v>
      </c>
      <c r="R19" s="18">
        <v>17</v>
      </c>
      <c r="S19" s="18">
        <v>15</v>
      </c>
      <c r="T19" s="18">
        <v>6</v>
      </c>
      <c r="U19" s="18">
        <v>15</v>
      </c>
      <c r="W19" s="132"/>
      <c r="X19" s="132"/>
      <c r="Y19" s="132"/>
      <c r="AC19" s="132"/>
      <c r="AD19" s="132"/>
      <c r="AE19" s="132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3</v>
      </c>
      <c r="E20" s="13" t="str">
        <f t="shared" si="5"/>
        <v>Bayern de Munique</v>
      </c>
      <c r="H20" s="2">
        <v>0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5" t="s">
        <v>26</v>
      </c>
      <c r="R21" s="215"/>
      <c r="S21" s="216" t="s">
        <v>211</v>
      </c>
      <c r="T21" s="216"/>
      <c r="U21" s="216" t="s">
        <v>187</v>
      </c>
      <c r="V21" s="216"/>
      <c r="W21" s="132"/>
      <c r="X21" s="132"/>
      <c r="Y21" s="132"/>
      <c r="AC21" s="132"/>
      <c r="AD21" s="132"/>
      <c r="AE21" s="132"/>
    </row>
    <row r="22" spans="1:31" x14ac:dyDescent="0.3">
      <c r="A22" s="211" t="s">
        <v>40</v>
      </c>
      <c r="B22" s="211"/>
      <c r="C22" s="211"/>
      <c r="D22" s="211"/>
      <c r="E22" s="211"/>
      <c r="J22" s="71" t="str">
        <f>'1.Ivan'!J22</f>
        <v/>
      </c>
      <c r="K22" s="212" t="s">
        <v>40</v>
      </c>
      <c r="L22" s="212"/>
      <c r="M22" s="212"/>
      <c r="N22" s="212"/>
      <c r="O22" s="212"/>
      <c r="Q22" s="215" t="s">
        <v>25</v>
      </c>
      <c r="R22" s="215"/>
      <c r="S22" s="217" t="s">
        <v>84</v>
      </c>
      <c r="T22" s="217"/>
      <c r="U22" s="217" t="s">
        <v>238</v>
      </c>
      <c r="V22" s="217"/>
      <c r="W22" s="132"/>
      <c r="X22" s="132"/>
      <c r="Y22" s="132"/>
      <c r="AC22" s="132"/>
      <c r="AD22" s="132"/>
      <c r="AE22" s="132"/>
    </row>
    <row r="23" spans="1:31" x14ac:dyDescent="0.3">
      <c r="A23" s="12" t="str">
        <f>K23</f>
        <v>Chelsea</v>
      </c>
      <c r="B23" s="2">
        <v>4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2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4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 x14ac:dyDescent="0.3">
      <c r="A29" s="211" t="s">
        <v>39</v>
      </c>
      <c r="B29" s="211"/>
      <c r="C29" s="211"/>
      <c r="D29" s="211"/>
      <c r="E29" s="211"/>
      <c r="K29" s="212" t="s">
        <v>39</v>
      </c>
      <c r="L29" s="212"/>
      <c r="M29" s="212"/>
      <c r="N29" s="212"/>
      <c r="O29" s="212"/>
      <c r="W29" s="132"/>
      <c r="X29" s="132"/>
      <c r="Y29" s="132"/>
      <c r="AC29" s="132"/>
      <c r="AD29" s="132"/>
      <c r="AE29" s="132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4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2</v>
      </c>
      <c r="E33" s="13" t="str">
        <f t="shared" si="9"/>
        <v>Monterrey</v>
      </c>
      <c r="H33" s="2">
        <v>10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3</v>
      </c>
      <c r="C34" s="2" t="s">
        <v>33</v>
      </c>
      <c r="D34" s="2">
        <v>1</v>
      </c>
      <c r="E34" s="13" t="str">
        <f t="shared" si="9"/>
        <v>River Plate</v>
      </c>
      <c r="H34" s="2">
        <v>10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2</v>
      </c>
      <c r="E35" s="13" t="str">
        <f t="shared" si="9"/>
        <v>Monterrey</v>
      </c>
      <c r="H35" s="2">
        <v>10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1" t="s">
        <v>38</v>
      </c>
      <c r="B36" s="211"/>
      <c r="C36" s="211"/>
      <c r="D36" s="211"/>
      <c r="E36" s="211"/>
      <c r="J36" s="71" t="str">
        <f>'1.Ivan'!J36</f>
        <v/>
      </c>
      <c r="K36" s="212" t="s">
        <v>38</v>
      </c>
      <c r="L36" s="212"/>
      <c r="M36" s="212"/>
      <c r="N36" s="212"/>
      <c r="O36" s="212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4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6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1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3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5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1" t="s">
        <v>37</v>
      </c>
      <c r="B43" s="211"/>
      <c r="C43" s="211"/>
      <c r="D43" s="211"/>
      <c r="E43" s="211"/>
      <c r="J43" s="71" t="str">
        <f>'1.Ivan'!J43</f>
        <v/>
      </c>
      <c r="K43" s="212" t="s">
        <v>37</v>
      </c>
      <c r="L43" s="212"/>
      <c r="M43" s="212"/>
      <c r="N43" s="212"/>
      <c r="O43" s="212"/>
    </row>
    <row r="44" spans="1:15" x14ac:dyDescent="0.3">
      <c r="A44" s="12" t="str">
        <f>K44</f>
        <v>Manchester City</v>
      </c>
      <c r="B44" s="2">
        <v>5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1</v>
      </c>
      <c r="E46" s="13" t="str">
        <f t="shared" si="13"/>
        <v>Wydad Casablanca</v>
      </c>
      <c r="H46" s="2">
        <v>15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3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H49" s="2">
        <v>25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1" t="s">
        <v>36</v>
      </c>
      <c r="B50" s="211"/>
      <c r="C50" s="211"/>
      <c r="D50" s="211"/>
      <c r="E50" s="211"/>
      <c r="J50" s="71" t="str">
        <f>'1.Ivan'!J50</f>
        <v/>
      </c>
      <c r="K50" s="212" t="s">
        <v>36</v>
      </c>
      <c r="L50" s="212"/>
      <c r="M50" s="212"/>
      <c r="N50" s="212"/>
      <c r="O50" s="212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2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4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12" t="str">
        <f t="shared" si="14"/>
        <v>RB Salzburg</v>
      </c>
      <c r="B54" s="113">
        <v>2</v>
      </c>
      <c r="C54" s="113" t="s">
        <v>33</v>
      </c>
      <c r="D54" s="113">
        <v>2</v>
      </c>
      <c r="E54" s="114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3</v>
      </c>
      <c r="C56" s="2" t="s">
        <v>33</v>
      </c>
      <c r="D56" s="2">
        <v>1</v>
      </c>
      <c r="E56" s="13" t="str">
        <f t="shared" si="15"/>
        <v>Pachuca</v>
      </c>
      <c r="H56" s="2">
        <v>10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8" t="str">
        <f>_xlfn.CONCAT(W2,A57)</f>
        <v>Gabriel - Oitavas de Final</v>
      </c>
      <c r="B58" s="208"/>
      <c r="C58" s="208"/>
      <c r="D58" s="208"/>
      <c r="E58" s="208"/>
      <c r="K58" s="209" t="s">
        <v>126</v>
      </c>
      <c r="L58" s="209"/>
      <c r="M58" s="209"/>
      <c r="N58" s="209"/>
      <c r="O58" s="209"/>
    </row>
    <row r="59" spans="1:15" x14ac:dyDescent="0.3">
      <c r="A59" s="53" t="str">
        <f>K59</f>
        <v>Palmeiras</v>
      </c>
      <c r="B59" s="54">
        <v>1</v>
      </c>
      <c r="C59" s="54" t="s">
        <v>33</v>
      </c>
      <c r="D59" s="54">
        <v>2</v>
      </c>
      <c r="E59" s="55" t="str">
        <f>O59</f>
        <v>Botafogo</v>
      </c>
      <c r="H59" s="2">
        <v>5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2</v>
      </c>
      <c r="C60" s="54" t="s">
        <v>33</v>
      </c>
      <c r="D60" s="54">
        <v>2</v>
      </c>
      <c r="E60" s="55" t="str">
        <f t="shared" ref="E60:E66" si="17">O60</f>
        <v>Chelsea</v>
      </c>
      <c r="H60" s="2">
        <v>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2</v>
      </c>
      <c r="C61" s="54" t="s">
        <v>33</v>
      </c>
      <c r="D61" s="54">
        <v>1</v>
      </c>
      <c r="E61" s="55" t="str">
        <f t="shared" si="17"/>
        <v>Fluminense</v>
      </c>
      <c r="H61" s="2">
        <v>0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4</v>
      </c>
      <c r="C62" s="54" t="s">
        <v>33</v>
      </c>
      <c r="D62" s="54">
        <v>2</v>
      </c>
      <c r="E62" s="55" t="str">
        <f t="shared" si="17"/>
        <v>Al-Hilal</v>
      </c>
      <c r="H62" s="2">
        <v>0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3</v>
      </c>
      <c r="C63" s="54" t="s">
        <v>33</v>
      </c>
      <c r="D63" s="54">
        <v>0</v>
      </c>
      <c r="E63" s="55" t="str">
        <f t="shared" si="17"/>
        <v>Inter Miami</v>
      </c>
      <c r="H63" s="2">
        <v>15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2</v>
      </c>
      <c r="E64" s="55" t="str">
        <f t="shared" si="17"/>
        <v>Bayer de Munique</v>
      </c>
      <c r="H64" s="2">
        <v>10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1</v>
      </c>
      <c r="C65" s="54" t="s">
        <v>33</v>
      </c>
      <c r="D65" s="54">
        <v>1</v>
      </c>
      <c r="E65" s="55" t="str">
        <f t="shared" si="17"/>
        <v>Monterrey</v>
      </c>
      <c r="H65" s="2">
        <v>5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2</v>
      </c>
      <c r="C66" s="54" t="s">
        <v>33</v>
      </c>
      <c r="D66" s="54">
        <v>1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8" t="str">
        <f>_xlfn.CONCAT(W2,A67)</f>
        <v>Gabriel - Quartas de Final</v>
      </c>
      <c r="B68" s="208"/>
      <c r="C68" s="208"/>
      <c r="D68" s="208"/>
      <c r="E68" s="208"/>
      <c r="J68" s="71" t="str">
        <f>'1.Ivan'!J68</f>
        <v/>
      </c>
      <c r="K68" s="209" t="s">
        <v>95</v>
      </c>
      <c r="L68" s="209"/>
      <c r="M68" s="209"/>
      <c r="N68" s="209"/>
      <c r="O68" s="209"/>
    </row>
    <row r="69" spans="1:15" x14ac:dyDescent="0.3">
      <c r="A69" s="53" t="str">
        <f>K69</f>
        <v>Palmeiras</v>
      </c>
      <c r="B69" s="54"/>
      <c r="C69" s="54" t="s">
        <v>33</v>
      </c>
      <c r="D69" s="54"/>
      <c r="E69" s="55" t="str">
        <f>O69</f>
        <v>Chelsea</v>
      </c>
      <c r="J69" s="71" t="str">
        <f>'1.Ivan'!J69</f>
        <v>N</v>
      </c>
      <c r="K69" s="2" t="str">
        <f>IF(Tabela!A42="","",Tabela!A42)</f>
        <v>Palmeiras</v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/>
      <c r="C70" s="54" t="s">
        <v>33</v>
      </c>
      <c r="D70" s="54"/>
      <c r="E70" s="55" t="str">
        <f t="shared" ref="E70:E72" si="19">O70</f>
        <v>Al-Hilal</v>
      </c>
      <c r="J70" s="71" t="str">
        <f>'1.Ivan'!J70</f>
        <v>N</v>
      </c>
      <c r="K70" s="2" t="str">
        <f>IF(Tabela!A43="","",Tabela!A43)</f>
        <v>Fluminense</v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/>
      <c r="C71" s="54" t="s">
        <v>33</v>
      </c>
      <c r="D71" s="54"/>
      <c r="E71" s="55" t="str">
        <f t="shared" si="19"/>
        <v>Bayern de Munique</v>
      </c>
      <c r="J71" s="71" t="str">
        <f>'1.Ivan'!J71</f>
        <v>N</v>
      </c>
      <c r="K71" s="2" t="str">
        <f>IF(Tabela!A44="","",Tabela!A44)</f>
        <v>PSG</v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>Bayern de Munique</v>
      </c>
    </row>
    <row r="72" spans="1:15" x14ac:dyDescent="0.3">
      <c r="A72" s="53" t="str">
        <f t="shared" si="18"/>
        <v>Borussia Dortmund</v>
      </c>
      <c r="B72" s="54"/>
      <c r="C72" s="54" t="s">
        <v>33</v>
      </c>
      <c r="D72" s="54"/>
      <c r="E72" s="55" t="str">
        <f t="shared" si="19"/>
        <v>Real Madrid</v>
      </c>
      <c r="J72" s="71" t="str">
        <f>'1.Ivan'!J72</f>
        <v>N</v>
      </c>
      <c r="K72" s="2" t="str">
        <f>IF(Tabela!A45="","",Tabela!A45)</f>
        <v>Borussia Dortmund</v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>Real Madrid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8" t="str">
        <f>_xlfn.CONCAT(W$2,A73)</f>
        <v>Gabriel - Semi Final</v>
      </c>
      <c r="B74" s="208"/>
      <c r="C74" s="208"/>
      <c r="D74" s="208"/>
      <c r="E74" s="208"/>
      <c r="J74" s="71" t="str">
        <f>'1.Ivan'!J74</f>
        <v/>
      </c>
      <c r="K74" s="209" t="s">
        <v>96</v>
      </c>
      <c r="L74" s="209"/>
      <c r="M74" s="209"/>
      <c r="N74" s="209"/>
      <c r="O74" s="209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8" t="str">
        <f>_xlfn.CONCAT(W$2,A77)</f>
        <v>Gabriel - Final</v>
      </c>
      <c r="B78" s="208"/>
      <c r="C78" s="208"/>
      <c r="D78" s="208"/>
      <c r="E78" s="208"/>
      <c r="J78" s="71" t="str">
        <f>'1.Ivan'!J78</f>
        <v/>
      </c>
      <c r="K78" s="209" t="s">
        <v>98</v>
      </c>
      <c r="L78" s="209"/>
      <c r="M78" s="209"/>
      <c r="N78" s="209"/>
      <c r="O78" s="209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FBA80-5008-4B7A-9F55-BC6A9A3FF287}">
  <sheetPr codeName="Planilha19">
    <tabColor rgb="FF0070C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8" t="s">
        <v>35</v>
      </c>
      <c r="B1" s="218"/>
      <c r="C1" s="218"/>
      <c r="D1" s="218"/>
      <c r="E1" s="218"/>
      <c r="K1" s="212" t="s">
        <v>35</v>
      </c>
      <c r="L1" s="212"/>
      <c r="M1" s="212"/>
      <c r="N1" s="212"/>
      <c r="O1" s="212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3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0" t="s">
        <v>229</v>
      </c>
      <c r="X2" s="210"/>
      <c r="Y2" s="210"/>
      <c r="Z2" s="210"/>
      <c r="AA2" s="210"/>
      <c r="AB2" s="210"/>
      <c r="AC2" s="210"/>
      <c r="AD2" s="210"/>
      <c r="AE2" s="210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3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0"/>
      <c r="X3" s="210"/>
      <c r="Y3" s="210"/>
      <c r="Z3" s="210"/>
      <c r="AA3" s="210"/>
      <c r="AB3" s="210"/>
      <c r="AC3" s="210"/>
      <c r="AD3" s="210"/>
      <c r="AE3" s="210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H4" s="2">
        <v>25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0"/>
      <c r="X4" s="210"/>
      <c r="Y4" s="210"/>
      <c r="Z4" s="210"/>
      <c r="AA4" s="210"/>
      <c r="AB4" s="210"/>
      <c r="AC4" s="210"/>
      <c r="AD4" s="210"/>
      <c r="AE4" s="210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0"/>
      <c r="X5" s="210"/>
      <c r="Y5" s="210"/>
      <c r="Z5" s="210"/>
      <c r="AA5" s="210"/>
      <c r="AB5" s="210"/>
      <c r="AC5" s="210"/>
      <c r="AD5" s="210"/>
      <c r="AE5" s="210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3</v>
      </c>
      <c r="E6" s="13" t="str">
        <f t="shared" si="1"/>
        <v>Palmeiras</v>
      </c>
      <c r="H6" s="2">
        <v>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0"/>
      <c r="X6" s="210"/>
      <c r="Y6" s="210"/>
      <c r="Z6" s="210"/>
      <c r="AA6" s="210"/>
      <c r="AB6" s="210"/>
      <c r="AC6" s="210"/>
      <c r="AD6" s="210"/>
      <c r="AE6" s="210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8" t="s">
        <v>42</v>
      </c>
      <c r="B8" s="218"/>
      <c r="C8" s="218"/>
      <c r="D8" s="218"/>
      <c r="E8" s="218"/>
      <c r="J8" s="71" t="str">
        <f>'1.Ivan'!J8</f>
        <v/>
      </c>
      <c r="K8" s="212" t="s">
        <v>42</v>
      </c>
      <c r="L8" s="212"/>
      <c r="M8" s="212"/>
      <c r="N8" s="212"/>
      <c r="O8" s="212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4" t="s">
        <v>43</v>
      </c>
      <c r="R9" s="214"/>
      <c r="S9" s="214"/>
      <c r="T9" s="214"/>
      <c r="U9" s="214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 x14ac:dyDescent="0.3">
      <c r="A10" s="12" t="str">
        <f t="shared" ref="A10:A14" si="2">K10</f>
        <v>Botafogo</v>
      </c>
      <c r="B10" s="2">
        <v>3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4"/>
      <c r="R10" s="214"/>
      <c r="S10" s="214"/>
      <c r="T10" s="214"/>
      <c r="U10" s="214"/>
      <c r="W10" s="132" t="s">
        <v>185</v>
      </c>
      <c r="X10" s="132"/>
      <c r="Y10" s="132"/>
      <c r="Z10" s="2">
        <v>2</v>
      </c>
      <c r="AB10" s="2">
        <v>0</v>
      </c>
      <c r="AC10" s="132" t="s">
        <v>183</v>
      </c>
      <c r="AD10" s="132"/>
      <c r="AE10" s="132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4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3">
        <f>SUM(H2:H82)</f>
        <v>495</v>
      </c>
      <c r="R11" s="213"/>
      <c r="S11" s="213"/>
      <c r="T11" s="213"/>
      <c r="U11" s="213"/>
      <c r="W11" s="132" t="s">
        <v>192</v>
      </c>
      <c r="X11" s="132"/>
      <c r="Y11" s="132"/>
      <c r="Z11" s="2">
        <v>1</v>
      </c>
      <c r="AB11" s="2">
        <v>1</v>
      </c>
      <c r="AC11" s="132" t="s">
        <v>193</v>
      </c>
      <c r="AD11" s="132"/>
      <c r="AE11" s="132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1</v>
      </c>
      <c r="E12" s="13" t="str">
        <f t="shared" si="3"/>
        <v>Botafogo</v>
      </c>
      <c r="H12" s="2">
        <v>5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3"/>
      <c r="R12" s="213"/>
      <c r="S12" s="213"/>
      <c r="T12" s="213"/>
      <c r="U12" s="213"/>
      <c r="W12" s="132" t="s">
        <v>204</v>
      </c>
      <c r="X12" s="132"/>
      <c r="Y12" s="132"/>
      <c r="Z12" s="2">
        <v>1</v>
      </c>
      <c r="AB12" s="2">
        <v>0</v>
      </c>
      <c r="AC12" s="132" t="s">
        <v>205</v>
      </c>
      <c r="AD12" s="132"/>
      <c r="AE12" s="132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3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3"/>
      <c r="R13" s="213"/>
      <c r="S13" s="213"/>
      <c r="T13" s="213"/>
      <c r="U13" s="213"/>
      <c r="W13" s="132" t="s">
        <v>213</v>
      </c>
      <c r="X13" s="132"/>
      <c r="Y13" s="132"/>
      <c r="Z13" s="2">
        <v>1</v>
      </c>
      <c r="AB13" s="2">
        <v>2</v>
      </c>
      <c r="AC13" s="132" t="s">
        <v>214</v>
      </c>
      <c r="AD13" s="132"/>
      <c r="AE13" s="132"/>
    </row>
    <row r="14" spans="1:56" x14ac:dyDescent="0.3">
      <c r="A14" s="12" t="str">
        <f t="shared" si="2"/>
        <v>Atlético de Madrid</v>
      </c>
      <c r="B14" s="2">
        <v>3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3"/>
      <c r="R14" s="213"/>
      <c r="S14" s="213"/>
      <c r="T14" s="213"/>
      <c r="U14" s="213"/>
      <c r="W14" s="132" t="s">
        <v>204</v>
      </c>
      <c r="X14" s="132"/>
      <c r="Y14" s="132"/>
      <c r="Z14" s="2">
        <v>2</v>
      </c>
      <c r="AB14" s="2">
        <v>1</v>
      </c>
      <c r="AC14" s="132" t="s">
        <v>201</v>
      </c>
      <c r="AD14" s="132"/>
      <c r="AE14" s="132"/>
      <c r="BD14" s="1">
        <v>5</v>
      </c>
    </row>
    <row r="15" spans="1:56" x14ac:dyDescent="0.3">
      <c r="A15" s="218" t="s">
        <v>41</v>
      </c>
      <c r="B15" s="218"/>
      <c r="C15" s="218"/>
      <c r="D15" s="218"/>
      <c r="E15" s="218"/>
      <c r="K15" s="212" t="s">
        <v>41</v>
      </c>
      <c r="L15" s="212"/>
      <c r="M15" s="212"/>
      <c r="N15" s="212"/>
      <c r="O15" s="212"/>
      <c r="Q15" s="213"/>
      <c r="R15" s="213"/>
      <c r="S15" s="213"/>
      <c r="T15" s="213"/>
      <c r="U15" s="213"/>
      <c r="W15" s="132"/>
      <c r="X15" s="132"/>
      <c r="Y15" s="132"/>
      <c r="AC15" s="132"/>
      <c r="AD15" s="132"/>
      <c r="AE15" s="132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/>
      <c r="X16" s="132"/>
      <c r="Y16" s="132"/>
      <c r="AC16" s="132"/>
      <c r="AD16" s="132"/>
      <c r="AE16" s="132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/>
      <c r="X17" s="132"/>
      <c r="Y17" s="132"/>
      <c r="AC17" s="132"/>
      <c r="AD17" s="132"/>
      <c r="AE17" s="132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5</v>
      </c>
      <c r="R19" s="18">
        <v>12</v>
      </c>
      <c r="S19" s="18">
        <v>14</v>
      </c>
      <c r="T19" s="18">
        <v>10</v>
      </c>
      <c r="U19" s="18">
        <v>15</v>
      </c>
      <c r="W19" s="132"/>
      <c r="X19" s="132"/>
      <c r="Y19" s="132"/>
      <c r="AC19" s="132"/>
      <c r="AD19" s="132"/>
      <c r="AE19" s="132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H21" s="2">
        <v>25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5" t="s">
        <v>26</v>
      </c>
      <c r="R21" s="215"/>
      <c r="S21" s="216" t="s">
        <v>207</v>
      </c>
      <c r="T21" s="216"/>
      <c r="U21" s="216" t="s">
        <v>211</v>
      </c>
      <c r="V21" s="216"/>
      <c r="W21" s="132"/>
      <c r="X21" s="132"/>
      <c r="Y21" s="132"/>
      <c r="AC21" s="132"/>
      <c r="AD21" s="132"/>
      <c r="AE21" s="132"/>
    </row>
    <row r="22" spans="1:31" x14ac:dyDescent="0.3">
      <c r="A22" s="218" t="s">
        <v>40</v>
      </c>
      <c r="B22" s="218"/>
      <c r="C22" s="218"/>
      <c r="D22" s="218"/>
      <c r="E22" s="218"/>
      <c r="J22" s="71" t="str">
        <f>'1.Ivan'!J22</f>
        <v/>
      </c>
      <c r="K22" s="212" t="s">
        <v>40</v>
      </c>
      <c r="L22" s="212"/>
      <c r="M22" s="212"/>
      <c r="N22" s="212"/>
      <c r="O22" s="212"/>
      <c r="Q22" s="215" t="s">
        <v>25</v>
      </c>
      <c r="R22" s="215"/>
      <c r="S22" s="217" t="s">
        <v>238</v>
      </c>
      <c r="T22" s="217"/>
      <c r="U22" s="217" t="s">
        <v>237</v>
      </c>
      <c r="V22" s="217"/>
      <c r="W22" s="132"/>
      <c r="X22" s="132"/>
      <c r="Y22" s="132"/>
      <c r="AC22" s="132"/>
      <c r="AD22" s="132"/>
      <c r="AE22" s="132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 x14ac:dyDescent="0.3">
      <c r="A25" s="12" t="str">
        <f t="shared" si="6"/>
        <v>Flamengo</v>
      </c>
      <c r="B25" s="2">
        <v>2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4</v>
      </c>
      <c r="E27" s="13" t="str">
        <f t="shared" si="7"/>
        <v>Chelsea</v>
      </c>
      <c r="H27" s="2">
        <v>10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2</v>
      </c>
      <c r="E28" s="13" t="str">
        <f t="shared" si="7"/>
        <v>Flamengo</v>
      </c>
      <c r="H28" s="2">
        <v>0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 x14ac:dyDescent="0.3">
      <c r="A29" s="218" t="s">
        <v>39</v>
      </c>
      <c r="B29" s="218"/>
      <c r="C29" s="218"/>
      <c r="D29" s="218"/>
      <c r="E29" s="218"/>
      <c r="K29" s="212" t="s">
        <v>39</v>
      </c>
      <c r="L29" s="212"/>
      <c r="M29" s="212"/>
      <c r="N29" s="212"/>
      <c r="O29" s="212"/>
      <c r="W29" s="132"/>
      <c r="X29" s="132"/>
      <c r="Y29" s="132"/>
      <c r="AC29" s="132"/>
      <c r="AD29" s="132"/>
      <c r="AE29" s="132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2</v>
      </c>
      <c r="E30" s="13" t="str">
        <f>O30</f>
        <v>Urawa Reds</v>
      </c>
      <c r="H30" s="2">
        <v>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4</v>
      </c>
      <c r="C32" s="2" t="s">
        <v>33</v>
      </c>
      <c r="D32" s="2">
        <v>1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2</v>
      </c>
      <c r="C35" s="2" t="s">
        <v>33</v>
      </c>
      <c r="D35" s="2">
        <v>1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8" t="s">
        <v>38</v>
      </c>
      <c r="B36" s="218"/>
      <c r="C36" s="218"/>
      <c r="D36" s="218"/>
      <c r="E36" s="218"/>
      <c r="J36" s="71" t="str">
        <f>'1.Ivan'!J36</f>
        <v/>
      </c>
      <c r="K36" s="212" t="s">
        <v>38</v>
      </c>
      <c r="L36" s="212"/>
      <c r="M36" s="212"/>
      <c r="N36" s="212"/>
      <c r="O36" s="212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2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33</v>
      </c>
      <c r="D42" s="2">
        <v>0</v>
      </c>
      <c r="E42" s="13" t="str">
        <f t="shared" si="11"/>
        <v>Ulsan HD</v>
      </c>
      <c r="H42" s="2">
        <v>25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8" t="s">
        <v>37</v>
      </c>
      <c r="B43" s="218"/>
      <c r="C43" s="218"/>
      <c r="D43" s="218"/>
      <c r="E43" s="218"/>
      <c r="J43" s="71" t="str">
        <f>'1.Ivan'!J43</f>
        <v/>
      </c>
      <c r="K43" s="212" t="s">
        <v>37</v>
      </c>
      <c r="L43" s="212"/>
      <c r="M43" s="212"/>
      <c r="N43" s="212"/>
      <c r="O43" s="212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4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1</v>
      </c>
      <c r="E49" s="13" t="str">
        <f t="shared" si="13"/>
        <v>Al-Ain</v>
      </c>
      <c r="H49" s="2">
        <v>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8" t="s">
        <v>36</v>
      </c>
      <c r="B50" s="218"/>
      <c r="C50" s="218"/>
      <c r="D50" s="218"/>
      <c r="E50" s="218"/>
      <c r="J50" s="71" t="str">
        <f>'1.Ivan'!J50</f>
        <v/>
      </c>
      <c r="K50" s="212" t="s">
        <v>36</v>
      </c>
      <c r="L50" s="212"/>
      <c r="M50" s="212"/>
      <c r="N50" s="212"/>
      <c r="O50" s="212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5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2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4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8" t="str">
        <f>_xlfn.CONCAT(W2,A57)</f>
        <v>Marcel - Oitavas de Final</v>
      </c>
      <c r="B58" s="208"/>
      <c r="C58" s="208"/>
      <c r="D58" s="208"/>
      <c r="E58" s="208"/>
      <c r="K58" s="209" t="s">
        <v>126</v>
      </c>
      <c r="L58" s="209"/>
      <c r="M58" s="209"/>
      <c r="N58" s="209"/>
      <c r="O58" s="209"/>
    </row>
    <row r="59" spans="1:15" x14ac:dyDescent="0.3">
      <c r="A59" s="53" t="str">
        <f>K59</f>
        <v>Palmeiras</v>
      </c>
      <c r="B59" s="54">
        <v>1</v>
      </c>
      <c r="C59" s="54" t="s">
        <v>33</v>
      </c>
      <c r="D59" s="54">
        <v>2</v>
      </c>
      <c r="E59" s="55" t="str">
        <f>O59</f>
        <v>Botafogo</v>
      </c>
      <c r="H59" s="2">
        <v>5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3</v>
      </c>
      <c r="C60" s="54" t="s">
        <v>33</v>
      </c>
      <c r="D60" s="54">
        <v>1</v>
      </c>
      <c r="E60" s="55" t="str">
        <f t="shared" ref="E60:E66" si="17">O60</f>
        <v>Chelsea</v>
      </c>
      <c r="H60" s="2">
        <v>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1</v>
      </c>
      <c r="C61" s="54" t="s">
        <v>33</v>
      </c>
      <c r="D61" s="54">
        <v>0</v>
      </c>
      <c r="E61" s="55" t="str">
        <f t="shared" si="17"/>
        <v>Fluminense</v>
      </c>
      <c r="H61" s="2">
        <v>0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4</v>
      </c>
      <c r="C62" s="54" t="s">
        <v>33</v>
      </c>
      <c r="D62" s="54">
        <v>0</v>
      </c>
      <c r="E62" s="55" t="str">
        <f t="shared" si="17"/>
        <v>Al-Hilal</v>
      </c>
      <c r="H62" s="2">
        <v>0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2</v>
      </c>
      <c r="C63" s="54" t="s">
        <v>33</v>
      </c>
      <c r="D63" s="54">
        <v>1</v>
      </c>
      <c r="E63" s="55" t="str">
        <f t="shared" si="17"/>
        <v>Inter Miami</v>
      </c>
      <c r="H63" s="2">
        <v>10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2</v>
      </c>
      <c r="C64" s="54" t="s">
        <v>33</v>
      </c>
      <c r="D64" s="54">
        <v>1</v>
      </c>
      <c r="E64" s="55" t="str">
        <f t="shared" si="17"/>
        <v>Bayer de Munique</v>
      </c>
      <c r="H64" s="2">
        <v>5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2</v>
      </c>
      <c r="C65" s="54" t="s">
        <v>33</v>
      </c>
      <c r="D65" s="54">
        <v>1</v>
      </c>
      <c r="E65" s="55" t="str">
        <f t="shared" si="17"/>
        <v>Monterrey</v>
      </c>
      <c r="H65" s="2">
        <v>25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3</v>
      </c>
      <c r="C66" s="54" t="s">
        <v>33</v>
      </c>
      <c r="D66" s="54">
        <v>1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8" t="str">
        <f>_xlfn.CONCAT(W2,A67)</f>
        <v>Marcel - Quartas de Final</v>
      </c>
      <c r="B68" s="208"/>
      <c r="C68" s="208"/>
      <c r="D68" s="208"/>
      <c r="E68" s="208"/>
      <c r="J68" s="71" t="str">
        <f>'1.Ivan'!J68</f>
        <v/>
      </c>
      <c r="K68" s="209" t="s">
        <v>95</v>
      </c>
      <c r="L68" s="209"/>
      <c r="M68" s="209"/>
      <c r="N68" s="209"/>
      <c r="O68" s="209"/>
    </row>
    <row r="69" spans="1:15" x14ac:dyDescent="0.3">
      <c r="A69" s="53" t="str">
        <f>K69</f>
        <v>Palmeiras</v>
      </c>
      <c r="B69" s="54"/>
      <c r="C69" s="54" t="s">
        <v>33</v>
      </c>
      <c r="D69" s="54"/>
      <c r="E69" s="55" t="str">
        <f>O69</f>
        <v>Chelsea</v>
      </c>
      <c r="J69" s="71" t="str">
        <f>'1.Ivan'!J69</f>
        <v>N</v>
      </c>
      <c r="K69" s="2" t="str">
        <f>IF(Tabela!A42="","",Tabela!A42)</f>
        <v>Palmeiras</v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/>
      <c r="C70" s="54" t="s">
        <v>33</v>
      </c>
      <c r="D70" s="54"/>
      <c r="E70" s="55" t="str">
        <f t="shared" ref="E70:E72" si="19">O70</f>
        <v>Al-Hilal</v>
      </c>
      <c r="J70" s="71" t="str">
        <f>'1.Ivan'!J70</f>
        <v>N</v>
      </c>
      <c r="K70" s="2" t="str">
        <f>IF(Tabela!A43="","",Tabela!A43)</f>
        <v>Fluminense</v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/>
      <c r="C71" s="54" t="s">
        <v>33</v>
      </c>
      <c r="D71" s="54"/>
      <c r="E71" s="55" t="str">
        <f t="shared" si="19"/>
        <v>Bayern de Munique</v>
      </c>
      <c r="J71" s="71" t="str">
        <f>'1.Ivan'!J71</f>
        <v>N</v>
      </c>
      <c r="K71" s="2" t="str">
        <f>IF(Tabela!A44="","",Tabela!A44)</f>
        <v>PSG</v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>Bayern de Munique</v>
      </c>
    </row>
    <row r="72" spans="1:15" x14ac:dyDescent="0.3">
      <c r="A72" s="53" t="str">
        <f t="shared" si="18"/>
        <v>Borussia Dortmund</v>
      </c>
      <c r="B72" s="54"/>
      <c r="C72" s="54" t="s">
        <v>33</v>
      </c>
      <c r="D72" s="54"/>
      <c r="E72" s="55" t="str">
        <f t="shared" si="19"/>
        <v>Real Madrid</v>
      </c>
      <c r="J72" s="71" t="str">
        <f>'1.Ivan'!J72</f>
        <v>N</v>
      </c>
      <c r="K72" s="2" t="str">
        <f>IF(Tabela!A45="","",Tabela!A45)</f>
        <v>Borussia Dortmund</v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>Real Madrid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8" t="str">
        <f>_xlfn.CONCAT(W$2,A73)</f>
        <v>Marcel - Semi Final</v>
      </c>
      <c r="B74" s="208"/>
      <c r="C74" s="208"/>
      <c r="D74" s="208"/>
      <c r="E74" s="208"/>
      <c r="J74" s="71" t="str">
        <f>'1.Ivan'!J74</f>
        <v/>
      </c>
      <c r="K74" s="209" t="s">
        <v>96</v>
      </c>
      <c r="L74" s="209"/>
      <c r="M74" s="209"/>
      <c r="N74" s="209"/>
      <c r="O74" s="209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8" t="str">
        <f>_xlfn.CONCAT(W$2,A77)</f>
        <v>Marcel - Final</v>
      </c>
      <c r="B78" s="208"/>
      <c r="C78" s="208"/>
      <c r="D78" s="208"/>
      <c r="E78" s="208"/>
      <c r="J78" s="71" t="str">
        <f>'1.Ivan'!J78</f>
        <v/>
      </c>
      <c r="K78" s="209" t="s">
        <v>98</v>
      </c>
      <c r="L78" s="209"/>
      <c r="M78" s="209"/>
      <c r="N78" s="209"/>
      <c r="O78" s="209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24D99-90E9-4C42-8A59-80CB74FC462C}">
  <sheetPr codeName="Planilha20">
    <tabColor rgb="FF0070C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1" t="s">
        <v>35</v>
      </c>
      <c r="B1" s="211"/>
      <c r="C1" s="211"/>
      <c r="D1" s="211"/>
      <c r="E1" s="211"/>
      <c r="K1" s="212" t="s">
        <v>35</v>
      </c>
      <c r="L1" s="212"/>
      <c r="M1" s="212"/>
      <c r="N1" s="212"/>
      <c r="O1" s="212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1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0" t="s">
        <v>50</v>
      </c>
      <c r="X2" s="210"/>
      <c r="Y2" s="210"/>
      <c r="Z2" s="210"/>
      <c r="AA2" s="210"/>
      <c r="AB2" s="210"/>
      <c r="AC2" s="210"/>
      <c r="AD2" s="210"/>
      <c r="AE2" s="210"/>
    </row>
    <row r="3" spans="1:56" x14ac:dyDescent="0.3">
      <c r="A3" s="12" t="str">
        <f t="shared" ref="A3:A7" si="0">K3</f>
        <v>Palmeiras</v>
      </c>
      <c r="B3" s="2">
        <v>0</v>
      </c>
      <c r="C3" s="2" t="s">
        <v>33</v>
      </c>
      <c r="D3" s="2">
        <v>2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0"/>
      <c r="X3" s="210"/>
      <c r="Y3" s="210"/>
      <c r="Z3" s="210"/>
      <c r="AA3" s="210"/>
      <c r="AB3" s="210"/>
      <c r="AC3" s="210"/>
      <c r="AD3" s="210"/>
      <c r="AE3" s="210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0"/>
      <c r="X4" s="210"/>
      <c r="Y4" s="210"/>
      <c r="Z4" s="210"/>
      <c r="AA4" s="210"/>
      <c r="AB4" s="210"/>
      <c r="AC4" s="210"/>
      <c r="AD4" s="210"/>
      <c r="AE4" s="210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1</v>
      </c>
      <c r="E5" s="13" t="str">
        <f t="shared" si="1"/>
        <v>Porto</v>
      </c>
      <c r="H5" s="2">
        <v>25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0"/>
      <c r="X5" s="210"/>
      <c r="Y5" s="210"/>
      <c r="Z5" s="210"/>
      <c r="AA5" s="210"/>
      <c r="AB5" s="210"/>
      <c r="AC5" s="210"/>
      <c r="AD5" s="210"/>
      <c r="AE5" s="210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0"/>
      <c r="X6" s="210"/>
      <c r="Y6" s="210"/>
      <c r="Z6" s="210"/>
      <c r="AA6" s="210"/>
      <c r="AB6" s="210"/>
      <c r="AC6" s="210"/>
      <c r="AD6" s="210"/>
      <c r="AE6" s="210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2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1" t="s">
        <v>42</v>
      </c>
      <c r="B8" s="211"/>
      <c r="C8" s="211"/>
      <c r="D8" s="211"/>
      <c r="E8" s="211"/>
      <c r="J8" s="71" t="str">
        <f>'1.Ivan'!J8</f>
        <v/>
      </c>
      <c r="K8" s="212" t="s">
        <v>42</v>
      </c>
      <c r="L8" s="212"/>
      <c r="M8" s="212"/>
      <c r="N8" s="212"/>
      <c r="O8" s="212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1</v>
      </c>
      <c r="E9" s="13" t="str">
        <f>O9</f>
        <v>Atlético de Madrid</v>
      </c>
      <c r="H9" s="2">
        <v>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4" t="s">
        <v>43</v>
      </c>
      <c r="R9" s="214"/>
      <c r="S9" s="214"/>
      <c r="T9" s="214"/>
      <c r="U9" s="214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 x14ac:dyDescent="0.3">
      <c r="A10" s="12" t="str">
        <f t="shared" ref="A10:A14" si="2">K10</f>
        <v>Botafogo</v>
      </c>
      <c r="B10" s="2">
        <v>3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4"/>
      <c r="R10" s="214"/>
      <c r="S10" s="214"/>
      <c r="T10" s="214"/>
      <c r="U10" s="214"/>
      <c r="W10" s="132" t="s">
        <v>184</v>
      </c>
      <c r="X10" s="132"/>
      <c r="Y10" s="132"/>
      <c r="Z10" s="2">
        <v>2</v>
      </c>
      <c r="AB10" s="2">
        <v>1</v>
      </c>
      <c r="AC10" s="132" t="s">
        <v>186</v>
      </c>
      <c r="AD10" s="132"/>
      <c r="AE10" s="132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3">
        <f>SUM(H2:H82)</f>
        <v>500</v>
      </c>
      <c r="R11" s="213"/>
      <c r="S11" s="213"/>
      <c r="T11" s="213"/>
      <c r="U11" s="213"/>
      <c r="W11" s="132" t="s">
        <v>197</v>
      </c>
      <c r="X11" s="132"/>
      <c r="Y11" s="132"/>
      <c r="Z11" s="2">
        <v>2</v>
      </c>
      <c r="AB11" s="2">
        <v>0</v>
      </c>
      <c r="AC11" s="132" t="s">
        <v>198</v>
      </c>
      <c r="AD11" s="132"/>
      <c r="AE11" s="132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3"/>
      <c r="R12" s="213"/>
      <c r="S12" s="213"/>
      <c r="T12" s="213"/>
      <c r="U12" s="213"/>
      <c r="W12" s="132" t="s">
        <v>214</v>
      </c>
      <c r="X12" s="132"/>
      <c r="Y12" s="132"/>
      <c r="Z12" s="2">
        <v>0</v>
      </c>
      <c r="AB12" s="2">
        <v>3</v>
      </c>
      <c r="AC12" s="132" t="s">
        <v>211</v>
      </c>
      <c r="AD12" s="132"/>
      <c r="AE12" s="132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3"/>
      <c r="R13" s="213"/>
      <c r="S13" s="213"/>
      <c r="T13" s="213"/>
      <c r="U13" s="213"/>
      <c r="W13" s="132" t="s">
        <v>187</v>
      </c>
      <c r="X13" s="132"/>
      <c r="Y13" s="132"/>
      <c r="Z13" s="2">
        <v>4</v>
      </c>
      <c r="AB13" s="2">
        <v>0</v>
      </c>
      <c r="AC13" s="132" t="s">
        <v>184</v>
      </c>
      <c r="AD13" s="132"/>
      <c r="AE13" s="132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3"/>
      <c r="R14" s="213"/>
      <c r="S14" s="213"/>
      <c r="T14" s="213"/>
      <c r="U14" s="213"/>
      <c r="W14" s="132"/>
      <c r="X14" s="132"/>
      <c r="Y14" s="132"/>
      <c r="AC14" s="132"/>
      <c r="AD14" s="132"/>
      <c r="AE14" s="132"/>
      <c r="BD14" s="1">
        <v>5</v>
      </c>
    </row>
    <row r="15" spans="1:56" x14ac:dyDescent="0.3">
      <c r="A15" s="211" t="s">
        <v>41</v>
      </c>
      <c r="B15" s="211"/>
      <c r="C15" s="211"/>
      <c r="D15" s="211"/>
      <c r="E15" s="211"/>
      <c r="K15" s="212" t="s">
        <v>41</v>
      </c>
      <c r="L15" s="212"/>
      <c r="M15" s="212"/>
      <c r="N15" s="212"/>
      <c r="O15" s="212"/>
      <c r="Q15" s="213"/>
      <c r="R15" s="213"/>
      <c r="S15" s="213"/>
      <c r="T15" s="213"/>
      <c r="U15" s="213"/>
      <c r="W15" s="132"/>
      <c r="X15" s="132"/>
      <c r="Y15" s="132"/>
      <c r="AC15" s="132"/>
      <c r="AD15" s="132"/>
      <c r="AE15" s="132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/>
      <c r="X16" s="132"/>
      <c r="Y16" s="132"/>
      <c r="AC16" s="132"/>
      <c r="AD16" s="132"/>
      <c r="AE16" s="132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/>
      <c r="X17" s="132"/>
      <c r="Y17" s="132"/>
      <c r="AC17" s="132"/>
      <c r="AD17" s="132"/>
      <c r="AE17" s="132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1</v>
      </c>
      <c r="E18" s="13" t="str">
        <f t="shared" si="5"/>
        <v>Auckland City</v>
      </c>
      <c r="H18" s="2">
        <v>10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4</v>
      </c>
      <c r="R19" s="18">
        <v>15</v>
      </c>
      <c r="S19" s="18">
        <v>11</v>
      </c>
      <c r="T19" s="18">
        <v>13</v>
      </c>
      <c r="U19" s="18">
        <v>13</v>
      </c>
      <c r="W19" s="132"/>
      <c r="X19" s="132"/>
      <c r="Y19" s="132"/>
      <c r="AC19" s="132"/>
      <c r="AD19" s="132"/>
      <c r="AE19" s="132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0</v>
      </c>
      <c r="E20" s="13" t="str">
        <f t="shared" si="5"/>
        <v>Bayern de Munique</v>
      </c>
      <c r="H20" s="2">
        <v>15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5" t="s">
        <v>26</v>
      </c>
      <c r="R21" s="215"/>
      <c r="S21" s="216" t="s">
        <v>207</v>
      </c>
      <c r="T21" s="216"/>
      <c r="U21" s="216" t="s">
        <v>191</v>
      </c>
      <c r="V21" s="216"/>
      <c r="W21" s="132"/>
      <c r="X21" s="132"/>
      <c r="Y21" s="132"/>
      <c r="AC21" s="132"/>
      <c r="AD21" s="132"/>
      <c r="AE21" s="132"/>
    </row>
    <row r="22" spans="1:31" x14ac:dyDescent="0.3">
      <c r="A22" s="211" t="s">
        <v>40</v>
      </c>
      <c r="B22" s="211"/>
      <c r="C22" s="211"/>
      <c r="D22" s="211"/>
      <c r="E22" s="211"/>
      <c r="J22" s="71" t="str">
        <f>'1.Ivan'!J22</f>
        <v/>
      </c>
      <c r="K22" s="212" t="s">
        <v>40</v>
      </c>
      <c r="L22" s="212"/>
      <c r="M22" s="212"/>
      <c r="N22" s="212"/>
      <c r="O22" s="212"/>
      <c r="Q22" s="215" t="s">
        <v>25</v>
      </c>
      <c r="R22" s="215"/>
      <c r="S22" s="217" t="s">
        <v>84</v>
      </c>
      <c r="T22" s="217"/>
      <c r="U22" s="217" t="s">
        <v>243</v>
      </c>
      <c r="V22" s="217"/>
      <c r="W22" s="132"/>
      <c r="X22" s="132"/>
      <c r="Y22" s="132"/>
      <c r="AC22" s="132"/>
      <c r="AD22" s="132"/>
      <c r="AE22" s="132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H25" s="2">
        <v>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0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 x14ac:dyDescent="0.3">
      <c r="A29" s="211" t="s">
        <v>39</v>
      </c>
      <c r="B29" s="211"/>
      <c r="C29" s="211"/>
      <c r="D29" s="211"/>
      <c r="E29" s="211"/>
      <c r="K29" s="212" t="s">
        <v>39</v>
      </c>
      <c r="L29" s="212"/>
      <c r="M29" s="212"/>
      <c r="N29" s="212"/>
      <c r="O29" s="212"/>
      <c r="W29" s="132"/>
      <c r="X29" s="132"/>
      <c r="Y29" s="132"/>
      <c r="AC29" s="132"/>
      <c r="AD29" s="132"/>
      <c r="AE29" s="132"/>
    </row>
    <row r="30" spans="1:31" x14ac:dyDescent="0.3">
      <c r="A30" s="12" t="str">
        <f>K30</f>
        <v>River Plate</v>
      </c>
      <c r="B30" s="2">
        <v>3</v>
      </c>
      <c r="C30" s="2" t="s">
        <v>33</v>
      </c>
      <c r="D30" s="2">
        <v>0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1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H34" s="2">
        <v>0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1</v>
      </c>
      <c r="E35" s="13" t="str">
        <f t="shared" si="9"/>
        <v>Monterrey</v>
      </c>
      <c r="H35" s="2">
        <v>15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1" t="s">
        <v>38</v>
      </c>
      <c r="B36" s="211"/>
      <c r="C36" s="211"/>
      <c r="D36" s="211"/>
      <c r="E36" s="211"/>
      <c r="J36" s="71" t="str">
        <f>'1.Ivan'!J36</f>
        <v/>
      </c>
      <c r="K36" s="212" t="s">
        <v>38</v>
      </c>
      <c r="L36" s="212"/>
      <c r="M36" s="212"/>
      <c r="N36" s="212"/>
      <c r="O36" s="212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2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4</v>
      </c>
      <c r="E39" s="13" t="str">
        <f t="shared" si="11"/>
        <v>Borussisa Dortmund</v>
      </c>
      <c r="H39" s="2">
        <v>15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3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2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1" t="s">
        <v>37</v>
      </c>
      <c r="B43" s="211"/>
      <c r="C43" s="211"/>
      <c r="D43" s="211"/>
      <c r="E43" s="211"/>
      <c r="J43" s="71" t="str">
        <f>'1.Ivan'!J43</f>
        <v/>
      </c>
      <c r="K43" s="212" t="s">
        <v>37</v>
      </c>
      <c r="L43" s="212"/>
      <c r="M43" s="212"/>
      <c r="N43" s="212"/>
      <c r="O43" s="212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1</v>
      </c>
      <c r="E46" s="13" t="str">
        <f t="shared" si="13"/>
        <v>Wydad Casablanca</v>
      </c>
      <c r="H46" s="2">
        <v>15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12" t="str">
        <f t="shared" si="12"/>
        <v>Manchester City</v>
      </c>
      <c r="B47" s="113">
        <v>2</v>
      </c>
      <c r="C47" s="113" t="s">
        <v>33</v>
      </c>
      <c r="D47" s="113">
        <v>0</v>
      </c>
      <c r="E47" s="114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1</v>
      </c>
      <c r="E49" s="13" t="str">
        <f t="shared" si="13"/>
        <v>Al-Ain</v>
      </c>
      <c r="H49" s="2">
        <v>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1" t="s">
        <v>36</v>
      </c>
      <c r="B50" s="211"/>
      <c r="C50" s="211"/>
      <c r="D50" s="211"/>
      <c r="E50" s="211"/>
      <c r="J50" s="71" t="str">
        <f>'1.Ivan'!J50</f>
        <v/>
      </c>
      <c r="K50" s="212" t="s">
        <v>36</v>
      </c>
      <c r="L50" s="212"/>
      <c r="M50" s="212"/>
      <c r="N50" s="212"/>
      <c r="O50" s="212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0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3</v>
      </c>
      <c r="E55" s="13" t="str">
        <f t="shared" si="15"/>
        <v>Real Madrid</v>
      </c>
      <c r="H55" s="2">
        <v>25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8" t="str">
        <f>_xlfn.CONCAT(W2,A57)</f>
        <v>Luana - Oitavas de Final</v>
      </c>
      <c r="B58" s="208"/>
      <c r="C58" s="208"/>
      <c r="D58" s="208"/>
      <c r="E58" s="208"/>
      <c r="K58" s="209" t="s">
        <v>126</v>
      </c>
      <c r="L58" s="209"/>
      <c r="M58" s="209"/>
      <c r="N58" s="209"/>
      <c r="O58" s="209"/>
    </row>
    <row r="59" spans="1:15" x14ac:dyDescent="0.3">
      <c r="A59" s="53" t="str">
        <f>K59</f>
        <v>Palmeiras</v>
      </c>
      <c r="B59" s="54">
        <v>1</v>
      </c>
      <c r="C59" s="54" t="s">
        <v>33</v>
      </c>
      <c r="D59" s="54">
        <v>1</v>
      </c>
      <c r="E59" s="55" t="str">
        <f>O59</f>
        <v>Botafogo</v>
      </c>
      <c r="H59" s="2">
        <v>5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2</v>
      </c>
      <c r="C60" s="54" t="s">
        <v>33</v>
      </c>
      <c r="D60" s="54">
        <v>2</v>
      </c>
      <c r="E60" s="55" t="str">
        <f t="shared" ref="E60:E66" si="17">O60</f>
        <v>Chelsea</v>
      </c>
      <c r="H60" s="2">
        <v>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0</v>
      </c>
      <c r="C61" s="54" t="s">
        <v>33</v>
      </c>
      <c r="D61" s="54">
        <v>0</v>
      </c>
      <c r="E61" s="55" t="str">
        <f t="shared" si="17"/>
        <v>Fluminense</v>
      </c>
      <c r="H61" s="2">
        <v>5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2</v>
      </c>
      <c r="C62" s="54" t="s">
        <v>33</v>
      </c>
      <c r="D62" s="54">
        <v>0</v>
      </c>
      <c r="E62" s="55" t="str">
        <f t="shared" si="17"/>
        <v>Al-Hilal</v>
      </c>
      <c r="H62" s="2">
        <v>0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4</v>
      </c>
      <c r="C63" s="54" t="s">
        <v>33</v>
      </c>
      <c r="D63" s="54">
        <v>0</v>
      </c>
      <c r="E63" s="55" t="str">
        <f t="shared" si="17"/>
        <v>Inter Miami</v>
      </c>
      <c r="H63" s="2">
        <v>25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1</v>
      </c>
      <c r="E64" s="55" t="str">
        <f t="shared" si="17"/>
        <v>Bayer de Munique</v>
      </c>
      <c r="H64" s="2">
        <v>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0</v>
      </c>
      <c r="C65" s="54" t="s">
        <v>33</v>
      </c>
      <c r="D65" s="54">
        <v>1</v>
      </c>
      <c r="E65" s="55" t="str">
        <f t="shared" si="17"/>
        <v>Monterrey</v>
      </c>
      <c r="H65" s="2">
        <v>5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4</v>
      </c>
      <c r="C66" s="54" t="s">
        <v>33</v>
      </c>
      <c r="D66" s="54">
        <v>3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8" t="str">
        <f>_xlfn.CONCAT(W2,A67)</f>
        <v>Luana - Quartas de Final</v>
      </c>
      <c r="B68" s="208"/>
      <c r="C68" s="208"/>
      <c r="D68" s="208"/>
      <c r="E68" s="208"/>
      <c r="J68" s="71" t="str">
        <f>'1.Ivan'!J68</f>
        <v/>
      </c>
      <c r="K68" s="209" t="s">
        <v>95</v>
      </c>
      <c r="L68" s="209"/>
      <c r="M68" s="209"/>
      <c r="N68" s="209"/>
      <c r="O68" s="209"/>
    </row>
    <row r="69" spans="1:15" x14ac:dyDescent="0.3">
      <c r="A69" s="53" t="str">
        <f>K69</f>
        <v>Palmeiras</v>
      </c>
      <c r="B69" s="54"/>
      <c r="C69" s="54" t="s">
        <v>33</v>
      </c>
      <c r="D69" s="54"/>
      <c r="E69" s="55" t="str">
        <f>O69</f>
        <v>Chelsea</v>
      </c>
      <c r="J69" s="71" t="str">
        <f>'1.Ivan'!J69</f>
        <v>N</v>
      </c>
      <c r="K69" s="2" t="str">
        <f>IF(Tabela!A42="","",Tabela!A42)</f>
        <v>Palmeiras</v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/>
      <c r="C70" s="54" t="s">
        <v>33</v>
      </c>
      <c r="D70" s="54"/>
      <c r="E70" s="55" t="str">
        <f t="shared" ref="E70:E72" si="19">O70</f>
        <v>Al-Hilal</v>
      </c>
      <c r="J70" s="71" t="str">
        <f>'1.Ivan'!J70</f>
        <v>N</v>
      </c>
      <c r="K70" s="2" t="str">
        <f>IF(Tabela!A43="","",Tabela!A43)</f>
        <v>Fluminense</v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/>
      <c r="C71" s="54" t="s">
        <v>33</v>
      </c>
      <c r="D71" s="54"/>
      <c r="E71" s="55" t="str">
        <f t="shared" si="19"/>
        <v>Bayern de Munique</v>
      </c>
      <c r="J71" s="71" t="str">
        <f>'1.Ivan'!J71</f>
        <v>N</v>
      </c>
      <c r="K71" s="2" t="str">
        <f>IF(Tabela!A44="","",Tabela!A44)</f>
        <v>PSG</v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>Bayern de Munique</v>
      </c>
    </row>
    <row r="72" spans="1:15" x14ac:dyDescent="0.3">
      <c r="A72" s="53" t="str">
        <f t="shared" si="18"/>
        <v>Borussia Dortmund</v>
      </c>
      <c r="B72" s="54"/>
      <c r="C72" s="54" t="s">
        <v>33</v>
      </c>
      <c r="D72" s="54"/>
      <c r="E72" s="55" t="str">
        <f t="shared" si="19"/>
        <v>Real Madrid</v>
      </c>
      <c r="J72" s="71" t="str">
        <f>'1.Ivan'!J72</f>
        <v>N</v>
      </c>
      <c r="K72" s="2" t="str">
        <f>IF(Tabela!A45="","",Tabela!A45)</f>
        <v>Borussia Dortmund</v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>Real Madrid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8" t="str">
        <f>_xlfn.CONCAT(W$2,A73)</f>
        <v>Luana - Semi Final</v>
      </c>
      <c r="B74" s="208"/>
      <c r="C74" s="208"/>
      <c r="D74" s="208"/>
      <c r="E74" s="208"/>
      <c r="J74" s="71" t="str">
        <f>'1.Ivan'!J74</f>
        <v/>
      </c>
      <c r="K74" s="209" t="s">
        <v>96</v>
      </c>
      <c r="L74" s="209"/>
      <c r="M74" s="209"/>
      <c r="N74" s="209"/>
      <c r="O74" s="209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8" t="str">
        <f>_xlfn.CONCAT(W$2,A77)</f>
        <v>Luana - Final</v>
      </c>
      <c r="B78" s="208"/>
      <c r="C78" s="208"/>
      <c r="D78" s="208"/>
      <c r="E78" s="208"/>
      <c r="J78" s="71" t="str">
        <f>'1.Ivan'!J78</f>
        <v/>
      </c>
      <c r="K78" s="209" t="s">
        <v>98</v>
      </c>
      <c r="L78" s="209"/>
      <c r="M78" s="209"/>
      <c r="N78" s="209"/>
      <c r="O78" s="209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6861C-24AF-445F-A746-224687F1BB8F}">
  <sheetPr codeName="Planilha21">
    <tabColor rgb="FF0070C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8" t="s">
        <v>35</v>
      </c>
      <c r="B1" s="218"/>
      <c r="C1" s="218"/>
      <c r="D1" s="218"/>
      <c r="E1" s="218"/>
      <c r="K1" s="212" t="s">
        <v>35</v>
      </c>
      <c r="L1" s="212"/>
      <c r="M1" s="212"/>
      <c r="N1" s="212"/>
      <c r="O1" s="212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3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0" t="s">
        <v>230</v>
      </c>
      <c r="X2" s="210"/>
      <c r="Y2" s="210"/>
      <c r="Z2" s="210"/>
      <c r="AA2" s="210"/>
      <c r="AB2" s="210"/>
      <c r="AC2" s="210"/>
      <c r="AD2" s="210"/>
      <c r="AE2" s="210"/>
    </row>
    <row r="3" spans="1:56" x14ac:dyDescent="0.3">
      <c r="A3" s="12" t="str">
        <f t="shared" ref="A3:A7" si="0">K3</f>
        <v>Palmeiras</v>
      </c>
      <c r="B3" s="2">
        <v>0</v>
      </c>
      <c r="C3" s="2" t="s">
        <v>33</v>
      </c>
      <c r="D3" s="2">
        <v>2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0"/>
      <c r="X3" s="210"/>
      <c r="Y3" s="210"/>
      <c r="Z3" s="210"/>
      <c r="AA3" s="210"/>
      <c r="AB3" s="210"/>
      <c r="AC3" s="210"/>
      <c r="AD3" s="210"/>
      <c r="AE3" s="210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0"/>
      <c r="X4" s="210"/>
      <c r="Y4" s="210"/>
      <c r="Z4" s="210"/>
      <c r="AA4" s="210"/>
      <c r="AB4" s="210"/>
      <c r="AC4" s="210"/>
      <c r="AD4" s="210"/>
      <c r="AE4" s="210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0"/>
      <c r="X5" s="210"/>
      <c r="Y5" s="210"/>
      <c r="Z5" s="210"/>
      <c r="AA5" s="210"/>
      <c r="AB5" s="210"/>
      <c r="AC5" s="210"/>
      <c r="AD5" s="210"/>
      <c r="AE5" s="210"/>
    </row>
    <row r="6" spans="1:56" x14ac:dyDescent="0.3">
      <c r="A6" s="12" t="str">
        <f t="shared" si="0"/>
        <v>Inter Miami</v>
      </c>
      <c r="B6" s="2">
        <v>3</v>
      </c>
      <c r="C6" s="2" t="s">
        <v>33</v>
      </c>
      <c r="D6" s="2">
        <v>0</v>
      </c>
      <c r="E6" s="13" t="str">
        <f t="shared" si="1"/>
        <v>Palmeiras</v>
      </c>
      <c r="H6" s="2">
        <v>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0"/>
      <c r="X6" s="210"/>
      <c r="Y6" s="210"/>
      <c r="Z6" s="210"/>
      <c r="AA6" s="210"/>
      <c r="AB6" s="210"/>
      <c r="AC6" s="210"/>
      <c r="AD6" s="210"/>
      <c r="AE6" s="210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8" t="s">
        <v>42</v>
      </c>
      <c r="B8" s="218"/>
      <c r="C8" s="218"/>
      <c r="D8" s="218"/>
      <c r="E8" s="218"/>
      <c r="J8" s="71" t="str">
        <f>'1.Ivan'!J8</f>
        <v/>
      </c>
      <c r="K8" s="212" t="s">
        <v>42</v>
      </c>
      <c r="L8" s="212"/>
      <c r="M8" s="212"/>
      <c r="N8" s="212"/>
      <c r="O8" s="212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4" t="s">
        <v>43</v>
      </c>
      <c r="R9" s="214"/>
      <c r="S9" s="214"/>
      <c r="T9" s="214"/>
      <c r="U9" s="214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4"/>
      <c r="R10" s="214"/>
      <c r="S10" s="214"/>
      <c r="T10" s="214"/>
      <c r="U10" s="214"/>
      <c r="W10" s="132" t="s">
        <v>189</v>
      </c>
      <c r="X10" s="132"/>
      <c r="Y10" s="132"/>
      <c r="Z10" s="2">
        <v>2</v>
      </c>
      <c r="AB10" s="2">
        <v>1</v>
      </c>
      <c r="AC10" s="132" t="s">
        <v>190</v>
      </c>
      <c r="AD10" s="132"/>
      <c r="AE10" s="132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H11" s="2">
        <v>25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3">
        <f>SUM(H2:H82)</f>
        <v>555</v>
      </c>
      <c r="R11" s="213"/>
      <c r="S11" s="213"/>
      <c r="T11" s="213"/>
      <c r="U11" s="213"/>
      <c r="W11" s="132" t="s">
        <v>190</v>
      </c>
      <c r="X11" s="132"/>
      <c r="Y11" s="132"/>
      <c r="Z11" s="2">
        <v>1</v>
      </c>
      <c r="AB11" s="2">
        <v>3</v>
      </c>
      <c r="AC11" s="132" t="s">
        <v>188</v>
      </c>
      <c r="AD11" s="132"/>
      <c r="AE11" s="132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3"/>
      <c r="R12" s="213"/>
      <c r="S12" s="213"/>
      <c r="T12" s="213"/>
      <c r="U12" s="213"/>
      <c r="W12" s="132" t="s">
        <v>190</v>
      </c>
      <c r="X12" s="132"/>
      <c r="Y12" s="132"/>
      <c r="Z12" s="2">
        <v>0</v>
      </c>
      <c r="AB12" s="2">
        <v>2</v>
      </c>
      <c r="AC12" s="132" t="s">
        <v>187</v>
      </c>
      <c r="AD12" s="132"/>
      <c r="AE12" s="132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H13" s="2">
        <v>25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3"/>
      <c r="R13" s="213"/>
      <c r="S13" s="213"/>
      <c r="T13" s="213"/>
      <c r="U13" s="213"/>
      <c r="W13" s="132" t="s">
        <v>192</v>
      </c>
      <c r="X13" s="132"/>
      <c r="Y13" s="132"/>
      <c r="Z13" s="2">
        <v>1</v>
      </c>
      <c r="AB13" s="2">
        <v>1</v>
      </c>
      <c r="AC13" s="132" t="s">
        <v>193</v>
      </c>
      <c r="AD13" s="132"/>
      <c r="AE13" s="132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3"/>
      <c r="R14" s="213"/>
      <c r="S14" s="213"/>
      <c r="T14" s="213"/>
      <c r="U14" s="213"/>
      <c r="W14" s="132" t="s">
        <v>195</v>
      </c>
      <c r="X14" s="132"/>
      <c r="Y14" s="132"/>
      <c r="Z14" s="2">
        <v>2</v>
      </c>
      <c r="AB14" s="2">
        <v>0</v>
      </c>
      <c r="AC14" s="132" t="s">
        <v>196</v>
      </c>
      <c r="AD14" s="132"/>
      <c r="AE14" s="132"/>
      <c r="BD14" s="1">
        <v>5</v>
      </c>
    </row>
    <row r="15" spans="1:56" x14ac:dyDescent="0.3">
      <c r="A15" s="218" t="s">
        <v>41</v>
      </c>
      <c r="B15" s="218"/>
      <c r="C15" s="218"/>
      <c r="D15" s="218"/>
      <c r="E15" s="218"/>
      <c r="K15" s="212" t="s">
        <v>41</v>
      </c>
      <c r="L15" s="212"/>
      <c r="M15" s="212"/>
      <c r="N15" s="212"/>
      <c r="O15" s="212"/>
      <c r="Q15" s="213"/>
      <c r="R15" s="213"/>
      <c r="S15" s="213"/>
      <c r="T15" s="213"/>
      <c r="U15" s="213"/>
      <c r="W15" s="132" t="s">
        <v>202</v>
      </c>
      <c r="X15" s="132"/>
      <c r="Y15" s="132"/>
      <c r="Z15" s="2">
        <v>2</v>
      </c>
      <c r="AB15" s="2">
        <v>0</v>
      </c>
      <c r="AC15" s="132" t="s">
        <v>199</v>
      </c>
      <c r="AD15" s="132"/>
      <c r="AE15" s="132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 t="s">
        <v>213</v>
      </c>
      <c r="X16" s="132"/>
      <c r="Y16" s="132"/>
      <c r="Z16" s="2">
        <v>1</v>
      </c>
      <c r="AB16" s="2">
        <v>2</v>
      </c>
      <c r="AC16" s="132" t="s">
        <v>214</v>
      </c>
      <c r="AD16" s="132"/>
      <c r="AE16" s="132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 t="s">
        <v>187</v>
      </c>
      <c r="X17" s="132"/>
      <c r="Y17" s="132"/>
      <c r="Z17" s="2">
        <v>4</v>
      </c>
      <c r="AB17" s="2">
        <v>0</v>
      </c>
      <c r="AC17" s="132" t="s">
        <v>184</v>
      </c>
      <c r="AD17" s="132"/>
      <c r="AE17" s="132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8</v>
      </c>
      <c r="R19" s="18">
        <v>14</v>
      </c>
      <c r="S19" s="18">
        <v>9</v>
      </c>
      <c r="T19" s="18">
        <v>11</v>
      </c>
      <c r="U19" s="18">
        <v>14</v>
      </c>
      <c r="W19" s="132"/>
      <c r="X19" s="132"/>
      <c r="Y19" s="132"/>
      <c r="AC19" s="132"/>
      <c r="AD19" s="132"/>
      <c r="AE19" s="132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H21" s="2">
        <v>25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5" t="s">
        <v>26</v>
      </c>
      <c r="R21" s="215"/>
      <c r="S21" s="216" t="s">
        <v>187</v>
      </c>
      <c r="T21" s="216"/>
      <c r="U21" s="216" t="s">
        <v>211</v>
      </c>
      <c r="V21" s="216"/>
      <c r="W21" s="132"/>
      <c r="X21" s="132"/>
      <c r="Y21" s="132"/>
      <c r="AC21" s="132"/>
      <c r="AD21" s="132"/>
      <c r="AE21" s="132"/>
    </row>
    <row r="22" spans="1:31" x14ac:dyDescent="0.3">
      <c r="A22" s="218" t="s">
        <v>40</v>
      </c>
      <c r="B22" s="218"/>
      <c r="C22" s="218"/>
      <c r="D22" s="218"/>
      <c r="E22" s="218"/>
      <c r="J22" s="71" t="str">
        <f>'1.Ivan'!J22</f>
        <v/>
      </c>
      <c r="K22" s="212" t="s">
        <v>40</v>
      </c>
      <c r="L22" s="212"/>
      <c r="M22" s="212"/>
      <c r="N22" s="212"/>
      <c r="O22" s="212"/>
      <c r="Q22" s="215" t="s">
        <v>25</v>
      </c>
      <c r="R22" s="215"/>
      <c r="S22" s="217" t="s">
        <v>244</v>
      </c>
      <c r="T22" s="217"/>
      <c r="U22" s="217" t="s">
        <v>84</v>
      </c>
      <c r="V22" s="217"/>
      <c r="W22" s="132"/>
      <c r="X22" s="132"/>
      <c r="Y22" s="132"/>
      <c r="AC22" s="132"/>
      <c r="AD22" s="132"/>
      <c r="AE22" s="132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2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 x14ac:dyDescent="0.3">
      <c r="A29" s="218" t="s">
        <v>39</v>
      </c>
      <c r="B29" s="218"/>
      <c r="C29" s="218"/>
      <c r="D29" s="218"/>
      <c r="E29" s="218"/>
      <c r="K29" s="212" t="s">
        <v>39</v>
      </c>
      <c r="L29" s="212"/>
      <c r="M29" s="212"/>
      <c r="N29" s="212"/>
      <c r="O29" s="212"/>
      <c r="W29" s="132"/>
      <c r="X29" s="132"/>
      <c r="Y29" s="132"/>
      <c r="AC29" s="132"/>
      <c r="AD29" s="132"/>
      <c r="AE29" s="132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0</v>
      </c>
      <c r="E34" s="13" t="str">
        <f t="shared" si="9"/>
        <v>River Plate</v>
      </c>
      <c r="H34" s="2">
        <v>25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2</v>
      </c>
      <c r="C35" s="2" t="s">
        <v>33</v>
      </c>
      <c r="D35" s="2">
        <v>2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8" t="s">
        <v>38</v>
      </c>
      <c r="B36" s="218"/>
      <c r="C36" s="218"/>
      <c r="D36" s="218"/>
      <c r="E36" s="218"/>
      <c r="J36" s="71" t="str">
        <f>'1.Ivan'!J36</f>
        <v/>
      </c>
      <c r="K36" s="212" t="s">
        <v>38</v>
      </c>
      <c r="L36" s="212"/>
      <c r="M36" s="212"/>
      <c r="N36" s="212"/>
      <c r="O36" s="212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3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2</v>
      </c>
      <c r="C38" s="2" t="s">
        <v>33</v>
      </c>
      <c r="D38" s="2">
        <v>2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2</v>
      </c>
      <c r="E40" s="13" t="str">
        <f t="shared" si="11"/>
        <v>Ulsan HD</v>
      </c>
      <c r="H40" s="2">
        <v>5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1</v>
      </c>
      <c r="E41" s="13" t="str">
        <f t="shared" si="11"/>
        <v>Fluminense</v>
      </c>
      <c r="H41" s="2">
        <v>10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8" t="s">
        <v>37</v>
      </c>
      <c r="B43" s="218"/>
      <c r="C43" s="218"/>
      <c r="D43" s="218"/>
      <c r="E43" s="218"/>
      <c r="J43" s="71" t="str">
        <f>'1.Ivan'!J43</f>
        <v/>
      </c>
      <c r="K43" s="212" t="s">
        <v>37</v>
      </c>
      <c r="L43" s="212"/>
      <c r="M43" s="212"/>
      <c r="N43" s="212"/>
      <c r="O43" s="212"/>
    </row>
    <row r="44" spans="1:15" x14ac:dyDescent="0.3">
      <c r="A44" s="12" t="str">
        <f>K44</f>
        <v>Manchester City</v>
      </c>
      <c r="B44" s="2">
        <v>5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4</v>
      </c>
      <c r="E45" s="13" t="str">
        <f t="shared" ref="E45:E48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5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3</v>
      </c>
      <c r="C48" s="2" t="s">
        <v>33</v>
      </c>
      <c r="D48" s="2">
        <v>3</v>
      </c>
      <c r="E48" s="13" t="str">
        <f t="shared" si="13"/>
        <v>Manchester City</v>
      </c>
      <c r="H48" s="2">
        <v>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0</v>
      </c>
      <c r="E49" s="13" t="str">
        <f>O49</f>
        <v>Al-Ain</v>
      </c>
      <c r="H49" s="2">
        <v>0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8" t="s">
        <v>36</v>
      </c>
      <c r="B50" s="218"/>
      <c r="C50" s="218"/>
      <c r="D50" s="218"/>
      <c r="E50" s="218"/>
      <c r="J50" s="71" t="str">
        <f>'1.Ivan'!J50</f>
        <v/>
      </c>
      <c r="K50" s="212" t="s">
        <v>36</v>
      </c>
      <c r="L50" s="212"/>
      <c r="M50" s="212"/>
      <c r="N50" s="212"/>
      <c r="O50" s="212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H55" s="2">
        <v>10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3</v>
      </c>
      <c r="C56" s="2" t="s">
        <v>33</v>
      </c>
      <c r="D56" s="2">
        <v>0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8" t="str">
        <f>_xlfn.CONCAT(W2,A57)</f>
        <v>Julio Oliveira - Oitavas de Final</v>
      </c>
      <c r="B58" s="208"/>
      <c r="C58" s="208"/>
      <c r="D58" s="208"/>
      <c r="E58" s="208"/>
      <c r="K58" s="209" t="s">
        <v>126</v>
      </c>
      <c r="L58" s="209"/>
      <c r="M58" s="209"/>
      <c r="N58" s="209"/>
      <c r="O58" s="209"/>
    </row>
    <row r="59" spans="1:15" x14ac:dyDescent="0.3">
      <c r="A59" s="53" t="str">
        <f>K59</f>
        <v>Palmeiras</v>
      </c>
      <c r="B59" s="54">
        <v>1</v>
      </c>
      <c r="C59" s="54" t="s">
        <v>33</v>
      </c>
      <c r="D59" s="54">
        <v>1</v>
      </c>
      <c r="E59" s="55" t="str">
        <f>O59</f>
        <v>Botafogo</v>
      </c>
      <c r="H59" s="2">
        <v>5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2</v>
      </c>
      <c r="C60" s="54" t="s">
        <v>33</v>
      </c>
      <c r="D60" s="54">
        <v>2</v>
      </c>
      <c r="E60" s="55" t="str">
        <f t="shared" ref="E60:E66" si="17">O60</f>
        <v>Chelsea</v>
      </c>
      <c r="H60" s="2">
        <v>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2</v>
      </c>
      <c r="C61" s="54" t="s">
        <v>33</v>
      </c>
      <c r="D61" s="54">
        <v>0</v>
      </c>
      <c r="E61" s="55" t="str">
        <f t="shared" si="17"/>
        <v>Fluminense</v>
      </c>
      <c r="H61" s="2">
        <v>0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3</v>
      </c>
      <c r="C62" s="54" t="s">
        <v>33</v>
      </c>
      <c r="D62" s="54">
        <v>1</v>
      </c>
      <c r="E62" s="55" t="str">
        <f t="shared" si="17"/>
        <v>Al-Hilal</v>
      </c>
      <c r="H62" s="2">
        <v>5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4</v>
      </c>
      <c r="C63" s="54" t="s">
        <v>33</v>
      </c>
      <c r="D63" s="54">
        <v>0</v>
      </c>
      <c r="E63" s="55" t="str">
        <f t="shared" si="17"/>
        <v>Inter Miami</v>
      </c>
      <c r="H63" s="2">
        <v>25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0</v>
      </c>
      <c r="C64" s="54" t="s">
        <v>33</v>
      </c>
      <c r="D64" s="54">
        <v>0</v>
      </c>
      <c r="E64" s="55" t="str">
        <f t="shared" si="17"/>
        <v>Bayer de Munique</v>
      </c>
      <c r="H64" s="2">
        <v>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2</v>
      </c>
      <c r="C65" s="54" t="s">
        <v>33</v>
      </c>
      <c r="D65" s="54">
        <v>0</v>
      </c>
      <c r="E65" s="55" t="str">
        <f t="shared" si="17"/>
        <v>Monterrey</v>
      </c>
      <c r="H65" s="2">
        <v>15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3</v>
      </c>
      <c r="C66" s="54" t="s">
        <v>33</v>
      </c>
      <c r="D66" s="54">
        <v>2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8" t="str">
        <f>_xlfn.CONCAT(W2,A67)</f>
        <v>Julio Oliveira - Quartas de Final</v>
      </c>
      <c r="B68" s="208"/>
      <c r="C68" s="208"/>
      <c r="D68" s="208"/>
      <c r="E68" s="208"/>
      <c r="J68" s="71" t="str">
        <f>'1.Ivan'!J68</f>
        <v/>
      </c>
      <c r="K68" s="209" t="s">
        <v>95</v>
      </c>
      <c r="L68" s="209"/>
      <c r="M68" s="209"/>
      <c r="N68" s="209"/>
      <c r="O68" s="209"/>
    </row>
    <row r="69" spans="1:15" x14ac:dyDescent="0.3">
      <c r="A69" s="53" t="str">
        <f>K69</f>
        <v>Palmeiras</v>
      </c>
      <c r="B69" s="54"/>
      <c r="C69" s="54" t="s">
        <v>33</v>
      </c>
      <c r="D69" s="54"/>
      <c r="E69" s="55" t="str">
        <f>O69</f>
        <v>Chelsea</v>
      </c>
      <c r="J69" s="71" t="str">
        <f>'1.Ivan'!J69</f>
        <v>N</v>
      </c>
      <c r="K69" s="2" t="str">
        <f>IF(Tabela!A42="","",Tabela!A42)</f>
        <v>Palmeiras</v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/>
      <c r="C70" s="54" t="s">
        <v>33</v>
      </c>
      <c r="D70" s="54"/>
      <c r="E70" s="55" t="str">
        <f t="shared" ref="E70:E72" si="19">O70</f>
        <v>Al-Hilal</v>
      </c>
      <c r="J70" s="71" t="str">
        <f>'1.Ivan'!J70</f>
        <v>N</v>
      </c>
      <c r="K70" s="2" t="str">
        <f>IF(Tabela!A43="","",Tabela!A43)</f>
        <v>Fluminense</v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/>
      <c r="C71" s="54" t="s">
        <v>33</v>
      </c>
      <c r="D71" s="54"/>
      <c r="E71" s="55" t="str">
        <f t="shared" si="19"/>
        <v>Bayern de Munique</v>
      </c>
      <c r="J71" s="71" t="str">
        <f>'1.Ivan'!J71</f>
        <v>N</v>
      </c>
      <c r="K71" s="2" t="str">
        <f>IF(Tabela!A44="","",Tabela!A44)</f>
        <v>PSG</v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>Bayern de Munique</v>
      </c>
    </row>
    <row r="72" spans="1:15" x14ac:dyDescent="0.3">
      <c r="A72" s="53" t="str">
        <f t="shared" si="18"/>
        <v>Borussia Dortmund</v>
      </c>
      <c r="B72" s="54"/>
      <c r="C72" s="54" t="s">
        <v>33</v>
      </c>
      <c r="D72" s="54"/>
      <c r="E72" s="55" t="str">
        <f t="shared" si="19"/>
        <v>Real Madrid</v>
      </c>
      <c r="J72" s="71" t="str">
        <f>'1.Ivan'!J72</f>
        <v>N</v>
      </c>
      <c r="K72" s="2" t="str">
        <f>IF(Tabela!A45="","",Tabela!A45)</f>
        <v>Borussia Dortmund</v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>Real Madrid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8" t="str">
        <f>_xlfn.CONCAT(W$2,A73)</f>
        <v>Julio Oliveira - Semi Final</v>
      </c>
      <c r="B74" s="208"/>
      <c r="C74" s="208"/>
      <c r="D74" s="208"/>
      <c r="E74" s="208"/>
      <c r="J74" s="71" t="str">
        <f>'1.Ivan'!J74</f>
        <v/>
      </c>
      <c r="K74" s="209" t="s">
        <v>96</v>
      </c>
      <c r="L74" s="209"/>
      <c r="M74" s="209"/>
      <c r="N74" s="209"/>
      <c r="O74" s="209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8" t="str">
        <f>_xlfn.CONCAT(W$2,A77)</f>
        <v>Julio Oliveira - Final</v>
      </c>
      <c r="B78" s="208"/>
      <c r="C78" s="208"/>
      <c r="D78" s="208"/>
      <c r="E78" s="208"/>
      <c r="J78" s="71" t="str">
        <f>'1.Ivan'!J78</f>
        <v/>
      </c>
      <c r="K78" s="209" t="s">
        <v>98</v>
      </c>
      <c r="L78" s="209"/>
      <c r="M78" s="209"/>
      <c r="N78" s="209"/>
      <c r="O78" s="209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90CDB-1AEE-4A08-9D70-0FC42B809070}">
  <sheetPr codeName="Planilha23">
    <tabColor rgb="FF0070C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1" t="s">
        <v>35</v>
      </c>
      <c r="B1" s="211"/>
      <c r="C1" s="211"/>
      <c r="D1" s="211"/>
      <c r="E1" s="211"/>
      <c r="K1" s="212" t="s">
        <v>35</v>
      </c>
      <c r="L1" s="212"/>
      <c r="M1" s="212"/>
      <c r="N1" s="212"/>
      <c r="O1" s="212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1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0" t="s">
        <v>233</v>
      </c>
      <c r="X2" s="210"/>
      <c r="Y2" s="210"/>
      <c r="Z2" s="210"/>
      <c r="AA2" s="210"/>
      <c r="AB2" s="210"/>
      <c r="AC2" s="210"/>
      <c r="AD2" s="210"/>
      <c r="AE2" s="210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0"/>
      <c r="X3" s="210"/>
      <c r="Y3" s="210"/>
      <c r="Z3" s="210"/>
      <c r="AA3" s="210"/>
      <c r="AB3" s="210"/>
      <c r="AC3" s="210"/>
      <c r="AD3" s="210"/>
      <c r="AE3" s="210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H4" s="2">
        <v>25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0"/>
      <c r="X4" s="210"/>
      <c r="Y4" s="210"/>
      <c r="Z4" s="210"/>
      <c r="AA4" s="210"/>
      <c r="AB4" s="210"/>
      <c r="AC4" s="210"/>
      <c r="AD4" s="210"/>
      <c r="AE4" s="210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H5" s="2">
        <v>10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0"/>
      <c r="X5" s="210"/>
      <c r="Y5" s="210"/>
      <c r="Z5" s="210"/>
      <c r="AA5" s="210"/>
      <c r="AB5" s="210"/>
      <c r="AC5" s="210"/>
      <c r="AD5" s="210"/>
      <c r="AE5" s="210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H6" s="2">
        <v>10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0"/>
      <c r="X6" s="210"/>
      <c r="Y6" s="210"/>
      <c r="Z6" s="210"/>
      <c r="AA6" s="210"/>
      <c r="AB6" s="210"/>
      <c r="AC6" s="210"/>
      <c r="AD6" s="210"/>
      <c r="AE6" s="210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0</v>
      </c>
      <c r="E7" s="13" t="str">
        <f t="shared" si="1"/>
        <v>Al Ahly</v>
      </c>
      <c r="H7" s="2">
        <v>10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1" t="s">
        <v>42</v>
      </c>
      <c r="B8" s="211"/>
      <c r="C8" s="211"/>
      <c r="D8" s="211"/>
      <c r="E8" s="211"/>
      <c r="J8" s="71" t="str">
        <f>'1.Ivan'!J8</f>
        <v/>
      </c>
      <c r="K8" s="212" t="s">
        <v>42</v>
      </c>
      <c r="L8" s="212"/>
      <c r="M8" s="212"/>
      <c r="N8" s="212"/>
      <c r="O8" s="212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4" t="s">
        <v>43</v>
      </c>
      <c r="R9" s="214"/>
      <c r="S9" s="214"/>
      <c r="T9" s="214"/>
      <c r="U9" s="214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4"/>
      <c r="R10" s="214"/>
      <c r="S10" s="214"/>
      <c r="T10" s="214"/>
      <c r="U10" s="214"/>
      <c r="W10" s="132" t="s">
        <v>185</v>
      </c>
      <c r="X10" s="132"/>
      <c r="Y10" s="132"/>
      <c r="Z10" s="2">
        <v>2</v>
      </c>
      <c r="AB10" s="2">
        <v>0</v>
      </c>
      <c r="AC10" s="132" t="s">
        <v>183</v>
      </c>
      <c r="AD10" s="132"/>
      <c r="AE10" s="132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3">
        <f>SUM(H2:H82)</f>
        <v>560</v>
      </c>
      <c r="R11" s="213"/>
      <c r="S11" s="213"/>
      <c r="T11" s="213"/>
      <c r="U11" s="213"/>
      <c r="W11" s="132" t="s">
        <v>190</v>
      </c>
      <c r="X11" s="132"/>
      <c r="Y11" s="132"/>
      <c r="Z11" s="2">
        <v>0</v>
      </c>
      <c r="AB11" s="2">
        <v>2</v>
      </c>
      <c r="AC11" s="132" t="s">
        <v>187</v>
      </c>
      <c r="AD11" s="132"/>
      <c r="AE11" s="132"/>
    </row>
    <row r="12" spans="1:56" x14ac:dyDescent="0.3">
      <c r="A12" s="12" t="str">
        <f t="shared" si="2"/>
        <v>PSG</v>
      </c>
      <c r="B12" s="2">
        <v>1</v>
      </c>
      <c r="C12" s="2" t="s">
        <v>33</v>
      </c>
      <c r="D12" s="2">
        <v>1</v>
      </c>
      <c r="E12" s="13" t="str">
        <f t="shared" si="3"/>
        <v>Botafogo</v>
      </c>
      <c r="H12" s="2">
        <v>5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3"/>
      <c r="R12" s="213"/>
      <c r="S12" s="213"/>
      <c r="T12" s="213"/>
      <c r="U12" s="213"/>
      <c r="W12" s="132" t="s">
        <v>195</v>
      </c>
      <c r="X12" s="132"/>
      <c r="Y12" s="132"/>
      <c r="Z12" s="2">
        <v>2</v>
      </c>
      <c r="AB12" s="2">
        <v>0</v>
      </c>
      <c r="AC12" s="132" t="s">
        <v>196</v>
      </c>
      <c r="AD12" s="132"/>
      <c r="AE12" s="132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H13" s="2">
        <v>25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3"/>
      <c r="R13" s="213"/>
      <c r="S13" s="213"/>
      <c r="T13" s="213"/>
      <c r="U13" s="213"/>
      <c r="W13" s="132" t="s">
        <v>199</v>
      </c>
      <c r="X13" s="132"/>
      <c r="Y13" s="132"/>
      <c r="Z13" s="2">
        <v>0</v>
      </c>
      <c r="AB13" s="2">
        <v>0</v>
      </c>
      <c r="AC13" s="132" t="s">
        <v>201</v>
      </c>
      <c r="AD13" s="132"/>
      <c r="AE13" s="132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1</v>
      </c>
      <c r="E14" s="13" t="str">
        <f t="shared" si="3"/>
        <v>Botafogo</v>
      </c>
      <c r="H14" s="2">
        <v>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3"/>
      <c r="R14" s="213"/>
      <c r="S14" s="213"/>
      <c r="T14" s="213"/>
      <c r="U14" s="213"/>
      <c r="W14" s="132" t="s">
        <v>207</v>
      </c>
      <c r="X14" s="132"/>
      <c r="Y14" s="132"/>
      <c r="Z14" s="2">
        <v>2</v>
      </c>
      <c r="AB14" s="2">
        <v>0</v>
      </c>
      <c r="AC14" s="132" t="s">
        <v>208</v>
      </c>
      <c r="AD14" s="132"/>
      <c r="AE14" s="132"/>
      <c r="BD14" s="1">
        <v>5</v>
      </c>
    </row>
    <row r="15" spans="1:56" x14ac:dyDescent="0.3">
      <c r="A15" s="211" t="s">
        <v>41</v>
      </c>
      <c r="B15" s="211"/>
      <c r="C15" s="211"/>
      <c r="D15" s="211"/>
      <c r="E15" s="211"/>
      <c r="K15" s="212" t="s">
        <v>41</v>
      </c>
      <c r="L15" s="212"/>
      <c r="M15" s="212"/>
      <c r="N15" s="212"/>
      <c r="O15" s="212"/>
      <c r="Q15" s="213"/>
      <c r="R15" s="213"/>
      <c r="S15" s="213"/>
      <c r="T15" s="213"/>
      <c r="U15" s="213"/>
      <c r="W15" s="132"/>
      <c r="X15" s="132"/>
      <c r="Y15" s="132"/>
      <c r="AC15" s="132"/>
      <c r="AD15" s="132"/>
      <c r="AE15" s="132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/>
      <c r="X16" s="132"/>
      <c r="Y16" s="132"/>
      <c r="AC16" s="132"/>
      <c r="AD16" s="132"/>
      <c r="AE16" s="132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/>
      <c r="X17" s="132"/>
      <c r="Y17" s="132"/>
      <c r="AC17" s="132"/>
      <c r="AD17" s="132"/>
      <c r="AE17" s="132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H18" s="2">
        <v>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 x14ac:dyDescent="0.3">
      <c r="A19" s="12" t="str">
        <f t="shared" si="4"/>
        <v>Bayern de Munique</v>
      </c>
      <c r="B19" s="2">
        <v>1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5</v>
      </c>
      <c r="R19" s="18">
        <v>11</v>
      </c>
      <c r="S19" s="18">
        <v>21</v>
      </c>
      <c r="T19" s="18">
        <v>12</v>
      </c>
      <c r="U19" s="18">
        <v>7</v>
      </c>
      <c r="W19" s="132"/>
      <c r="X19" s="132"/>
      <c r="Y19" s="132"/>
      <c r="AC19" s="132"/>
      <c r="AD19" s="132"/>
      <c r="AE19" s="132"/>
    </row>
    <row r="20" spans="1:31" x14ac:dyDescent="0.3">
      <c r="A20" s="12" t="str">
        <f t="shared" si="4"/>
        <v>Benfica</v>
      </c>
      <c r="B20" s="2">
        <v>0</v>
      </c>
      <c r="C20" s="2" t="s">
        <v>33</v>
      </c>
      <c r="D20" s="2">
        <v>2</v>
      </c>
      <c r="E20" s="13" t="str">
        <f t="shared" si="5"/>
        <v>Bayern de Munique</v>
      </c>
      <c r="H20" s="2">
        <v>0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0</v>
      </c>
      <c r="E21" s="13" t="str">
        <f t="shared" si="5"/>
        <v>Boca Juniors</v>
      </c>
      <c r="H21" s="2">
        <v>10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5" t="s">
        <v>26</v>
      </c>
      <c r="R21" s="215"/>
      <c r="S21" s="216" t="s">
        <v>185</v>
      </c>
      <c r="T21" s="216"/>
      <c r="U21" s="216" t="s">
        <v>211</v>
      </c>
      <c r="V21" s="216"/>
      <c r="W21" s="132"/>
      <c r="X21" s="132"/>
      <c r="Y21" s="132"/>
      <c r="AC21" s="132"/>
      <c r="AD21" s="132"/>
      <c r="AE21" s="132"/>
    </row>
    <row r="22" spans="1:31" x14ac:dyDescent="0.3">
      <c r="A22" s="211" t="s">
        <v>40</v>
      </c>
      <c r="B22" s="211"/>
      <c r="C22" s="211"/>
      <c r="D22" s="211"/>
      <c r="E22" s="211"/>
      <c r="J22" s="71" t="str">
        <f>'1.Ivan'!J22</f>
        <v/>
      </c>
      <c r="K22" s="212" t="s">
        <v>40</v>
      </c>
      <c r="L22" s="212"/>
      <c r="M22" s="212"/>
      <c r="N22" s="212"/>
      <c r="O22" s="212"/>
      <c r="Q22" s="215" t="s">
        <v>25</v>
      </c>
      <c r="R22" s="215"/>
      <c r="S22" s="217" t="s">
        <v>245</v>
      </c>
      <c r="T22" s="217"/>
      <c r="U22" s="217" t="s">
        <v>237</v>
      </c>
      <c r="V22" s="217"/>
      <c r="W22" s="132"/>
      <c r="X22" s="132"/>
      <c r="Y22" s="132"/>
      <c r="AC22" s="132"/>
      <c r="AD22" s="132"/>
      <c r="AE22" s="132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 x14ac:dyDescent="0.3">
      <c r="A25" s="12" t="str">
        <f t="shared" si="6"/>
        <v>Flamengo</v>
      </c>
      <c r="B25" s="2">
        <v>2</v>
      </c>
      <c r="C25" s="2" t="s">
        <v>33</v>
      </c>
      <c r="D25" s="2">
        <v>1</v>
      </c>
      <c r="E25" s="13" t="str">
        <f t="shared" si="7"/>
        <v>Chelsea</v>
      </c>
      <c r="H25" s="2">
        <v>15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 x14ac:dyDescent="0.3">
      <c r="A26" s="12" t="str">
        <f t="shared" si="6"/>
        <v>Los Angeles FC</v>
      </c>
      <c r="B26" s="2">
        <v>0</v>
      </c>
      <c r="C26" s="2" t="s">
        <v>33</v>
      </c>
      <c r="D26" s="2">
        <v>0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1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2</v>
      </c>
      <c r="E28" s="13" t="str">
        <f t="shared" si="7"/>
        <v>Flamengo</v>
      </c>
      <c r="H28" s="2">
        <v>0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 x14ac:dyDescent="0.3">
      <c r="A29" s="211" t="s">
        <v>39</v>
      </c>
      <c r="B29" s="211"/>
      <c r="C29" s="211"/>
      <c r="D29" s="211"/>
      <c r="E29" s="211"/>
      <c r="K29" s="212" t="s">
        <v>39</v>
      </c>
      <c r="L29" s="212"/>
      <c r="M29" s="212"/>
      <c r="N29" s="212"/>
      <c r="O29" s="212"/>
      <c r="W29" s="132"/>
      <c r="X29" s="132"/>
      <c r="Y29" s="132"/>
      <c r="AC29" s="132"/>
      <c r="AD29" s="132"/>
      <c r="AE29" s="132"/>
    </row>
    <row r="30" spans="1:31" x14ac:dyDescent="0.3">
      <c r="A30" s="12" t="str">
        <f>K30</f>
        <v>River Plate</v>
      </c>
      <c r="B30" s="2">
        <v>0</v>
      </c>
      <c r="C30" s="2" t="s">
        <v>33</v>
      </c>
      <c r="D30" s="2">
        <v>0</v>
      </c>
      <c r="E30" s="13" t="str">
        <f>O30</f>
        <v>Urawa Reds</v>
      </c>
      <c r="H30" s="2">
        <v>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1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0</v>
      </c>
      <c r="C33" s="2" t="s">
        <v>33</v>
      </c>
      <c r="D33" s="2">
        <v>0</v>
      </c>
      <c r="E33" s="13" t="str">
        <f t="shared" si="9"/>
        <v>Monterrey</v>
      </c>
      <c r="H33" s="2">
        <v>25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H35" s="2">
        <v>5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1" t="s">
        <v>38</v>
      </c>
      <c r="B36" s="211"/>
      <c r="C36" s="211"/>
      <c r="D36" s="211"/>
      <c r="E36" s="211"/>
      <c r="J36" s="71" t="str">
        <f>'1.Ivan'!J36</f>
        <v/>
      </c>
      <c r="K36" s="212" t="s">
        <v>38</v>
      </c>
      <c r="L36" s="212"/>
      <c r="M36" s="212"/>
      <c r="N36" s="212"/>
      <c r="O36" s="212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1</v>
      </c>
      <c r="E37" s="13" t="str">
        <f>O37</f>
        <v>Borussisa Dortmund</v>
      </c>
      <c r="H37" s="2">
        <v>10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1</v>
      </c>
      <c r="E42" s="13" t="str">
        <f t="shared" si="11"/>
        <v>Ulsan HD</v>
      </c>
      <c r="H42" s="2">
        <v>10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1" t="s">
        <v>37</v>
      </c>
      <c r="B43" s="211"/>
      <c r="C43" s="211"/>
      <c r="D43" s="211"/>
      <c r="E43" s="211"/>
      <c r="J43" s="71" t="str">
        <f>'1.Ivan'!J43</f>
        <v/>
      </c>
      <c r="K43" s="212" t="s">
        <v>37</v>
      </c>
      <c r="L43" s="212"/>
      <c r="M43" s="212"/>
      <c r="N43" s="212"/>
      <c r="O43" s="212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1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1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0</v>
      </c>
      <c r="E49" s="13" t="str">
        <f t="shared" si="13"/>
        <v>Al-Ain</v>
      </c>
      <c r="H49" s="2">
        <v>0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1" t="s">
        <v>36</v>
      </c>
      <c r="B50" s="211"/>
      <c r="C50" s="211"/>
      <c r="D50" s="211"/>
      <c r="E50" s="211"/>
      <c r="J50" s="71" t="str">
        <f>'1.Ivan'!J50</f>
        <v/>
      </c>
      <c r="K50" s="212" t="s">
        <v>36</v>
      </c>
      <c r="L50" s="212"/>
      <c r="M50" s="212"/>
      <c r="N50" s="212"/>
      <c r="O50" s="212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10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8" t="str">
        <f>_xlfn.CONCAT(W2,A57)</f>
        <v>Miguel - Oitavas de Final</v>
      </c>
      <c r="B58" s="208"/>
      <c r="C58" s="208"/>
      <c r="D58" s="208"/>
      <c r="E58" s="208"/>
      <c r="K58" s="209" t="s">
        <v>126</v>
      </c>
      <c r="L58" s="209"/>
      <c r="M58" s="209"/>
      <c r="N58" s="209"/>
      <c r="O58" s="209"/>
    </row>
    <row r="59" spans="1:15" x14ac:dyDescent="0.3">
      <c r="A59" s="53" t="str">
        <f>K59</f>
        <v>Palmeiras</v>
      </c>
      <c r="B59" s="54">
        <v>2</v>
      </c>
      <c r="C59" s="54" t="s">
        <v>33</v>
      </c>
      <c r="D59" s="54">
        <v>0</v>
      </c>
      <c r="E59" s="55" t="str">
        <f>O59</f>
        <v>Botafogo</v>
      </c>
      <c r="H59" s="2">
        <v>15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0</v>
      </c>
      <c r="C60" s="54" t="s">
        <v>33</v>
      </c>
      <c r="D60" s="54">
        <v>2</v>
      </c>
      <c r="E60" s="55" t="str">
        <f t="shared" ref="E60:E66" si="17">O60</f>
        <v>Chelsea</v>
      </c>
      <c r="H60" s="2">
        <v>10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0</v>
      </c>
      <c r="C61" s="54" t="s">
        <v>33</v>
      </c>
      <c r="D61" s="54">
        <v>0</v>
      </c>
      <c r="E61" s="55" t="str">
        <f t="shared" si="17"/>
        <v>Fluminense</v>
      </c>
      <c r="H61" s="2">
        <v>5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2</v>
      </c>
      <c r="C62" s="54" t="s">
        <v>33</v>
      </c>
      <c r="D62" s="54">
        <v>1</v>
      </c>
      <c r="E62" s="55" t="str">
        <f t="shared" si="17"/>
        <v>Al-Hilal</v>
      </c>
      <c r="H62" s="2">
        <v>0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1</v>
      </c>
      <c r="C63" s="54" t="s">
        <v>33</v>
      </c>
      <c r="D63" s="54">
        <v>1</v>
      </c>
      <c r="E63" s="55" t="str">
        <f t="shared" si="17"/>
        <v>Inter Miami</v>
      </c>
      <c r="H63" s="2">
        <v>0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2</v>
      </c>
      <c r="C64" s="54" t="s">
        <v>33</v>
      </c>
      <c r="D64" s="54">
        <v>1</v>
      </c>
      <c r="E64" s="55" t="str">
        <f t="shared" si="17"/>
        <v>Bayer de Munique</v>
      </c>
      <c r="H64" s="2">
        <v>5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3</v>
      </c>
      <c r="C65" s="54" t="s">
        <v>33</v>
      </c>
      <c r="D65" s="54">
        <v>0</v>
      </c>
      <c r="E65" s="55" t="str">
        <f t="shared" si="17"/>
        <v>Monterrey</v>
      </c>
      <c r="H65" s="2">
        <v>10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3</v>
      </c>
      <c r="C66" s="54" t="s">
        <v>33</v>
      </c>
      <c r="D66" s="54">
        <v>1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8" t="str">
        <f>_xlfn.CONCAT(W2,A67)</f>
        <v>Miguel - Quartas de Final</v>
      </c>
      <c r="B68" s="208"/>
      <c r="C68" s="208"/>
      <c r="D68" s="208"/>
      <c r="E68" s="208"/>
      <c r="J68" s="71" t="str">
        <f>'1.Ivan'!J68</f>
        <v/>
      </c>
      <c r="K68" s="209" t="s">
        <v>95</v>
      </c>
      <c r="L68" s="209"/>
      <c r="M68" s="209"/>
      <c r="N68" s="209"/>
      <c r="O68" s="209"/>
    </row>
    <row r="69" spans="1:15" x14ac:dyDescent="0.3">
      <c r="A69" s="53" t="str">
        <f>K69</f>
        <v>Palmeiras</v>
      </c>
      <c r="B69" s="54"/>
      <c r="C69" s="54" t="s">
        <v>33</v>
      </c>
      <c r="D69" s="54"/>
      <c r="E69" s="55" t="str">
        <f>O69</f>
        <v>Chelsea</v>
      </c>
      <c r="J69" s="71" t="str">
        <f>'1.Ivan'!J69</f>
        <v>N</v>
      </c>
      <c r="K69" s="2" t="str">
        <f>IF(Tabela!A42="","",Tabela!A42)</f>
        <v>Palmeiras</v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/>
      <c r="C70" s="54" t="s">
        <v>33</v>
      </c>
      <c r="D70" s="54"/>
      <c r="E70" s="55" t="str">
        <f t="shared" ref="E70:E72" si="19">O70</f>
        <v>Al-Hilal</v>
      </c>
      <c r="J70" s="71" t="str">
        <f>'1.Ivan'!J70</f>
        <v>N</v>
      </c>
      <c r="K70" s="2" t="str">
        <f>IF(Tabela!A43="","",Tabela!A43)</f>
        <v>Fluminense</v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/>
      <c r="C71" s="54" t="s">
        <v>33</v>
      </c>
      <c r="D71" s="54"/>
      <c r="E71" s="55" t="str">
        <f t="shared" si="19"/>
        <v>Bayern de Munique</v>
      </c>
      <c r="J71" s="71" t="str">
        <f>'1.Ivan'!J71</f>
        <v>N</v>
      </c>
      <c r="K71" s="2" t="str">
        <f>IF(Tabela!A44="","",Tabela!A44)</f>
        <v>PSG</v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>Bayern de Munique</v>
      </c>
    </row>
    <row r="72" spans="1:15" x14ac:dyDescent="0.3">
      <c r="A72" s="53" t="str">
        <f t="shared" si="18"/>
        <v>Borussia Dortmund</v>
      </c>
      <c r="B72" s="54"/>
      <c r="C72" s="54" t="s">
        <v>33</v>
      </c>
      <c r="D72" s="54"/>
      <c r="E72" s="55" t="str">
        <f t="shared" si="19"/>
        <v>Real Madrid</v>
      </c>
      <c r="J72" s="71" t="str">
        <f>'1.Ivan'!J72</f>
        <v>N</v>
      </c>
      <c r="K72" s="2" t="str">
        <f>IF(Tabela!A45="","",Tabela!A45)</f>
        <v>Borussia Dortmund</v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>Real Madrid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8" t="str">
        <f>_xlfn.CONCAT(W$2,A73)</f>
        <v>Miguel - Semi Final</v>
      </c>
      <c r="B74" s="208"/>
      <c r="C74" s="208"/>
      <c r="D74" s="208"/>
      <c r="E74" s="208"/>
      <c r="J74" s="71" t="str">
        <f>'1.Ivan'!J74</f>
        <v/>
      </c>
      <c r="K74" s="209" t="s">
        <v>96</v>
      </c>
      <c r="L74" s="209"/>
      <c r="M74" s="209"/>
      <c r="N74" s="209"/>
      <c r="O74" s="209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8" t="str">
        <f>_xlfn.CONCAT(W$2,A77)</f>
        <v>Miguel - Final</v>
      </c>
      <c r="B78" s="208"/>
      <c r="C78" s="208"/>
      <c r="D78" s="208"/>
      <c r="E78" s="208"/>
      <c r="J78" s="71" t="str">
        <f>'1.Ivan'!J78</f>
        <v/>
      </c>
      <c r="K78" s="209" t="s">
        <v>98</v>
      </c>
      <c r="L78" s="209"/>
      <c r="M78" s="209"/>
      <c r="N78" s="209"/>
      <c r="O78" s="209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03B4EF-1BE4-41A3-B852-B206671CD4CA}">
  <sheetPr codeName="Planilha24">
    <tabColor rgb="FF0070C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8" t="s">
        <v>35</v>
      </c>
      <c r="B1" s="218"/>
      <c r="C1" s="218"/>
      <c r="D1" s="218"/>
      <c r="E1" s="218"/>
      <c r="K1" s="212" t="s">
        <v>35</v>
      </c>
      <c r="L1" s="212"/>
      <c r="M1" s="212"/>
      <c r="N1" s="212"/>
      <c r="O1" s="212"/>
    </row>
    <row r="2" spans="1:56" x14ac:dyDescent="0.3">
      <c r="A2" s="72" t="str">
        <f>K2</f>
        <v>Al Ahly</v>
      </c>
      <c r="B2" s="70" t="s">
        <v>248</v>
      </c>
      <c r="C2" s="70" t="s">
        <v>33</v>
      </c>
      <c r="D2" s="70" t="s">
        <v>248</v>
      </c>
      <c r="E2" s="73" t="str">
        <f>O2</f>
        <v>Inter Miami</v>
      </c>
      <c r="J2" s="71" t="s">
        <v>220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0" t="s">
        <v>246</v>
      </c>
      <c r="X2" s="210"/>
      <c r="Y2" s="210"/>
      <c r="Z2" s="210"/>
      <c r="AA2" s="210"/>
      <c r="AB2" s="210"/>
      <c r="AC2" s="210"/>
      <c r="AD2" s="210"/>
      <c r="AE2" s="210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0"/>
      <c r="X3" s="210"/>
      <c r="Y3" s="210"/>
      <c r="Z3" s="210"/>
      <c r="AA3" s="210"/>
      <c r="AB3" s="210"/>
      <c r="AC3" s="210"/>
      <c r="AD3" s="210"/>
      <c r="AE3" s="210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0"/>
      <c r="X4" s="210"/>
      <c r="Y4" s="210"/>
      <c r="Z4" s="210"/>
      <c r="AA4" s="210"/>
      <c r="AB4" s="210"/>
      <c r="AC4" s="210"/>
      <c r="AD4" s="210"/>
      <c r="AE4" s="210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H5" s="2">
        <v>10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0"/>
      <c r="X5" s="210"/>
      <c r="Y5" s="210"/>
      <c r="Z5" s="210"/>
      <c r="AA5" s="210"/>
      <c r="AB5" s="210"/>
      <c r="AC5" s="210"/>
      <c r="AD5" s="210"/>
      <c r="AE5" s="210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0"/>
      <c r="X6" s="210"/>
      <c r="Y6" s="210"/>
      <c r="Z6" s="210"/>
      <c r="AA6" s="210"/>
      <c r="AB6" s="210"/>
      <c r="AC6" s="210"/>
      <c r="AD6" s="210"/>
      <c r="AE6" s="210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8" t="s">
        <v>42</v>
      </c>
      <c r="B8" s="218"/>
      <c r="C8" s="218"/>
      <c r="D8" s="218"/>
      <c r="E8" s="218"/>
      <c r="J8" s="71" t="str">
        <f>'1.Ivan'!J8</f>
        <v/>
      </c>
      <c r="K8" s="212" t="s">
        <v>42</v>
      </c>
      <c r="L8" s="212"/>
      <c r="M8" s="212"/>
      <c r="N8" s="212"/>
      <c r="O8" s="212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4" t="s">
        <v>43</v>
      </c>
      <c r="R9" s="214"/>
      <c r="S9" s="214"/>
      <c r="T9" s="214"/>
      <c r="U9" s="214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4"/>
      <c r="R10" s="214"/>
      <c r="S10" s="214"/>
      <c r="T10" s="214"/>
      <c r="U10" s="214"/>
      <c r="W10" s="132" t="s">
        <v>188</v>
      </c>
      <c r="X10" s="132"/>
      <c r="Y10" s="132"/>
      <c r="Z10" s="2">
        <v>1</v>
      </c>
      <c r="AB10" s="2">
        <v>0</v>
      </c>
      <c r="AC10" s="132" t="s">
        <v>189</v>
      </c>
      <c r="AD10" s="132"/>
      <c r="AE10" s="132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3">
        <f>SUM(H2:H82)</f>
        <v>610</v>
      </c>
      <c r="R11" s="213"/>
      <c r="S11" s="213"/>
      <c r="T11" s="213"/>
      <c r="U11" s="213"/>
      <c r="W11" s="132" t="s">
        <v>195</v>
      </c>
      <c r="X11" s="132"/>
      <c r="Y11" s="132"/>
      <c r="Z11" s="2">
        <v>2</v>
      </c>
      <c r="AB11" s="2">
        <v>0</v>
      </c>
      <c r="AC11" s="132" t="s">
        <v>196</v>
      </c>
      <c r="AD11" s="132"/>
      <c r="AE11" s="132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3"/>
      <c r="R12" s="213"/>
      <c r="S12" s="213"/>
      <c r="T12" s="213"/>
      <c r="U12" s="213"/>
      <c r="W12" s="132" t="s">
        <v>197</v>
      </c>
      <c r="X12" s="132"/>
      <c r="Y12" s="132"/>
      <c r="Z12" s="2">
        <v>2</v>
      </c>
      <c r="AB12" s="2">
        <v>0</v>
      </c>
      <c r="AC12" s="132" t="s">
        <v>198</v>
      </c>
      <c r="AD12" s="132"/>
      <c r="AE12" s="132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3"/>
      <c r="R13" s="213"/>
      <c r="S13" s="213"/>
      <c r="T13" s="213"/>
      <c r="U13" s="213"/>
      <c r="W13" s="132" t="s">
        <v>198</v>
      </c>
      <c r="X13" s="132"/>
      <c r="Y13" s="132"/>
      <c r="Z13" s="2">
        <v>0</v>
      </c>
      <c r="AB13" s="2">
        <v>3</v>
      </c>
      <c r="AC13" s="132" t="s">
        <v>195</v>
      </c>
      <c r="AD13" s="132"/>
      <c r="AE13" s="132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0</v>
      </c>
      <c r="E14" s="13" t="str">
        <f t="shared" si="3"/>
        <v>Botafogo</v>
      </c>
      <c r="H14" s="2">
        <v>25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3"/>
      <c r="R14" s="213"/>
      <c r="S14" s="213"/>
      <c r="T14" s="213"/>
      <c r="U14" s="213"/>
      <c r="W14" s="132" t="s">
        <v>212</v>
      </c>
      <c r="X14" s="132"/>
      <c r="Y14" s="132"/>
      <c r="Z14" s="2">
        <v>2</v>
      </c>
      <c r="AB14" s="2">
        <v>0</v>
      </c>
      <c r="AC14" s="132" t="s">
        <v>213</v>
      </c>
      <c r="AD14" s="132"/>
      <c r="AE14" s="132"/>
      <c r="BD14" s="1">
        <v>5</v>
      </c>
    </row>
    <row r="15" spans="1:56" x14ac:dyDescent="0.3">
      <c r="A15" s="218" t="s">
        <v>41</v>
      </c>
      <c r="B15" s="218"/>
      <c r="C15" s="218"/>
      <c r="D15" s="218"/>
      <c r="E15" s="218"/>
      <c r="K15" s="212" t="s">
        <v>41</v>
      </c>
      <c r="L15" s="212"/>
      <c r="M15" s="212"/>
      <c r="N15" s="212"/>
      <c r="O15" s="212"/>
      <c r="Q15" s="213"/>
      <c r="R15" s="213"/>
      <c r="S15" s="213"/>
      <c r="T15" s="213"/>
      <c r="U15" s="213"/>
      <c r="W15" s="132" t="s">
        <v>211</v>
      </c>
      <c r="X15" s="132"/>
      <c r="Y15" s="132"/>
      <c r="Z15" s="2">
        <v>1</v>
      </c>
      <c r="AB15" s="2">
        <v>0</v>
      </c>
      <c r="AC15" s="132" t="s">
        <v>210</v>
      </c>
      <c r="AD15" s="132"/>
      <c r="AE15" s="132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/>
      <c r="X16" s="132"/>
      <c r="Y16" s="132"/>
      <c r="AC16" s="132"/>
      <c r="AD16" s="132"/>
      <c r="AE16" s="132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/>
      <c r="X17" s="132"/>
      <c r="Y17" s="132"/>
      <c r="AC17" s="132"/>
      <c r="AD17" s="132"/>
      <c r="AE17" s="132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6</v>
      </c>
      <c r="R19" s="18">
        <v>21</v>
      </c>
      <c r="S19" s="18">
        <v>8</v>
      </c>
      <c r="T19" s="18">
        <v>13</v>
      </c>
      <c r="U19" s="18">
        <v>7</v>
      </c>
      <c r="W19" s="132"/>
      <c r="X19" s="132"/>
      <c r="Y19" s="132"/>
      <c r="AC19" s="132"/>
      <c r="AD19" s="132"/>
      <c r="AE19" s="132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5" t="s">
        <v>26</v>
      </c>
      <c r="R21" s="215"/>
      <c r="S21" s="216" t="s">
        <v>185</v>
      </c>
      <c r="T21" s="216"/>
      <c r="U21" s="216" t="s">
        <v>211</v>
      </c>
      <c r="V21" s="216"/>
      <c r="W21" s="132"/>
      <c r="X21" s="132"/>
      <c r="Y21" s="132"/>
      <c r="AC21" s="132"/>
      <c r="AD21" s="132"/>
      <c r="AE21" s="132"/>
    </row>
    <row r="22" spans="1:31" x14ac:dyDescent="0.3">
      <c r="A22" s="218" t="s">
        <v>40</v>
      </c>
      <c r="B22" s="218"/>
      <c r="C22" s="218"/>
      <c r="D22" s="218"/>
      <c r="E22" s="218"/>
      <c r="J22" s="71" t="str">
        <f>'1.Ivan'!J22</f>
        <v/>
      </c>
      <c r="K22" s="212" t="s">
        <v>40</v>
      </c>
      <c r="L22" s="212"/>
      <c r="M22" s="212"/>
      <c r="N22" s="212"/>
      <c r="O22" s="212"/>
      <c r="Q22" s="215" t="s">
        <v>25</v>
      </c>
      <c r="R22" s="215"/>
      <c r="S22" s="217" t="s">
        <v>238</v>
      </c>
      <c r="T22" s="217"/>
      <c r="U22" s="217" t="s">
        <v>237</v>
      </c>
      <c r="V22" s="217"/>
      <c r="W22" s="132"/>
      <c r="X22" s="132"/>
      <c r="Y22" s="132"/>
      <c r="AC22" s="132"/>
      <c r="AD22" s="132"/>
      <c r="AE22" s="132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 x14ac:dyDescent="0.3">
      <c r="A25" s="12" t="str">
        <f t="shared" si="6"/>
        <v>Flamengo</v>
      </c>
      <c r="B25" s="2">
        <v>0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3</v>
      </c>
      <c r="E27" s="13" t="str">
        <f t="shared" si="7"/>
        <v>Chelsea</v>
      </c>
      <c r="H27" s="2">
        <v>25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 x14ac:dyDescent="0.3">
      <c r="A29" s="218" t="s">
        <v>39</v>
      </c>
      <c r="B29" s="218"/>
      <c r="C29" s="218"/>
      <c r="D29" s="218"/>
      <c r="E29" s="218"/>
      <c r="K29" s="212" t="s">
        <v>39</v>
      </c>
      <c r="L29" s="212"/>
      <c r="M29" s="212"/>
      <c r="N29" s="212"/>
      <c r="O29" s="212"/>
      <c r="W29" s="132"/>
      <c r="X29" s="132"/>
      <c r="Y29" s="132"/>
      <c r="AC29" s="132"/>
      <c r="AD29" s="132"/>
      <c r="AE29" s="132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H35" s="2">
        <v>5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8" t="s">
        <v>38</v>
      </c>
      <c r="B36" s="218"/>
      <c r="C36" s="218"/>
      <c r="D36" s="218"/>
      <c r="E36" s="218"/>
      <c r="J36" s="71" t="str">
        <f>'1.Ivan'!J36</f>
        <v/>
      </c>
      <c r="K36" s="212" t="s">
        <v>38</v>
      </c>
      <c r="L36" s="212"/>
      <c r="M36" s="212"/>
      <c r="N36" s="212"/>
      <c r="O36" s="212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1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8" t="s">
        <v>37</v>
      </c>
      <c r="B43" s="218"/>
      <c r="C43" s="218"/>
      <c r="D43" s="218"/>
      <c r="E43" s="218"/>
      <c r="J43" s="71" t="str">
        <f>'1.Ivan'!J43</f>
        <v/>
      </c>
      <c r="K43" s="212" t="s">
        <v>37</v>
      </c>
      <c r="L43" s="212"/>
      <c r="M43" s="212"/>
      <c r="N43" s="212"/>
      <c r="O43" s="212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24" x14ac:dyDescent="0.3">
      <c r="A49" s="12" t="str">
        <f t="shared" si="12"/>
        <v>Wydad Casablanca</v>
      </c>
      <c r="B49" s="2">
        <v>0</v>
      </c>
      <c r="C49" s="2" t="s">
        <v>33</v>
      </c>
      <c r="D49" s="2">
        <v>2</v>
      </c>
      <c r="E49" s="13" t="str">
        <f t="shared" si="13"/>
        <v>Al-Ain</v>
      </c>
      <c r="H49" s="2">
        <v>15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24" x14ac:dyDescent="0.3">
      <c r="A50" s="218" t="s">
        <v>36</v>
      </c>
      <c r="B50" s="218"/>
      <c r="C50" s="218"/>
      <c r="D50" s="218"/>
      <c r="E50" s="218"/>
      <c r="J50" s="71" t="str">
        <f>'1.Ivan'!J50</f>
        <v/>
      </c>
      <c r="K50" s="212" t="s">
        <v>36</v>
      </c>
      <c r="L50" s="212"/>
      <c r="M50" s="212"/>
      <c r="N50" s="212"/>
      <c r="O50" s="212"/>
    </row>
    <row r="51" spans="1:24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24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15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24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24" x14ac:dyDescent="0.3">
      <c r="A54" s="12" t="str">
        <f t="shared" si="14"/>
        <v>RB Salzburg</v>
      </c>
      <c r="B54" s="2">
        <v>2</v>
      </c>
      <c r="C54" s="2" t="s">
        <v>33</v>
      </c>
      <c r="D54" s="2">
        <v>1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  <c r="T54" s="115"/>
      <c r="U54" s="115"/>
      <c r="V54" s="115"/>
      <c r="W54" s="116"/>
      <c r="X54" s="116"/>
    </row>
    <row r="55" spans="1:24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24" x14ac:dyDescent="0.3">
      <c r="A56" s="12" t="str">
        <f t="shared" si="14"/>
        <v>Al-Hilal</v>
      </c>
      <c r="B56" s="2">
        <v>2</v>
      </c>
      <c r="C56" s="2" t="s">
        <v>33</v>
      </c>
      <c r="D56" s="2">
        <v>0</v>
      </c>
      <c r="E56" s="13" t="str">
        <f t="shared" si="15"/>
        <v>Pachuca</v>
      </c>
      <c r="H56" s="2">
        <v>25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24" x14ac:dyDescent="0.3">
      <c r="A57" s="21" t="s">
        <v>127</v>
      </c>
    </row>
    <row r="58" spans="1:24" x14ac:dyDescent="0.3">
      <c r="A58" s="208" t="str">
        <f>_xlfn.CONCAT(W2,A57)</f>
        <v>Francesco - Oitavas de Final</v>
      </c>
      <c r="B58" s="208"/>
      <c r="C58" s="208"/>
      <c r="D58" s="208"/>
      <c r="E58" s="208"/>
      <c r="K58" s="209" t="s">
        <v>126</v>
      </c>
      <c r="L58" s="209"/>
      <c r="M58" s="209"/>
      <c r="N58" s="209"/>
      <c r="O58" s="209"/>
    </row>
    <row r="59" spans="1:24" x14ac:dyDescent="0.3">
      <c r="A59" s="53" t="str">
        <f>K59</f>
        <v>Palmeiras</v>
      </c>
      <c r="B59" s="54">
        <v>2</v>
      </c>
      <c r="C59" s="54" t="s">
        <v>33</v>
      </c>
      <c r="D59" s="54">
        <v>0</v>
      </c>
      <c r="E59" s="55" t="str">
        <f>O59</f>
        <v>Botafogo</v>
      </c>
      <c r="H59" s="2">
        <v>15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24" x14ac:dyDescent="0.3">
      <c r="A60" s="53" t="str">
        <f t="shared" ref="A60:A66" si="16">K60</f>
        <v>Benfica</v>
      </c>
      <c r="B60" s="54">
        <v>0</v>
      </c>
      <c r="C60" s="54" t="s">
        <v>33</v>
      </c>
      <c r="D60" s="54">
        <v>2</v>
      </c>
      <c r="E60" s="55" t="str">
        <f t="shared" ref="E60:E66" si="17">O60</f>
        <v>Chelsea</v>
      </c>
      <c r="H60" s="2">
        <v>10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24" x14ac:dyDescent="0.3">
      <c r="A61" s="53" t="str">
        <f t="shared" si="16"/>
        <v>Inter de Milão</v>
      </c>
      <c r="B61" s="54">
        <v>3</v>
      </c>
      <c r="C61" s="54" t="s">
        <v>33</v>
      </c>
      <c r="D61" s="54">
        <v>1</v>
      </c>
      <c r="E61" s="55" t="str">
        <f t="shared" si="17"/>
        <v>Fluminense</v>
      </c>
      <c r="H61" s="2">
        <v>0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24" x14ac:dyDescent="0.3">
      <c r="A62" s="53" t="str">
        <f t="shared" si="16"/>
        <v>Manchester City</v>
      </c>
      <c r="B62" s="54">
        <v>4</v>
      </c>
      <c r="C62" s="54" t="s">
        <v>33</v>
      </c>
      <c r="D62" s="54">
        <v>0</v>
      </c>
      <c r="E62" s="55" t="str">
        <f t="shared" si="17"/>
        <v>Al-Hilal</v>
      </c>
      <c r="H62" s="2">
        <v>0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24" x14ac:dyDescent="0.3">
      <c r="A63" s="53" t="str">
        <f t="shared" si="16"/>
        <v>PSG</v>
      </c>
      <c r="B63" s="54">
        <v>4</v>
      </c>
      <c r="C63" s="54" t="s">
        <v>33</v>
      </c>
      <c r="D63" s="54">
        <v>2</v>
      </c>
      <c r="E63" s="55" t="str">
        <f t="shared" si="17"/>
        <v>Inter Miami</v>
      </c>
      <c r="H63" s="2">
        <v>15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24" x14ac:dyDescent="0.3">
      <c r="A64" s="53" t="str">
        <f t="shared" si="16"/>
        <v>Flamengo</v>
      </c>
      <c r="B64" s="54">
        <v>1</v>
      </c>
      <c r="C64" s="54" t="s">
        <v>33</v>
      </c>
      <c r="D64" s="54">
        <v>2</v>
      </c>
      <c r="E64" s="55" t="str">
        <f t="shared" si="17"/>
        <v>Bayer de Munique</v>
      </c>
      <c r="H64" s="2">
        <v>10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3</v>
      </c>
      <c r="C65" s="54" t="s">
        <v>33</v>
      </c>
      <c r="D65" s="54">
        <v>0</v>
      </c>
      <c r="E65" s="55" t="str">
        <f t="shared" si="17"/>
        <v>Monterrey</v>
      </c>
      <c r="H65" s="2">
        <v>10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1</v>
      </c>
      <c r="C66" s="54" t="s">
        <v>33</v>
      </c>
      <c r="D66" s="54">
        <v>0</v>
      </c>
      <c r="E66" s="55" t="str">
        <f t="shared" si="17"/>
        <v>Juventus</v>
      </c>
      <c r="H66" s="2">
        <v>25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8" t="str">
        <f>_xlfn.CONCAT(W2,A67)</f>
        <v>Francesco - Quartas de Final</v>
      </c>
      <c r="B68" s="208"/>
      <c r="C68" s="208"/>
      <c r="D68" s="208"/>
      <c r="E68" s="208"/>
      <c r="J68" s="71" t="str">
        <f>'1.Ivan'!J68</f>
        <v/>
      </c>
      <c r="K68" s="209" t="s">
        <v>95</v>
      </c>
      <c r="L68" s="209"/>
      <c r="M68" s="209"/>
      <c r="N68" s="209"/>
      <c r="O68" s="209"/>
    </row>
    <row r="69" spans="1:15" x14ac:dyDescent="0.3">
      <c r="A69" s="53" t="str">
        <f>K69</f>
        <v>Palmeiras</v>
      </c>
      <c r="B69" s="54"/>
      <c r="C69" s="54" t="s">
        <v>33</v>
      </c>
      <c r="D69" s="54"/>
      <c r="E69" s="55" t="str">
        <f>O69</f>
        <v>Chelsea</v>
      </c>
      <c r="J69" s="71" t="str">
        <f>'1.Ivan'!J69</f>
        <v>N</v>
      </c>
      <c r="K69" s="2" t="str">
        <f>IF(Tabela!A42="","",Tabela!A42)</f>
        <v>Palmeiras</v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/>
      <c r="C70" s="54" t="s">
        <v>33</v>
      </c>
      <c r="D70" s="54"/>
      <c r="E70" s="55" t="str">
        <f t="shared" ref="E70:E72" si="19">O70</f>
        <v>Al-Hilal</v>
      </c>
      <c r="J70" s="71" t="str">
        <f>'1.Ivan'!J70</f>
        <v>N</v>
      </c>
      <c r="K70" s="2" t="str">
        <f>IF(Tabela!A43="","",Tabela!A43)</f>
        <v>Fluminense</v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/>
      <c r="C71" s="54" t="s">
        <v>33</v>
      </c>
      <c r="D71" s="54"/>
      <c r="E71" s="55" t="str">
        <f t="shared" si="19"/>
        <v>Bayern de Munique</v>
      </c>
      <c r="J71" s="71" t="str">
        <f>'1.Ivan'!J71</f>
        <v>N</v>
      </c>
      <c r="K71" s="2" t="str">
        <f>IF(Tabela!A44="","",Tabela!A44)</f>
        <v>PSG</v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>Bayern de Munique</v>
      </c>
    </row>
    <row r="72" spans="1:15" x14ac:dyDescent="0.3">
      <c r="A72" s="53" t="str">
        <f t="shared" si="18"/>
        <v>Borussia Dortmund</v>
      </c>
      <c r="B72" s="54"/>
      <c r="C72" s="54" t="s">
        <v>33</v>
      </c>
      <c r="D72" s="54"/>
      <c r="E72" s="55" t="str">
        <f t="shared" si="19"/>
        <v>Real Madrid</v>
      </c>
      <c r="J72" s="71" t="str">
        <f>'1.Ivan'!J72</f>
        <v>N</v>
      </c>
      <c r="K72" s="2" t="str">
        <f>IF(Tabela!A45="","",Tabela!A45)</f>
        <v>Borussia Dortmund</v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>Real Madrid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8" t="str">
        <f>_xlfn.CONCAT(W$2,A73)</f>
        <v>Francesco - Semi Final</v>
      </c>
      <c r="B74" s="208"/>
      <c r="C74" s="208"/>
      <c r="D74" s="208"/>
      <c r="E74" s="208"/>
      <c r="J74" s="71" t="str">
        <f>'1.Ivan'!J74</f>
        <v/>
      </c>
      <c r="K74" s="209" t="s">
        <v>96</v>
      </c>
      <c r="L74" s="209"/>
      <c r="M74" s="209"/>
      <c r="N74" s="209"/>
      <c r="O74" s="209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8" t="str">
        <f>_xlfn.CONCAT(W$2,A77)</f>
        <v>Francesco - Final</v>
      </c>
      <c r="B78" s="208"/>
      <c r="C78" s="208"/>
      <c r="D78" s="208"/>
      <c r="E78" s="208"/>
      <c r="J78" s="71" t="str">
        <f>'1.Ivan'!J78</f>
        <v/>
      </c>
      <c r="K78" s="209" t="s">
        <v>98</v>
      </c>
      <c r="L78" s="209"/>
      <c r="M78" s="209"/>
      <c r="N78" s="209"/>
      <c r="O78" s="209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194990-FE37-4EF3-A5CB-AF11B1E97344}">
  <sheetPr codeName="Planilha25">
    <tabColor rgb="FF0070C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1" t="s">
        <v>35</v>
      </c>
      <c r="B1" s="211"/>
      <c r="C1" s="211"/>
      <c r="D1" s="211"/>
      <c r="E1" s="211"/>
      <c r="K1" s="212" t="s">
        <v>35</v>
      </c>
      <c r="L1" s="212"/>
      <c r="M1" s="212"/>
      <c r="N1" s="212"/>
      <c r="O1" s="212"/>
    </row>
    <row r="2" spans="1:56" x14ac:dyDescent="0.3">
      <c r="A2" s="72" t="str">
        <f>K2</f>
        <v>Al Ahly</v>
      </c>
      <c r="B2" s="70" t="s">
        <v>248</v>
      </c>
      <c r="C2" s="70" t="s">
        <v>33</v>
      </c>
      <c r="D2" s="70" t="s">
        <v>248</v>
      </c>
      <c r="E2" s="73" t="str">
        <f>O2</f>
        <v>Inter Miami</v>
      </c>
      <c r="J2" s="71" t="s">
        <v>220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0" t="s">
        <v>247</v>
      </c>
      <c r="X2" s="210"/>
      <c r="Y2" s="210"/>
      <c r="Z2" s="210"/>
      <c r="AA2" s="210"/>
      <c r="AB2" s="210"/>
      <c r="AC2" s="210"/>
      <c r="AD2" s="210"/>
      <c r="AE2" s="210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0"/>
      <c r="X3" s="210"/>
      <c r="Y3" s="210"/>
      <c r="Z3" s="210"/>
      <c r="AA3" s="210"/>
      <c r="AB3" s="210"/>
      <c r="AC3" s="210"/>
      <c r="AD3" s="210"/>
      <c r="AE3" s="210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0"/>
      <c r="X4" s="210"/>
      <c r="Y4" s="210"/>
      <c r="Z4" s="210"/>
      <c r="AA4" s="210"/>
      <c r="AB4" s="210"/>
      <c r="AC4" s="210"/>
      <c r="AD4" s="210"/>
      <c r="AE4" s="210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H5" s="2">
        <v>10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0"/>
      <c r="X5" s="210"/>
      <c r="Y5" s="210"/>
      <c r="Z5" s="210"/>
      <c r="AA5" s="210"/>
      <c r="AB5" s="210"/>
      <c r="AC5" s="210"/>
      <c r="AD5" s="210"/>
      <c r="AE5" s="210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0"/>
      <c r="X6" s="210"/>
      <c r="Y6" s="210"/>
      <c r="Z6" s="210"/>
      <c r="AA6" s="210"/>
      <c r="AB6" s="210"/>
      <c r="AC6" s="210"/>
      <c r="AD6" s="210"/>
      <c r="AE6" s="210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1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1" t="s">
        <v>42</v>
      </c>
      <c r="B8" s="211"/>
      <c r="C8" s="211"/>
      <c r="D8" s="211"/>
      <c r="E8" s="211"/>
      <c r="J8" s="71" t="str">
        <f>'1.Ivan'!J8</f>
        <v/>
      </c>
      <c r="K8" s="212" t="s">
        <v>42</v>
      </c>
      <c r="L8" s="212"/>
      <c r="M8" s="212"/>
      <c r="N8" s="212"/>
      <c r="O8" s="212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4" t="s">
        <v>43</v>
      </c>
      <c r="R9" s="214"/>
      <c r="S9" s="214"/>
      <c r="T9" s="214"/>
      <c r="U9" s="214"/>
      <c r="W9" s="132" t="s">
        <v>80</v>
      </c>
      <c r="X9" s="132"/>
      <c r="Y9" s="132"/>
      <c r="Z9" s="132"/>
      <c r="AA9" s="132"/>
      <c r="AB9" s="132"/>
      <c r="AC9" s="132"/>
      <c r="AD9" s="132"/>
      <c r="AE9" s="132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4"/>
      <c r="R10" s="214"/>
      <c r="S10" s="214"/>
      <c r="T10" s="214"/>
      <c r="U10" s="214"/>
      <c r="W10" s="132" t="s">
        <v>196</v>
      </c>
      <c r="X10" s="132"/>
      <c r="Y10" s="132"/>
      <c r="Z10" s="2">
        <v>1</v>
      </c>
      <c r="AB10" s="2">
        <v>1</v>
      </c>
      <c r="AC10" s="132" t="s">
        <v>197</v>
      </c>
      <c r="AD10" s="132"/>
      <c r="AE10" s="132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3">
        <f>SUM(H2:H82)</f>
        <v>515</v>
      </c>
      <c r="R11" s="213"/>
      <c r="S11" s="213"/>
      <c r="T11" s="213"/>
      <c r="U11" s="213"/>
      <c r="W11" s="132" t="s">
        <v>201</v>
      </c>
      <c r="X11" s="132"/>
      <c r="Y11" s="132"/>
      <c r="Z11" s="2">
        <v>1</v>
      </c>
      <c r="AB11" s="2">
        <v>1</v>
      </c>
      <c r="AC11" s="132" t="s">
        <v>202</v>
      </c>
      <c r="AD11" s="132"/>
      <c r="AE11" s="132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3"/>
      <c r="R12" s="213"/>
      <c r="S12" s="213"/>
      <c r="T12" s="213"/>
      <c r="U12" s="213"/>
      <c r="W12" s="132" t="s">
        <v>212</v>
      </c>
      <c r="X12" s="132"/>
      <c r="Y12" s="132"/>
      <c r="Z12" s="2">
        <v>2</v>
      </c>
      <c r="AB12" s="2">
        <v>0</v>
      </c>
      <c r="AC12" s="132" t="s">
        <v>213</v>
      </c>
      <c r="AD12" s="132"/>
      <c r="AE12" s="132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3"/>
      <c r="R13" s="213"/>
      <c r="S13" s="213"/>
      <c r="T13" s="213"/>
      <c r="U13" s="213"/>
      <c r="W13" s="132"/>
      <c r="X13" s="132"/>
      <c r="Y13" s="132"/>
      <c r="AC13" s="132"/>
      <c r="AD13" s="132"/>
      <c r="AE13" s="132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1</v>
      </c>
      <c r="E14" s="13" t="str">
        <f t="shared" si="3"/>
        <v>Botafogo</v>
      </c>
      <c r="H14" s="2">
        <v>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3"/>
      <c r="R14" s="213"/>
      <c r="S14" s="213"/>
      <c r="T14" s="213"/>
      <c r="U14" s="213"/>
      <c r="W14" s="132"/>
      <c r="X14" s="132"/>
      <c r="Y14" s="132"/>
      <c r="AC14" s="132"/>
      <c r="AD14" s="132"/>
      <c r="AE14" s="132"/>
      <c r="BD14" s="1">
        <v>5</v>
      </c>
    </row>
    <row r="15" spans="1:56" x14ac:dyDescent="0.3">
      <c r="A15" s="211" t="s">
        <v>41</v>
      </c>
      <c r="B15" s="211"/>
      <c r="C15" s="211"/>
      <c r="D15" s="211"/>
      <c r="E15" s="211"/>
      <c r="K15" s="212" t="s">
        <v>41</v>
      </c>
      <c r="L15" s="212"/>
      <c r="M15" s="212"/>
      <c r="N15" s="212"/>
      <c r="O15" s="212"/>
      <c r="Q15" s="213"/>
      <c r="R15" s="213"/>
      <c r="S15" s="213"/>
      <c r="T15" s="213"/>
      <c r="U15" s="213"/>
      <c r="W15" s="132"/>
      <c r="X15" s="132"/>
      <c r="Y15" s="132"/>
      <c r="AC15" s="132"/>
      <c r="AD15" s="132"/>
      <c r="AE15" s="132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2"/>
      <c r="X16" s="132"/>
      <c r="Y16" s="132"/>
      <c r="AC16" s="132"/>
      <c r="AD16" s="132"/>
      <c r="AE16" s="132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2"/>
      <c r="X17" s="132"/>
      <c r="Y17" s="132"/>
      <c r="AC17" s="132"/>
      <c r="AD17" s="132"/>
      <c r="AE17" s="132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H18" s="2">
        <v>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2"/>
      <c r="X18" s="132"/>
      <c r="Y18" s="132"/>
      <c r="AC18" s="132"/>
      <c r="AD18" s="132"/>
      <c r="AE18" s="132"/>
    </row>
    <row r="19" spans="1:31" x14ac:dyDescent="0.3">
      <c r="A19" s="12" t="str">
        <f t="shared" si="4"/>
        <v>Bayern de Munique</v>
      </c>
      <c r="B19" s="2">
        <v>1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3</v>
      </c>
      <c r="R19" s="18">
        <v>15</v>
      </c>
      <c r="S19" s="18">
        <v>18</v>
      </c>
      <c r="T19" s="18">
        <v>7</v>
      </c>
      <c r="U19" s="18">
        <v>12</v>
      </c>
      <c r="W19" s="132"/>
      <c r="X19" s="132"/>
      <c r="Y19" s="132"/>
      <c r="AC19" s="132"/>
      <c r="AD19" s="132"/>
      <c r="AE19" s="132"/>
    </row>
    <row r="20" spans="1:31" x14ac:dyDescent="0.3">
      <c r="A20" s="12" t="str">
        <f t="shared" si="4"/>
        <v>Benfica</v>
      </c>
      <c r="B20" s="2">
        <v>0</v>
      </c>
      <c r="C20" s="2" t="s">
        <v>33</v>
      </c>
      <c r="D20" s="2">
        <v>1</v>
      </c>
      <c r="E20" s="13" t="str">
        <f t="shared" si="5"/>
        <v>Bayern de Munique</v>
      </c>
      <c r="H20" s="2">
        <v>0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2"/>
      <c r="X20" s="132"/>
      <c r="Y20" s="132"/>
      <c r="AC20" s="132"/>
      <c r="AD20" s="132"/>
      <c r="AE20" s="132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0</v>
      </c>
      <c r="E21" s="13" t="str">
        <f t="shared" si="5"/>
        <v>Boca Juniors</v>
      </c>
      <c r="H21" s="2">
        <v>10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5" t="s">
        <v>26</v>
      </c>
      <c r="R21" s="215"/>
      <c r="S21" s="216" t="s">
        <v>211</v>
      </c>
      <c r="T21" s="216"/>
      <c r="U21" s="216" t="s">
        <v>187</v>
      </c>
      <c r="V21" s="216"/>
      <c r="W21" s="132"/>
      <c r="X21" s="132"/>
      <c r="Y21" s="132"/>
      <c r="AC21" s="132"/>
      <c r="AD21" s="132"/>
      <c r="AE21" s="132"/>
    </row>
    <row r="22" spans="1:31" x14ac:dyDescent="0.3">
      <c r="A22" s="211" t="s">
        <v>40</v>
      </c>
      <c r="B22" s="211"/>
      <c r="C22" s="211"/>
      <c r="D22" s="211"/>
      <c r="E22" s="211"/>
      <c r="J22" s="71" t="str">
        <f>'1.Ivan'!J22</f>
        <v/>
      </c>
      <c r="K22" s="212" t="s">
        <v>40</v>
      </c>
      <c r="L22" s="212"/>
      <c r="M22" s="212"/>
      <c r="N22" s="212"/>
      <c r="O22" s="212"/>
      <c r="Q22" s="215" t="s">
        <v>25</v>
      </c>
      <c r="R22" s="215"/>
      <c r="S22" s="217" t="s">
        <v>238</v>
      </c>
      <c r="T22" s="217"/>
      <c r="U22" s="217" t="s">
        <v>237</v>
      </c>
      <c r="V22" s="217"/>
      <c r="W22" s="132"/>
      <c r="X22" s="132"/>
      <c r="Y22" s="132"/>
      <c r="AC22" s="132"/>
      <c r="AD22" s="132"/>
      <c r="AE22" s="132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2"/>
      <c r="X23" s="132"/>
      <c r="Y23" s="132"/>
      <c r="AC23" s="132"/>
      <c r="AD23" s="132"/>
      <c r="AE23" s="132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2"/>
      <c r="X24" s="132"/>
      <c r="Y24" s="132"/>
      <c r="AC24" s="132"/>
      <c r="AD24" s="132"/>
      <c r="AE24" s="132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2"/>
      <c r="X25" s="132"/>
      <c r="Y25" s="132"/>
      <c r="AC25" s="132"/>
      <c r="AD25" s="132"/>
      <c r="AE25" s="132"/>
    </row>
    <row r="26" spans="1:31" x14ac:dyDescent="0.3">
      <c r="A26" s="12" t="str">
        <f t="shared" si="6"/>
        <v>Los Angeles FC</v>
      </c>
      <c r="B26" s="2">
        <v>0</v>
      </c>
      <c r="C26" s="2" t="s">
        <v>33</v>
      </c>
      <c r="D26" s="2">
        <v>0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2"/>
      <c r="X26" s="132"/>
      <c r="Y26" s="132"/>
      <c r="AC26" s="132"/>
      <c r="AD26" s="132"/>
      <c r="AE26" s="132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4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2"/>
      <c r="X27" s="132"/>
      <c r="Y27" s="132"/>
      <c r="Z27" s="19"/>
      <c r="AC27" s="132"/>
      <c r="AD27" s="132"/>
      <c r="AE27" s="132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1</v>
      </c>
      <c r="E28" s="13" t="str">
        <f t="shared" si="7"/>
        <v>Flamengo</v>
      </c>
      <c r="H28" s="2">
        <v>25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2"/>
      <c r="X28" s="132"/>
      <c r="Y28" s="132"/>
      <c r="AC28" s="132"/>
      <c r="AD28" s="132"/>
      <c r="AE28" s="132"/>
    </row>
    <row r="29" spans="1:31" x14ac:dyDescent="0.3">
      <c r="A29" s="211" t="s">
        <v>39</v>
      </c>
      <c r="B29" s="211"/>
      <c r="C29" s="211"/>
      <c r="D29" s="211"/>
      <c r="E29" s="211"/>
      <c r="K29" s="212" t="s">
        <v>39</v>
      </c>
      <c r="L29" s="212"/>
      <c r="M29" s="212"/>
      <c r="N29" s="212"/>
      <c r="O29" s="212"/>
      <c r="W29" s="132"/>
      <c r="X29" s="132"/>
      <c r="Y29" s="132"/>
      <c r="AC29" s="132"/>
      <c r="AD29" s="132"/>
      <c r="AE29" s="132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2"/>
      <c r="X30" s="132"/>
      <c r="Y30" s="132"/>
      <c r="AC30" s="132"/>
      <c r="AD30" s="132"/>
      <c r="AE30" s="132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1</v>
      </c>
      <c r="E31" s="13" t="str">
        <f t="shared" ref="E31:E35" si="9">O31</f>
        <v>Inter de Milão</v>
      </c>
      <c r="H31" s="2">
        <v>25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1</v>
      </c>
      <c r="E33" s="13" t="str">
        <f t="shared" si="9"/>
        <v>Monterrey</v>
      </c>
      <c r="H33" s="2">
        <v>10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H34" s="2">
        <v>0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1</v>
      </c>
      <c r="E35" s="13" t="str">
        <f t="shared" si="9"/>
        <v>Monterrey</v>
      </c>
      <c r="H35" s="2">
        <v>15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1" t="s">
        <v>38</v>
      </c>
      <c r="B36" s="211"/>
      <c r="C36" s="211"/>
      <c r="D36" s="211"/>
      <c r="E36" s="211"/>
      <c r="J36" s="71" t="str">
        <f>'1.Ivan'!J36</f>
        <v/>
      </c>
      <c r="K36" s="212" t="s">
        <v>38</v>
      </c>
      <c r="L36" s="212"/>
      <c r="M36" s="212"/>
      <c r="N36" s="212"/>
      <c r="O36" s="212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2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1</v>
      </c>
      <c r="E41" s="13" t="str">
        <f t="shared" si="11"/>
        <v>Fluminense</v>
      </c>
      <c r="H41" s="2">
        <v>10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1" t="s">
        <v>37</v>
      </c>
      <c r="B43" s="211"/>
      <c r="C43" s="211"/>
      <c r="D43" s="211"/>
      <c r="E43" s="211"/>
      <c r="J43" s="71" t="str">
        <f>'1.Ivan'!J43</f>
        <v/>
      </c>
      <c r="K43" s="212" t="s">
        <v>37</v>
      </c>
      <c r="L43" s="212"/>
      <c r="M43" s="212"/>
      <c r="N43" s="212"/>
      <c r="O43" s="212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1</v>
      </c>
      <c r="E45" s="13" t="str">
        <f t="shared" ref="E45:E49" si="13">O45</f>
        <v>Juventus</v>
      </c>
      <c r="H45" s="2">
        <v>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33</v>
      </c>
      <c r="D47" s="2">
        <v>1</v>
      </c>
      <c r="E47" s="13" t="str">
        <f t="shared" si="13"/>
        <v>Al-Ain</v>
      </c>
      <c r="H47" s="2">
        <v>10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1</v>
      </c>
      <c r="E48" s="13" t="str">
        <f t="shared" si="13"/>
        <v>Manchester City</v>
      </c>
      <c r="H48" s="2">
        <v>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1</v>
      </c>
      <c r="E49" s="13" t="str">
        <f t="shared" si="13"/>
        <v>Al-Ain</v>
      </c>
      <c r="H49" s="2">
        <v>10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1" t="s">
        <v>36</v>
      </c>
      <c r="B50" s="211"/>
      <c r="C50" s="211"/>
      <c r="D50" s="211"/>
      <c r="E50" s="211"/>
      <c r="J50" s="71" t="str">
        <f>'1.Ivan'!J50</f>
        <v/>
      </c>
      <c r="K50" s="212" t="s">
        <v>36</v>
      </c>
      <c r="L50" s="212"/>
      <c r="M50" s="212"/>
      <c r="N50" s="212"/>
      <c r="O50" s="212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0</v>
      </c>
      <c r="E56" s="13" t="str">
        <f t="shared" si="15"/>
        <v>Pachuca</v>
      </c>
      <c r="H56" s="2">
        <v>25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8" t="str">
        <f>_xlfn.CONCAT(W2,A57)</f>
        <v>Chicão - Oitavas de Final</v>
      </c>
      <c r="B58" s="208"/>
      <c r="C58" s="208"/>
      <c r="D58" s="208"/>
      <c r="E58" s="208"/>
      <c r="K58" s="209" t="s">
        <v>126</v>
      </c>
      <c r="L58" s="209"/>
      <c r="M58" s="209"/>
      <c r="N58" s="209"/>
      <c r="O58" s="209"/>
    </row>
    <row r="59" spans="1:15" x14ac:dyDescent="0.3">
      <c r="A59" s="53" t="str">
        <f>K59</f>
        <v>Palmeiras</v>
      </c>
      <c r="B59" s="54">
        <v>2</v>
      </c>
      <c r="C59" s="54" t="s">
        <v>33</v>
      </c>
      <c r="D59" s="54">
        <v>1</v>
      </c>
      <c r="E59" s="55" t="str">
        <f>O59</f>
        <v>Botafogo</v>
      </c>
      <c r="H59" s="2">
        <v>10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0</v>
      </c>
      <c r="C60" s="54" t="s">
        <v>33</v>
      </c>
      <c r="D60" s="54">
        <v>3</v>
      </c>
      <c r="E60" s="55" t="str">
        <f t="shared" ref="E60:E66" si="17">O60</f>
        <v>Chelsea</v>
      </c>
      <c r="H60" s="2">
        <v>10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3</v>
      </c>
      <c r="C61" s="54" t="s">
        <v>33</v>
      </c>
      <c r="D61" s="54">
        <v>0</v>
      </c>
      <c r="E61" s="55" t="str">
        <f t="shared" si="17"/>
        <v>Fluminense</v>
      </c>
      <c r="H61" s="2">
        <v>0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4</v>
      </c>
      <c r="C62" s="54" t="s">
        <v>33</v>
      </c>
      <c r="D62" s="54">
        <v>0</v>
      </c>
      <c r="E62" s="55" t="str">
        <f t="shared" si="17"/>
        <v>Al-Hilal</v>
      </c>
      <c r="H62" s="2">
        <v>0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2</v>
      </c>
      <c r="C63" s="54" t="s">
        <v>33</v>
      </c>
      <c r="D63" s="54">
        <v>0</v>
      </c>
      <c r="E63" s="55" t="str">
        <f t="shared" si="17"/>
        <v>Inter Miami</v>
      </c>
      <c r="H63" s="2">
        <v>15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2</v>
      </c>
      <c r="E64" s="55" t="str">
        <f t="shared" si="17"/>
        <v>Bayer de Munique</v>
      </c>
      <c r="H64" s="2">
        <v>10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2</v>
      </c>
      <c r="C65" s="54" t="s">
        <v>33</v>
      </c>
      <c r="D65" s="54">
        <v>0</v>
      </c>
      <c r="E65" s="55" t="str">
        <f t="shared" si="17"/>
        <v>Monterrey</v>
      </c>
      <c r="H65" s="2">
        <v>15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2</v>
      </c>
      <c r="C66" s="54" t="s">
        <v>33</v>
      </c>
      <c r="D66" s="54">
        <v>0</v>
      </c>
      <c r="E66" s="55" t="str">
        <f t="shared" si="17"/>
        <v>Juventus</v>
      </c>
      <c r="H66" s="2">
        <v>15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8" t="str">
        <f>_xlfn.CONCAT(W2,A67)</f>
        <v>Chicão - Quartas de Final</v>
      </c>
      <c r="B68" s="208"/>
      <c r="C68" s="208"/>
      <c r="D68" s="208"/>
      <c r="E68" s="208"/>
      <c r="J68" s="71" t="str">
        <f>'1.Ivan'!J68</f>
        <v/>
      </c>
      <c r="K68" s="209" t="s">
        <v>95</v>
      </c>
      <c r="L68" s="209"/>
      <c r="M68" s="209"/>
      <c r="N68" s="209"/>
      <c r="O68" s="209"/>
    </row>
    <row r="69" spans="1:15" x14ac:dyDescent="0.3">
      <c r="A69" s="53" t="str">
        <f>K69</f>
        <v>Palmeiras</v>
      </c>
      <c r="B69" s="54"/>
      <c r="C69" s="54" t="s">
        <v>33</v>
      </c>
      <c r="D69" s="54"/>
      <c r="E69" s="55" t="str">
        <f>O69</f>
        <v>Chelsea</v>
      </c>
      <c r="J69" s="71" t="str">
        <f>'1.Ivan'!J69</f>
        <v>N</v>
      </c>
      <c r="K69" s="2" t="str">
        <f>IF(Tabela!A42="","",Tabela!A42)</f>
        <v>Palmeiras</v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/>
      <c r="C70" s="54" t="s">
        <v>33</v>
      </c>
      <c r="D70" s="54"/>
      <c r="E70" s="55" t="str">
        <f t="shared" ref="E70:E72" si="19">O70</f>
        <v>Al-Hilal</v>
      </c>
      <c r="J70" s="71" t="str">
        <f>'1.Ivan'!J70</f>
        <v>N</v>
      </c>
      <c r="K70" s="2" t="str">
        <f>IF(Tabela!A43="","",Tabela!A43)</f>
        <v>Fluminense</v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/>
      <c r="C71" s="54" t="s">
        <v>33</v>
      </c>
      <c r="D71" s="54"/>
      <c r="E71" s="55" t="str">
        <f t="shared" si="19"/>
        <v>Bayern de Munique</v>
      </c>
      <c r="J71" s="71" t="str">
        <f>'1.Ivan'!J71</f>
        <v>N</v>
      </c>
      <c r="K71" s="2" t="str">
        <f>IF(Tabela!A44="","",Tabela!A44)</f>
        <v>PSG</v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>Bayern de Munique</v>
      </c>
    </row>
    <row r="72" spans="1:15" x14ac:dyDescent="0.3">
      <c r="A72" s="53" t="str">
        <f t="shared" si="18"/>
        <v>Borussia Dortmund</v>
      </c>
      <c r="B72" s="54"/>
      <c r="C72" s="54" t="s">
        <v>33</v>
      </c>
      <c r="D72" s="54"/>
      <c r="E72" s="55" t="str">
        <f t="shared" si="19"/>
        <v>Real Madrid</v>
      </c>
      <c r="J72" s="71" t="str">
        <f>'1.Ivan'!J72</f>
        <v>N</v>
      </c>
      <c r="K72" s="2" t="str">
        <f>IF(Tabela!A45="","",Tabela!A45)</f>
        <v>Borussia Dortmund</v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>Real Madrid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8" t="str">
        <f>_xlfn.CONCAT(W$2,A73)</f>
        <v>Chicão - Semi Final</v>
      </c>
      <c r="B74" s="208"/>
      <c r="C74" s="208"/>
      <c r="D74" s="208"/>
      <c r="E74" s="208"/>
      <c r="J74" s="71" t="str">
        <f>'1.Ivan'!J74</f>
        <v/>
      </c>
      <c r="K74" s="209" t="s">
        <v>96</v>
      </c>
      <c r="L74" s="209"/>
      <c r="M74" s="209"/>
      <c r="N74" s="209"/>
      <c r="O74" s="209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8" t="str">
        <f>_xlfn.CONCAT(W$2,A77)</f>
        <v>Chicão - Final</v>
      </c>
      <c r="B78" s="208"/>
      <c r="C78" s="208"/>
      <c r="D78" s="208"/>
      <c r="E78" s="208"/>
      <c r="J78" s="71" t="str">
        <f>'1.Ivan'!J78</f>
        <v/>
      </c>
      <c r="K78" s="209" t="s">
        <v>98</v>
      </c>
      <c r="L78" s="209"/>
      <c r="M78" s="209"/>
      <c r="N78" s="209"/>
      <c r="O78" s="209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docMetadata/LabelInfo.xml><?xml version="1.0" encoding="utf-8"?>
<clbl:labelList xmlns:clbl="http://schemas.microsoft.com/office/2020/mipLabelMetadata">
  <clbl:label id="{c06de4a7-0f08-40d9-aeea-6b6c28cbe58e}" enabled="1" method="Privileged" siteId="{d17bc453-90ce-44bc-93e0-9f9dda1fc914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26</vt:i4>
      </vt:variant>
    </vt:vector>
  </HeadingPairs>
  <TitlesOfParts>
    <vt:vector size="26" baseType="lpstr">
      <vt:lpstr>Placar Exato</vt:lpstr>
      <vt:lpstr>Campeão</vt:lpstr>
      <vt:lpstr>Classificação</vt:lpstr>
      <vt:lpstr>Oitavas</vt:lpstr>
      <vt:lpstr>Tabela</vt:lpstr>
      <vt:lpstr>1.Ivan</vt:lpstr>
      <vt:lpstr>2.Sérginho</vt:lpstr>
      <vt:lpstr>3.Jean</vt:lpstr>
      <vt:lpstr>4.Macélio Henrique</vt:lpstr>
      <vt:lpstr>5.Macélio</vt:lpstr>
      <vt:lpstr>6.Mateus Aires</vt:lpstr>
      <vt:lpstr>7.Bruno</vt:lpstr>
      <vt:lpstr>8.Naldinho</vt:lpstr>
      <vt:lpstr>9.Julio Santos</vt:lpstr>
      <vt:lpstr>10.Joseir</vt:lpstr>
      <vt:lpstr>11.Juninho</vt:lpstr>
      <vt:lpstr>12.Ivani</vt:lpstr>
      <vt:lpstr>13.Manoel</vt:lpstr>
      <vt:lpstr>14.Mateus Henrique</vt:lpstr>
      <vt:lpstr>15.Gabriel</vt:lpstr>
      <vt:lpstr>16.Marcel</vt:lpstr>
      <vt:lpstr>17.Luana</vt:lpstr>
      <vt:lpstr>18.Julio Oliveira</vt:lpstr>
      <vt:lpstr>19.Miguel</vt:lpstr>
      <vt:lpstr>20.Francesco</vt:lpstr>
      <vt:lpstr>21.Chicão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Alex</dc:creator>
  <cp:lastModifiedBy>Ivan Alex</cp:lastModifiedBy>
  <dcterms:created xsi:type="dcterms:W3CDTF">2022-11-20T13:50:46Z</dcterms:created>
  <dcterms:modified xsi:type="dcterms:W3CDTF">2025-07-02T03:07:45Z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06de4a7-0f08-40d9-aeea-6b6c28cbe58e_Enabled">
    <vt:lpwstr>true</vt:lpwstr>
  </property>
  <property fmtid="{D5CDD505-2E9C-101B-9397-08002B2CF9AE}" pid="3" name="MSIP_Label_c06de4a7-0f08-40d9-aeea-6b6c28cbe58e_SetDate">
    <vt:lpwstr>2022-12-19T00:27:07Z</vt:lpwstr>
  </property>
  <property fmtid="{D5CDD505-2E9C-101B-9397-08002B2CF9AE}" pid="4" name="MSIP_Label_c06de4a7-0f08-40d9-aeea-6b6c28cbe58e_Method">
    <vt:lpwstr>Privileged</vt:lpwstr>
  </property>
  <property fmtid="{D5CDD505-2E9C-101B-9397-08002B2CF9AE}" pid="5" name="MSIP_Label_c06de4a7-0f08-40d9-aeea-6b6c28cbe58e_Name">
    <vt:lpwstr>Publico - Public</vt:lpwstr>
  </property>
  <property fmtid="{D5CDD505-2E9C-101B-9397-08002B2CF9AE}" pid="6" name="MSIP_Label_c06de4a7-0f08-40d9-aeea-6b6c28cbe58e_SiteId">
    <vt:lpwstr>d17bc453-90ce-44bc-93e0-9f9dda1fc914</vt:lpwstr>
  </property>
  <property fmtid="{D5CDD505-2E9C-101B-9397-08002B2CF9AE}" pid="7" name="MSIP_Label_c06de4a7-0f08-40d9-aeea-6b6c28cbe58e_ActionId">
    <vt:lpwstr>426cef13-4f00-443b-a9d7-d2a414873de9</vt:lpwstr>
  </property>
  <property fmtid="{D5CDD505-2E9C-101B-9397-08002B2CF9AE}" pid="8" name="MSIP_Label_c06de4a7-0f08-40d9-aeea-6b6c28cbe58e_ContentBits">
    <vt:lpwstr>2</vt:lpwstr>
  </property>
</Properties>
</file>