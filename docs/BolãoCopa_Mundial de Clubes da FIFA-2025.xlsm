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72EC482C-B6BE-4C9E-8170-E7BE6BB5F3CE}" xr6:coauthVersionLast="47" xr6:coauthVersionMax="47" xr10:uidLastSave="{00000000-0000-0000-0000-000000000000}"/>
  <bookViews>
    <workbookView xWindow="-108" yWindow="-108" windowWidth="23256" windowHeight="12576" tabRatio="891" firstSheet="2" activeTab="8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Ivan" sheetId="3" r:id="rId6"/>
    <sheet name="INPUTAR" sheetId="57" r:id="rId7"/>
    <sheet name="Jean" sheetId="44" r:id="rId8"/>
    <sheet name="Sérginho" sheetId="45" r:id="rId9"/>
    <sheet name="Mateus Aires" sheetId="46" r:id="rId10"/>
    <sheet name="Macélio Henrique" sheetId="47" r:id="rId11"/>
    <sheet name="Macélio" sheetId="48" r:id="rId12"/>
    <sheet name="Mateus Ferreira" sheetId="49" r:id="rId13"/>
    <sheet name="Julio Santos" sheetId="50" r:id="rId14"/>
    <sheet name="Naldinho" sheetId="51" r:id="rId15"/>
    <sheet name="Juninho" sheetId="52" r:id="rId16"/>
    <sheet name="Joseir" sheetId="53" r:id="rId17"/>
    <sheet name="Ivani" sheetId="54" r:id="rId18"/>
    <sheet name="Manoel" sheetId="55" r:id="rId19"/>
    <sheet name="Gabriel" sheetId="56" r:id="rId20"/>
    <sheet name="Marcel" sheetId="60" r:id="rId21"/>
    <sheet name="Luana" sheetId="61" r:id="rId22"/>
    <sheet name="Julio Oliveira" sheetId="62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0" i="62" l="1"/>
  <c r="O79" i="62"/>
  <c r="N79" i="62"/>
  <c r="M79" i="62"/>
  <c r="L79" i="62"/>
  <c r="K79" i="62"/>
  <c r="A79" i="62" s="1"/>
  <c r="E79" i="62"/>
  <c r="J78" i="62"/>
  <c r="A78" i="62"/>
  <c r="O77" i="62"/>
  <c r="N77" i="62"/>
  <c r="M77" i="62"/>
  <c r="L77" i="62"/>
  <c r="K77" i="62"/>
  <c r="J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J74" i="62"/>
  <c r="A74" i="62"/>
  <c r="O73" i="62"/>
  <c r="N73" i="62"/>
  <c r="M73" i="62"/>
  <c r="L73" i="62"/>
  <c r="K73" i="62"/>
  <c r="J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J68" i="62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J50" i="62"/>
  <c r="O49" i="62"/>
  <c r="E49" i="62" s="1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J43" i="62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J36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J22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J8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J2" i="62"/>
  <c r="E2" i="62"/>
  <c r="A2" i="62"/>
  <c r="J80" i="61"/>
  <c r="O79" i="61"/>
  <c r="E79" i="61" s="1"/>
  <c r="N79" i="61"/>
  <c r="M79" i="61"/>
  <c r="L79" i="61"/>
  <c r="K79" i="61"/>
  <c r="A79" i="61"/>
  <c r="J78" i="61"/>
  <c r="A78" i="61"/>
  <c r="O77" i="61"/>
  <c r="N77" i="61"/>
  <c r="M77" i="61"/>
  <c r="L77" i="61"/>
  <c r="K77" i="61"/>
  <c r="J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J74" i="61"/>
  <c r="A74" i="61"/>
  <c r="O73" i="61"/>
  <c r="N73" i="61"/>
  <c r="M73" i="61"/>
  <c r="L73" i="61"/>
  <c r="K73" i="61"/>
  <c r="J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J68" i="6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J50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J43" i="6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J36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J22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J8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J2" i="61"/>
  <c r="E2" i="61"/>
  <c r="A2" i="61"/>
  <c r="J80" i="60"/>
  <c r="O79" i="60"/>
  <c r="E79" i="60" s="1"/>
  <c r="N79" i="60"/>
  <c r="M79" i="60"/>
  <c r="L79" i="60"/>
  <c r="K79" i="60"/>
  <c r="A79" i="60" s="1"/>
  <c r="J78" i="60"/>
  <c r="A78" i="60"/>
  <c r="O77" i="60"/>
  <c r="N77" i="60"/>
  <c r="M77" i="60"/>
  <c r="L77" i="60"/>
  <c r="K77" i="60"/>
  <c r="J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J74" i="60"/>
  <c r="A74" i="60"/>
  <c r="O73" i="60"/>
  <c r="N73" i="60"/>
  <c r="M73" i="60"/>
  <c r="L73" i="60"/>
  <c r="K73" i="60"/>
  <c r="J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J68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J50" i="60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J43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J36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J22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J8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J2" i="60"/>
  <c r="J80" i="56"/>
  <c r="O79" i="56"/>
  <c r="E79" i="56" s="1"/>
  <c r="N79" i="56"/>
  <c r="M79" i="56"/>
  <c r="L79" i="56"/>
  <c r="K79" i="56"/>
  <c r="A79" i="56" s="1"/>
  <c r="J78" i="56"/>
  <c r="A78" i="56"/>
  <c r="O77" i="56"/>
  <c r="N77" i="56"/>
  <c r="M77" i="56"/>
  <c r="L77" i="56"/>
  <c r="K77" i="56"/>
  <c r="J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J74" i="56"/>
  <c r="A74" i="56"/>
  <c r="O73" i="56"/>
  <c r="N73" i="56"/>
  <c r="M73" i="56"/>
  <c r="L73" i="56"/>
  <c r="K73" i="56"/>
  <c r="J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J68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J50" i="56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J43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J36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J22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J8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J2" i="56"/>
  <c r="A2" i="56"/>
  <c r="J80" i="55"/>
  <c r="O79" i="55"/>
  <c r="N79" i="55"/>
  <c r="M79" i="55"/>
  <c r="L79" i="55"/>
  <c r="K79" i="55"/>
  <c r="A79" i="55" s="1"/>
  <c r="E79" i="55"/>
  <c r="J78" i="55"/>
  <c r="A78" i="55"/>
  <c r="O77" i="55"/>
  <c r="N77" i="55"/>
  <c r="M77" i="55"/>
  <c r="L77" i="55"/>
  <c r="K77" i="55"/>
  <c r="J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J74" i="55"/>
  <c r="A74" i="55"/>
  <c r="O73" i="55"/>
  <c r="N73" i="55"/>
  <c r="M73" i="55"/>
  <c r="L73" i="55"/>
  <c r="K73" i="55"/>
  <c r="J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J68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J50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J43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J36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J22" i="55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J8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J2" i="55"/>
  <c r="A2" i="55"/>
  <c r="J80" i="54"/>
  <c r="O79" i="54"/>
  <c r="N79" i="54"/>
  <c r="M79" i="54"/>
  <c r="L79" i="54"/>
  <c r="K79" i="54"/>
  <c r="A79" i="54" s="1"/>
  <c r="E79" i="54"/>
  <c r="J78" i="54"/>
  <c r="A78" i="54"/>
  <c r="O77" i="54"/>
  <c r="N77" i="54"/>
  <c r="M77" i="54"/>
  <c r="L77" i="54"/>
  <c r="K77" i="54"/>
  <c r="J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J74" i="54"/>
  <c r="A74" i="54"/>
  <c r="O73" i="54"/>
  <c r="N73" i="54"/>
  <c r="M73" i="54"/>
  <c r="L73" i="54"/>
  <c r="K73" i="54"/>
  <c r="J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J68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J50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J43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J36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J22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J8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J2" i="54"/>
  <c r="A2" i="54"/>
  <c r="J80" i="53"/>
  <c r="O79" i="53"/>
  <c r="E79" i="53" s="1"/>
  <c r="N79" i="53"/>
  <c r="M79" i="53"/>
  <c r="L79" i="53"/>
  <c r="K79" i="53"/>
  <c r="A79" i="53" s="1"/>
  <c r="J78" i="53"/>
  <c r="A78" i="53"/>
  <c r="O77" i="53"/>
  <c r="N77" i="53"/>
  <c r="M77" i="53"/>
  <c r="L77" i="53"/>
  <c r="K77" i="53"/>
  <c r="J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J74" i="53"/>
  <c r="A74" i="53"/>
  <c r="O73" i="53"/>
  <c r="N73" i="53"/>
  <c r="M73" i="53"/>
  <c r="L73" i="53"/>
  <c r="K73" i="53"/>
  <c r="J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J68" i="53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J50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J43" i="53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J36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J22" i="53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J8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J2" i="53"/>
  <c r="E2" i="53"/>
  <c r="A2" i="53"/>
  <c r="J80" i="52"/>
  <c r="O79" i="52"/>
  <c r="N79" i="52"/>
  <c r="M79" i="52"/>
  <c r="L79" i="52"/>
  <c r="K79" i="52"/>
  <c r="E79" i="52"/>
  <c r="A79" i="52"/>
  <c r="J78" i="52"/>
  <c r="A78" i="52"/>
  <c r="O77" i="52"/>
  <c r="N77" i="52"/>
  <c r="M77" i="52"/>
  <c r="L77" i="52"/>
  <c r="K77" i="52"/>
  <c r="J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J74" i="52"/>
  <c r="A74" i="52"/>
  <c r="O73" i="52"/>
  <c r="N73" i="52"/>
  <c r="M73" i="52"/>
  <c r="L73" i="52"/>
  <c r="K73" i="52"/>
  <c r="J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J68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J50" i="52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J43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J36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J22" i="52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J8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J2" i="52"/>
  <c r="A2" i="52"/>
  <c r="J80" i="51"/>
  <c r="O79" i="51"/>
  <c r="E79" i="51" s="1"/>
  <c r="N79" i="51"/>
  <c r="M79" i="51"/>
  <c r="L79" i="51"/>
  <c r="K79" i="51"/>
  <c r="A79" i="51" s="1"/>
  <c r="J78" i="51"/>
  <c r="A78" i="51"/>
  <c r="O77" i="51"/>
  <c r="N77" i="51"/>
  <c r="M77" i="51"/>
  <c r="L77" i="51"/>
  <c r="K77" i="51"/>
  <c r="J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J74" i="51"/>
  <c r="A74" i="51"/>
  <c r="O73" i="51"/>
  <c r="N73" i="51"/>
  <c r="M73" i="51"/>
  <c r="L73" i="51"/>
  <c r="K73" i="51"/>
  <c r="J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J68" i="5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J50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J43" i="5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J36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J22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J8" i="5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J2" i="51"/>
  <c r="E2" i="51"/>
  <c r="A2" i="51"/>
  <c r="J80" i="50"/>
  <c r="O79" i="50"/>
  <c r="E79" i="50" s="1"/>
  <c r="N79" i="50"/>
  <c r="M79" i="50"/>
  <c r="L79" i="50"/>
  <c r="K79" i="50"/>
  <c r="A79" i="50" s="1"/>
  <c r="J78" i="50"/>
  <c r="A78" i="50"/>
  <c r="O77" i="50"/>
  <c r="N77" i="50"/>
  <c r="M77" i="50"/>
  <c r="L77" i="50"/>
  <c r="K77" i="50"/>
  <c r="J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J74" i="50"/>
  <c r="A74" i="50"/>
  <c r="O73" i="50"/>
  <c r="N73" i="50"/>
  <c r="M73" i="50"/>
  <c r="L73" i="50"/>
  <c r="K73" i="50"/>
  <c r="J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J68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J50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J43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J36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J22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J8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J2" i="50"/>
  <c r="A2" i="50"/>
  <c r="J80" i="49"/>
  <c r="O79" i="49"/>
  <c r="E79" i="49" s="1"/>
  <c r="N79" i="49"/>
  <c r="M79" i="49"/>
  <c r="L79" i="49"/>
  <c r="K79" i="49"/>
  <c r="A79" i="49" s="1"/>
  <c r="J78" i="49"/>
  <c r="A78" i="49"/>
  <c r="O77" i="49"/>
  <c r="N77" i="49"/>
  <c r="M77" i="49"/>
  <c r="L77" i="49"/>
  <c r="K77" i="49"/>
  <c r="J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J74" i="49"/>
  <c r="A74" i="49"/>
  <c r="O73" i="49"/>
  <c r="N73" i="49"/>
  <c r="M73" i="49"/>
  <c r="L73" i="49"/>
  <c r="K73" i="49"/>
  <c r="J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J68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J50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J43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J36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J22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J8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J2" i="49"/>
  <c r="A2" i="49"/>
  <c r="J80" i="48"/>
  <c r="O79" i="48"/>
  <c r="E79" i="48" s="1"/>
  <c r="N79" i="48"/>
  <c r="M79" i="48"/>
  <c r="L79" i="48"/>
  <c r="K79" i="48"/>
  <c r="A79" i="48" s="1"/>
  <c r="J78" i="48"/>
  <c r="A78" i="48"/>
  <c r="O77" i="48"/>
  <c r="N77" i="48"/>
  <c r="M77" i="48"/>
  <c r="L77" i="48"/>
  <c r="K77" i="48"/>
  <c r="J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J74" i="48"/>
  <c r="A74" i="48"/>
  <c r="O73" i="48"/>
  <c r="N73" i="48"/>
  <c r="M73" i="48"/>
  <c r="L73" i="48"/>
  <c r="K73" i="48"/>
  <c r="J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J68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J50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J43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J36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J22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J8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J2" i="48"/>
  <c r="E2" i="48"/>
  <c r="A2" i="48"/>
  <c r="J80" i="47"/>
  <c r="O79" i="47"/>
  <c r="N79" i="47"/>
  <c r="M79" i="47"/>
  <c r="L79" i="47"/>
  <c r="K79" i="47"/>
  <c r="A79" i="47" s="1"/>
  <c r="E79" i="47"/>
  <c r="J78" i="47"/>
  <c r="A78" i="47"/>
  <c r="O77" i="47"/>
  <c r="N77" i="47"/>
  <c r="M77" i="47"/>
  <c r="L77" i="47"/>
  <c r="K77" i="47"/>
  <c r="J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J74" i="47"/>
  <c r="A74" i="47"/>
  <c r="O73" i="47"/>
  <c r="N73" i="47"/>
  <c r="M73" i="47"/>
  <c r="L73" i="47"/>
  <c r="K73" i="47"/>
  <c r="J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J68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J50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J43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J36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J22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J8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J2" i="47"/>
  <c r="A2" i="47"/>
  <c r="J80" i="46"/>
  <c r="O79" i="46"/>
  <c r="N79" i="46"/>
  <c r="M79" i="46"/>
  <c r="L79" i="46"/>
  <c r="K79" i="46"/>
  <c r="E79" i="46"/>
  <c r="A79" i="46"/>
  <c r="J78" i="46"/>
  <c r="A78" i="46"/>
  <c r="O77" i="46"/>
  <c r="N77" i="46"/>
  <c r="M77" i="46"/>
  <c r="L77" i="46"/>
  <c r="K77" i="46"/>
  <c r="J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J74" i="46"/>
  <c r="A74" i="46"/>
  <c r="O73" i="46"/>
  <c r="N73" i="46"/>
  <c r="M73" i="46"/>
  <c r="L73" i="46"/>
  <c r="K73" i="46"/>
  <c r="J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J68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J50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J43" i="46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J36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J22" i="46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J8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J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J2" i="3"/>
  <c r="J80" i="44"/>
  <c r="J78" i="44"/>
  <c r="J77" i="44"/>
  <c r="J74" i="44"/>
  <c r="J73" i="44"/>
  <c r="J68" i="44"/>
  <c r="J50" i="44"/>
  <c r="J43" i="44"/>
  <c r="J36" i="44"/>
  <c r="J22" i="44"/>
  <c r="J8" i="44"/>
  <c r="J2" i="44"/>
  <c r="J80" i="45"/>
  <c r="O79" i="45"/>
  <c r="E79" i="45" s="1"/>
  <c r="N79" i="45"/>
  <c r="M79" i="45"/>
  <c r="L79" i="45"/>
  <c r="K79" i="45"/>
  <c r="A79" i="45" s="1"/>
  <c r="J78" i="45"/>
  <c r="A78" i="45"/>
  <c r="O77" i="45"/>
  <c r="N77" i="45"/>
  <c r="M77" i="45"/>
  <c r="L77" i="45"/>
  <c r="K77" i="45"/>
  <c r="J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J74" i="45"/>
  <c r="A74" i="45"/>
  <c r="O73" i="45"/>
  <c r="N73" i="45"/>
  <c r="M73" i="45"/>
  <c r="L73" i="45"/>
  <c r="K73" i="45"/>
  <c r="J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J68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J50" i="45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J43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J36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J22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J8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J2" i="45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6" i="31"/>
  <c r="P5" i="31"/>
  <c r="L3" i="31"/>
  <c r="L18" i="31"/>
  <c r="P24" i="31"/>
  <c r="L15" i="31"/>
  <c r="P22" i="31"/>
  <c r="L25" i="31"/>
  <c r="L22" i="31"/>
  <c r="P19" i="31"/>
  <c r="L24" i="31"/>
  <c r="P17" i="31"/>
  <c r="L20" i="31"/>
  <c r="P15" i="31"/>
  <c r="L10" i="31"/>
  <c r="L21" i="31"/>
  <c r="L7" i="31"/>
  <c r="L5" i="31"/>
  <c r="L17" i="31"/>
  <c r="P9" i="31"/>
  <c r="P8" i="31"/>
  <c r="P7" i="3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13" i="31"/>
  <c r="P20" i="31"/>
  <c r="L16" i="31"/>
  <c r="P18" i="31"/>
  <c r="L23" i="31"/>
  <c r="P16" i="31"/>
  <c r="L9" i="31"/>
  <c r="P14" i="31"/>
  <c r="P13" i="31"/>
  <c r="P12" i="31"/>
  <c r="P11" i="31"/>
  <c r="P10" i="31"/>
  <c r="L19" i="31"/>
  <c r="L11" i="31"/>
  <c r="L12" i="31"/>
  <c r="L6" i="31"/>
  <c r="L8" i="31"/>
  <c r="P3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4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<sst xmlns="http://schemas.openxmlformats.org/spreadsheetml/2006/main" count="5238" uniqueCount="612">
  <si>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</si>
  <si>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</si>
  <si>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</si>
  <si>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</si>
  <si>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</si>
  <si>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</si>
  <si>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</si>
  <si>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</si>
  <si>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</si>
  <si>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</si>
  <si>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</si>
  <si>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</si>
  <si>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</si>
  <si>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</si>
  <si>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</si>
  <si>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</si>
  <si>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</si>
  <si>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</si>
  <si>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</si>
  <si>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</si>
  <si>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</si>
  <si>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</si>
  <si>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</si>
  <si>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</si>
  <si>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</si>
  <si>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</si>
  <si>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</si>
  <si>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</si>
  <si>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</si>
  <si>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</si>
  <si>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</si>
  <si>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</si>
  <si>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</si>
  <si>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</si>
  <si>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</si>
  <si>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</si>
  <si>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</si>
  <si>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</si>
  <si>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</si>
  <si>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</si>
  <si>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</si>
  <si>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</si>
  <si>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</si>
  <si>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</si>
  <si>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</si>
  <si>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</si>
  <si>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</si>
  <si>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</si>
  <si>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</si>
  <si>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ArábiaSaudita</t>
  </si>
  <si>
    <t>CostaRica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</si>
  <si>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</si>
  <si>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</si>
  <si>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</si>
  <si>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</si>
  <si>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</si>
  <si>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</si>
  <si>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</si>
  <si>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</si>
  <si>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</si>
  <si>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</si>
  <si>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</si>
  <si>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</si>
  <si>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</si>
  <si>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</si>
  <si>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</si>
  <si>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</si>
  <si>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</si>
  <si>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</si>
  <si>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</si>
  <si>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</si>
  <si>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</si>
  <si>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</si>
  <si>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</si>
  <si>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</si>
  <si>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</si>
  <si>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</si>
  <si>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</si>
  <si>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</si>
  <si>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</si>
  <si>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</si>
  <si>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</si>
  <si>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</si>
  <si>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</si>
  <si>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</si>
  <si>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</si>
  <si>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</si>
  <si>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</si>
  <si>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</si>
  <si>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</si>
  <si>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</si>
  <si>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</si>
  <si>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</si>
  <si>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</si>
  <si>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</si>
  <si>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</si>
  <si>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</si>
  <si>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</si>
  <si>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</si>
  <si>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</si>
  <si>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</si>
  <si>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</si>
  <si>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</si>
  <si>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</si>
  <si>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</si>
  <si>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</si>
  <si>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</si>
  <si>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</si>
  <si>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</si>
  <si>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</si>
  <si>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</si>
  <si>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</si>
  <si>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</si>
  <si>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</si>
  <si>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</si>
  <si>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</si>
  <si>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</si>
  <si>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</si>
  <si>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</si>
  <si>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</si>
  <si>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</si>
  <si>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</si>
  <si>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</si>
  <si>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</si>
  <si>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</si>
  <si>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</si>
  <si>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</si>
  <si>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</si>
  <si>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</si>
  <si>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</si>
  <si>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</si>
  <si>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</si>
  <si>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</si>
  <si>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</si>
  <si>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</si>
  <si>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</si>
  <si>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</si>
  <si>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</si>
  <si>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</si>
  <si>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</si>
  <si>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</si>
  <si>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</si>
  <si>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</si>
  <si>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</si>
  <si>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</si>
  <si>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</si>
  <si>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</si>
  <si>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</si>
  <si>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</si>
  <si>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</si>
  <si>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</si>
  <si>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</si>
  <si>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</si>
  <si>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</si>
  <si>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</si>
  <si>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</si>
  <si>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</si>
  <si>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</si>
  <si>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</si>
  <si>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</si>
  <si>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</si>
  <si>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</si>
  <si>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</si>
  <si>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</si>
  <si>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</si>
  <si>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</si>
  <si>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</si>
  <si>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</si>
  <si>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</si>
  <si>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</si>
  <si>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</si>
  <si>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</si>
  <si>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</si>
  <si>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</si>
  <si>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</si>
  <si>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</si>
  <si>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</si>
  <si>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</si>
  <si>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</si>
  <si>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</si>
  <si>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</si>
  <si>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</si>
  <si>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</si>
  <si>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</si>
  <si>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</si>
  <si>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</si>
  <si>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</si>
  <si>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</si>
  <si>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</si>
  <si>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</si>
  <si>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</si>
  <si>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</si>
  <si>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</si>
  <si>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</si>
  <si>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</si>
  <si>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</si>
  <si>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</si>
  <si>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</si>
  <si>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</si>
  <si>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</si>
  <si>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</si>
  <si>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</si>
  <si>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</si>
  <si>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</si>
  <si>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</si>
  <si>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</si>
  <si>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</si>
  <si>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</si>
  <si>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</si>
  <si>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</si>
  <si>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</si>
  <si>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</si>
  <si>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</si>
  <si>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</si>
  <si>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</si>
  <si>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</si>
  <si>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</si>
  <si>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</si>
  <si>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</si>
  <si>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</si>
  <si>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</si>
  <si>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</si>
  <si>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</si>
  <si>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</si>
  <si>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</si>
  <si>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</si>
  <si>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</si>
  <si>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</si>
  <si>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</si>
  <si>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</si>
  <si>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</si>
  <si>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</si>
  <si>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</si>
  <si>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</si>
  <si>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</si>
  <si>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</si>
  <si>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</si>
  <si>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</si>
  <si>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</si>
  <si>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</si>
  <si>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</si>
  <si>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</si>
  <si>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</si>
  <si>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</si>
  <si>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</si>
  <si>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</si>
  <si>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</si>
  <si>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</si>
  <si>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</si>
  <si>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</si>
  <si>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</si>
  <si>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</si>
  <si>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</si>
  <si>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</si>
  <si>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</si>
  <si>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</si>
  <si>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</si>
  <si>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</si>
  <si>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Mateus Oliveira</t>
  </si>
  <si>
    <t>Macélio Henrique</t>
  </si>
  <si>
    <t>Mateus Ferreira</t>
  </si>
  <si>
    <t>Julio Santos</t>
  </si>
  <si>
    <t>Naldinho</t>
  </si>
  <si>
    <t>Juninho</t>
  </si>
  <si>
    <t>Joseir</t>
  </si>
  <si>
    <t>Manoel</t>
  </si>
  <si>
    <t>===========================================================================</t>
  </si>
  <si>
    <t>---------------------------------------------------------------------------</t>
  </si>
  <si>
    <t xml:space="preserve">-------------------- </t>
  </si>
  <si>
    <t xml:space="preserve">Grupo A </t>
  </si>
  <si>
    <t xml:space="preserve">Al Ahly 1 X 2 Inter Miami </t>
  </si>
  <si>
    <t xml:space="preserve">Palmeiras 1 X 0 Porto </t>
  </si>
  <si>
    <t xml:space="preserve">Palmeiras 2 X 1 Al Ahly </t>
  </si>
  <si>
    <t xml:space="preserve">Inter Miami 2 X 2 Porto </t>
  </si>
  <si>
    <t xml:space="preserve">Inter Miami 1 X 1 Palmeiras </t>
  </si>
  <si>
    <t>Porto 1 X 0 Al Ahly</t>
  </si>
  <si>
    <t xml:space="preserve">PSG 3 X 2 Atlético de Madrid </t>
  </si>
  <si>
    <t xml:space="preserve">Botafogo 2 X 1 Seattle Sounders </t>
  </si>
  <si>
    <t xml:space="preserve">Seattle Sounders 0 X 3 Atlético de Madrid </t>
  </si>
  <si>
    <t xml:space="preserve">PSG 2 X 0 Botafogo </t>
  </si>
  <si>
    <t xml:space="preserve">Seattle Sounders 0 X 2 PSG </t>
  </si>
  <si>
    <t>Atlético de Madrid 2 X 1 Botafogo</t>
  </si>
  <si>
    <t xml:space="preserve">Grupo C </t>
  </si>
  <si>
    <t xml:space="preserve">Bayern de Munique 3 X 1 Auckland City </t>
  </si>
  <si>
    <t xml:space="preserve">Boca Juniors 2 X 2 Benfica </t>
  </si>
  <si>
    <t xml:space="preserve">Benfica 2 X 0 Auckland City </t>
  </si>
  <si>
    <t xml:space="preserve">Bayern de Monique 3 X 1 Boca Juniors </t>
  </si>
  <si>
    <t xml:space="preserve">Benfica 1 X 2 Bayern de Munique </t>
  </si>
  <si>
    <t xml:space="preserve">Auckland City 1 X 2 Boca Juniors </t>
  </si>
  <si>
    <t>--------------------</t>
  </si>
  <si>
    <t xml:space="preserve">Chelsea 2 X 0 Los Angeles FC </t>
  </si>
  <si>
    <t xml:space="preserve">Flamengo 2 X 0 Espérance </t>
  </si>
  <si>
    <t xml:space="preserve">Flamengo 0 X 3 Chelsea </t>
  </si>
  <si>
    <t xml:space="preserve">Los Angeles FC 1 X 1 Espérance </t>
  </si>
  <si>
    <t xml:space="preserve">Espérance 0 X 2 Chelsea </t>
  </si>
  <si>
    <t xml:space="preserve">Los Angeles FC 1 X 2 Flamengo </t>
  </si>
  <si>
    <t xml:space="preserve">Grupo E </t>
  </si>
  <si>
    <t xml:space="preserve">River Plate 2 X 1 Urawa Reds </t>
  </si>
  <si>
    <t xml:space="preserve">Monterrey 0 X 3 Inter de Milão </t>
  </si>
  <si>
    <t xml:space="preserve">Inter de Milão 2 X 1 Urawa Reds </t>
  </si>
  <si>
    <t xml:space="preserve">River Plate 2 X 1 Monterrey </t>
  </si>
  <si>
    <t xml:space="preserve">Inter de Milão 1 X 0 River Plate </t>
  </si>
  <si>
    <t xml:space="preserve">Urawa Reds 0 X 0 Monterrey </t>
  </si>
  <si>
    <t xml:space="preserve">Grupo F </t>
  </si>
  <si>
    <t xml:space="preserve">Fluminense 1 X 3 Borussia Dortmund </t>
  </si>
  <si>
    <t xml:space="preserve">Ulsan HD 2 X 1 Mamelodi Sundowns </t>
  </si>
  <si>
    <t xml:space="preserve">Mamelodi Sundowns 0 X 2 Borussia Dortmund </t>
  </si>
  <si>
    <t xml:space="preserve">Fluminense 2 X 0 Ulsan HD </t>
  </si>
  <si>
    <t xml:space="preserve">Mamelodi Sundowns 1 X 2 Fluminense </t>
  </si>
  <si>
    <t xml:space="preserve">Borussia Dortmund 3 X 1 Ulsan HD </t>
  </si>
  <si>
    <t xml:space="preserve">Grupo G </t>
  </si>
  <si>
    <t xml:space="preserve">Manchester City 4 X 0 Wydad Casablanca </t>
  </si>
  <si>
    <t xml:space="preserve">Al-Ain 1 X 3 Juventus </t>
  </si>
  <si>
    <t xml:space="preserve">Juventus 2 X 0 Wydad Casablanca </t>
  </si>
  <si>
    <t xml:space="preserve">Manchester City 3 X 1 Al-Ain </t>
  </si>
  <si>
    <t xml:space="preserve">Juventus 1 X 2 Manchester City </t>
  </si>
  <si>
    <t xml:space="preserve">Wydad Casablanca 1 X 0 Al-Ain </t>
  </si>
  <si>
    <t xml:space="preserve">Grupo H </t>
  </si>
  <si>
    <t xml:space="preserve">Real Madrid 3 X 1 Al-Hilal </t>
  </si>
  <si>
    <t xml:space="preserve">Pachuca 0 X 1 RB Salzburg </t>
  </si>
  <si>
    <t xml:space="preserve">Real Madrid 4 X 0 Pachuca </t>
  </si>
  <si>
    <t xml:space="preserve">RB Salzburg 1 X 2 Al-Hilal </t>
  </si>
  <si>
    <t xml:space="preserve">RB Salzburg 0 X 2 Real Madrid </t>
  </si>
  <si>
    <t>Al-Hilal 2 X 0 Pachuca</t>
  </si>
  <si>
    <t xml:space="preserve">1º Campeão: Palmeiras </t>
  </si>
  <si>
    <t xml:space="preserve">2º Campeão: PSG </t>
  </si>
  <si>
    <t>1º Artilheiro: Dembele PSG</t>
  </si>
  <si>
    <t>2º Artilheiro: Vinicius Júnior Real Madrid</t>
  </si>
  <si>
    <t xml:space="preserve">Al Ahly 1 X 3 Inter Miami </t>
  </si>
  <si>
    <t xml:space="preserve">Palmeiras 1 X 2 Al Ahly </t>
  </si>
  <si>
    <t xml:space="preserve">Inter Miami 3 X 1 Porto </t>
  </si>
  <si>
    <t xml:space="preserve">Inter Miami 2 X 0 Palmeiras </t>
  </si>
  <si>
    <t>Porto 1 X 1 Al Ahly</t>
  </si>
  <si>
    <t xml:space="preserve">PSG 2 X 1 Atlético de Madrid </t>
  </si>
  <si>
    <t xml:space="preserve">Botafogo 1 X 1 Seattle Sounders </t>
  </si>
  <si>
    <t xml:space="preserve">Seattle Sounders 0 X 2 Atlético de Madrid </t>
  </si>
  <si>
    <t xml:space="preserve">PSG 3 X 1 Botafogo </t>
  </si>
  <si>
    <t xml:space="preserve">Seattle Sounders 1 X 3 PSG </t>
  </si>
  <si>
    <t>Atlético de Madrid 2 X 0 Botafogo</t>
  </si>
  <si>
    <t xml:space="preserve">Bayern de Munique 2 X 0 Auckland City </t>
  </si>
  <si>
    <t xml:space="preserve">Boca Juniors 1 X 1 Benfica </t>
  </si>
  <si>
    <t xml:space="preserve">Benfica 1 X 1 Auckland City </t>
  </si>
  <si>
    <t xml:space="preserve">Bayern de Monique 2 X 0 Boca Juniors </t>
  </si>
  <si>
    <t xml:space="preserve">Benfica 1 X 3 Bayern de Munique </t>
  </si>
  <si>
    <t xml:space="preserve">Flamengo 1 X 0 Espérance </t>
  </si>
  <si>
    <t xml:space="preserve">Flamengo 1 X 2 Chelsea </t>
  </si>
  <si>
    <t xml:space="preserve">Espérance 1 X 2 Chelsea </t>
  </si>
  <si>
    <t xml:space="preserve">River Plate 1 X 0 Urawa Reds </t>
  </si>
  <si>
    <t xml:space="preserve">Inter de Milão 3 X 1 Urawa Reds </t>
  </si>
  <si>
    <t xml:space="preserve">River Plate 1 X 0 Monterrey </t>
  </si>
  <si>
    <t xml:space="preserve">Inter de Milão 1 X 1 River Plate </t>
  </si>
  <si>
    <t xml:space="preserve">Urawa Reds 1 X 0 Monterrey </t>
  </si>
  <si>
    <t xml:space="preserve">Ulsan HD 1 X 1 Mamelodi Sundowns </t>
  </si>
  <si>
    <t xml:space="preserve">Mamelodi Sundowns 1 X 3 Borussia Dortmund </t>
  </si>
  <si>
    <t xml:space="preserve">Fluminense 0 X 2 Ulsan HD </t>
  </si>
  <si>
    <t xml:space="preserve">Mamelodi Sundowns 0 X 1 Fluminense </t>
  </si>
  <si>
    <t xml:space="preserve">Borussia Dortmund 2 X 0 Ulsan HD </t>
  </si>
  <si>
    <t xml:space="preserve">Juventus 3 X 1 Wydad Casablanca </t>
  </si>
  <si>
    <t xml:space="preserve">Manchester City 3 X 0 Al-Ain </t>
  </si>
  <si>
    <t xml:space="preserve">Wydad Casablanca 1 X 1 Al-Ain </t>
  </si>
  <si>
    <t xml:space="preserve">Real Madrid 4 X 0 Al-Hilal </t>
  </si>
  <si>
    <t xml:space="preserve">Pachuca 0 X 2 RB Salzburg </t>
  </si>
  <si>
    <t xml:space="preserve">Real Madrid 2 X 0 Pachuca </t>
  </si>
  <si>
    <t xml:space="preserve">RB Salzburg 2 X 2 Al-Hilal </t>
  </si>
  <si>
    <t xml:space="preserve">RB Salzburg 1 X 3 Real Madrid </t>
  </si>
  <si>
    <t>Al-Hilal 1 X 2 Pachuca</t>
  </si>
  <si>
    <t xml:space="preserve">1º Campeão: Manchester City </t>
  </si>
  <si>
    <t xml:space="preserve">2º Campeão: Real Madrid </t>
  </si>
  <si>
    <t>1º Artilheiro: Vini Júnior Real Madrid</t>
  </si>
  <si>
    <t>2º Artilheiro: Haland City</t>
  </si>
  <si>
    <t xml:space="preserve">Al Ahly 2 X 0 Inter Miami </t>
  </si>
  <si>
    <t xml:space="preserve">Palmeiras 1 X 2 Porto </t>
  </si>
  <si>
    <t>Porto 0 X 2 Al Ahly</t>
  </si>
  <si>
    <t xml:space="preserve">PSG 3 X 3 Atlético de Madrid </t>
  </si>
  <si>
    <t xml:space="preserve">Botafogo 1 X 0 Seattle Sounders </t>
  </si>
  <si>
    <t xml:space="preserve">Seattle Sounders 1 X 3 Atlético de Madrid </t>
  </si>
  <si>
    <t xml:space="preserve">PSG 3 X 0 Botafogo </t>
  </si>
  <si>
    <t xml:space="preserve">Seattle Sounders 1 X 2 PSG </t>
  </si>
  <si>
    <t xml:space="preserve">Boca Juniors 2 X 0 Benfica </t>
  </si>
  <si>
    <t xml:space="preserve">Benfica 1 X 0 Auckland City </t>
  </si>
  <si>
    <t xml:space="preserve">Bayern de Monique 2 X 1 Boca Juniors </t>
  </si>
  <si>
    <t xml:space="preserve">Benfica 1 X 0 Bayern de Munique </t>
  </si>
  <si>
    <t xml:space="preserve">Auckland City 2 X 2 Boca Juniors </t>
  </si>
  <si>
    <t xml:space="preserve">Flamengo 1 X 3 Chelsea </t>
  </si>
  <si>
    <t xml:space="preserve">Los Angeles FC 1 X 3 Flamengo </t>
  </si>
  <si>
    <t xml:space="preserve">River Plate 3 X 0 Urawa Reds </t>
  </si>
  <si>
    <t xml:space="preserve">Monterrey 1 X 2 Inter de Milão </t>
  </si>
  <si>
    <t xml:space="preserve">Inter de Milão 1 X 0 Urawa Reds </t>
  </si>
  <si>
    <t xml:space="preserve">River Plate 0 X 0 Monterrey </t>
  </si>
  <si>
    <t xml:space="preserve">Fluminense 0 X 3 Borussia Dortmund </t>
  </si>
  <si>
    <t xml:space="preserve">Ulsan HD 1 X 0 Mamelodi Sundowns </t>
  </si>
  <si>
    <t xml:space="preserve">Fluminense 1 X 0 Ulsan HD </t>
  </si>
  <si>
    <t xml:space="preserve">Mamelodi Sundowns 3 X 1 Fluminense </t>
  </si>
  <si>
    <t xml:space="preserve">Borussia Dortmund 1 X 1 Ulsan HD </t>
  </si>
  <si>
    <t xml:space="preserve">Manchester City 2 X 0 Wydad Casablanca </t>
  </si>
  <si>
    <t xml:space="preserve">Al-Ain 0 X 2 Juventus </t>
  </si>
  <si>
    <t xml:space="preserve">Juventus 1 X 0 Wydad Casablanca </t>
  </si>
  <si>
    <t xml:space="preserve">Juventus 2 X 2 Manchester City </t>
  </si>
  <si>
    <t xml:space="preserve">Wydad Casablanca 0 X 0 Al-Ain </t>
  </si>
  <si>
    <t xml:space="preserve">Pachuca 1 X 1 RB Salzburg </t>
  </si>
  <si>
    <t xml:space="preserve">Real Madrid 2 X 1 Pachuca </t>
  </si>
  <si>
    <t xml:space="preserve">RB Salzburg 0 X 0 Al-Hilal </t>
  </si>
  <si>
    <t xml:space="preserve">RB Salzburg 0 X 3 Real Madrid </t>
  </si>
  <si>
    <t>Al-Hilal 1 X 0 Pachuca</t>
  </si>
  <si>
    <t xml:space="preserve">1º Campeão: Chelsea </t>
  </si>
  <si>
    <t xml:space="preserve">2º Campeão: Inter de Milão </t>
  </si>
  <si>
    <t xml:space="preserve">1º Artilheiro: Mbappe </t>
  </si>
  <si>
    <t>2º Artilheiro: Lautaro Martinêz</t>
  </si>
  <si>
    <t xml:space="preserve">Al Ahly 2 X 2 Inter Miami </t>
  </si>
  <si>
    <t xml:space="preserve">Palmeiras 2 X 2 Porto </t>
  </si>
  <si>
    <t xml:space="preserve">Palmeiras 3 X 1 Al Ahly </t>
  </si>
  <si>
    <t xml:space="preserve">Inter Miami 1 X 2 Porto </t>
  </si>
  <si>
    <t xml:space="preserve">Inter Miami 1 X 2 Palmeiras </t>
  </si>
  <si>
    <t xml:space="preserve">PSG 3 X 1 Atlético de Madrid </t>
  </si>
  <si>
    <t xml:space="preserve">PSG 3 X 2 Botafogo </t>
  </si>
  <si>
    <t xml:space="preserve">Seattle Sounders 0 X 4 PSG </t>
  </si>
  <si>
    <t xml:space="preserve">Bayern de Munique 4 X 1 Auckland City </t>
  </si>
  <si>
    <t xml:space="preserve">Boca Juniors 1 X 3 Benfica </t>
  </si>
  <si>
    <t xml:space="preserve">Benfica 3 X 1 Auckland City </t>
  </si>
  <si>
    <t xml:space="preserve">Chelsea 2 X 1 Los Angeles FC </t>
  </si>
  <si>
    <t xml:space="preserve">Flamengo 2 X 1 Espérance </t>
  </si>
  <si>
    <t xml:space="preserve">Flamengo 1 X 1 Chelsea </t>
  </si>
  <si>
    <t xml:space="preserve">Espérance 1 X 3 Chelsea </t>
  </si>
  <si>
    <t xml:space="preserve">Los Angeles FC 0 X 3 Flamengo </t>
  </si>
  <si>
    <t xml:space="preserve">Monterrey 1 X 3 Inter de Milão </t>
  </si>
  <si>
    <t xml:space="preserve">Inter de Milão 3 X 0 Urawa Reds </t>
  </si>
  <si>
    <t xml:space="preserve">Inter de Milão 2 X 2 River Plate </t>
  </si>
  <si>
    <t xml:space="preserve">Fluminense 1 X 4 Borussia Dortmund </t>
  </si>
  <si>
    <t xml:space="preserve">Mamelodi Sundowns 1 X 2 Borussia Dortmund </t>
  </si>
  <si>
    <t xml:space="preserve">Mamelodi Sundowns 2 X 3 Fluminense </t>
  </si>
  <si>
    <t xml:space="preserve">Al-Ain 2 X 3 Juventus </t>
  </si>
  <si>
    <t xml:space="preserve">Manchester City 2 X 2 Al-Ain </t>
  </si>
  <si>
    <t xml:space="preserve">Juventus 1 X 3 Manchester City </t>
  </si>
  <si>
    <t xml:space="preserve">Wydad Casablanca 1 X 4 Al-Ain </t>
  </si>
  <si>
    <t xml:space="preserve">Real Madrid 2 X 1 Al-Hilal </t>
  </si>
  <si>
    <t xml:space="preserve">Pachuca 2 X 1 RB Salzburg </t>
  </si>
  <si>
    <t xml:space="preserve">Real Madrid 2 X 2 Pachuca </t>
  </si>
  <si>
    <t xml:space="preserve">RB Salzburg 2 X 1 Al-Hilal </t>
  </si>
  <si>
    <t>Al-Hilal 2 X 1 Pachuca</t>
  </si>
  <si>
    <t xml:space="preserve">1º Campeão: Real Madrid </t>
  </si>
  <si>
    <t>1º Artilheiro: Mbappe (RMA)</t>
  </si>
  <si>
    <t>2º Artilheiro: Kane (Bayern)</t>
  </si>
  <si>
    <t xml:space="preserve">Al Ahly 2 X 1 Inter Miami </t>
  </si>
  <si>
    <t xml:space="preserve">Palmeiras 0 X 2 Al Ahly </t>
  </si>
  <si>
    <t xml:space="preserve">Inter Miami 0 X 2 Porto </t>
  </si>
  <si>
    <t xml:space="preserve">Inter Miami 2 X 1 Palmeiras </t>
  </si>
  <si>
    <t>Porto 2 X 1 Al Ahly</t>
  </si>
  <si>
    <t xml:space="preserve">Botafogo 0 X 2 Seattle Sounders </t>
  </si>
  <si>
    <t xml:space="preserve">Seattle Sounders 0 X 1 Atlético de Madrid </t>
  </si>
  <si>
    <t xml:space="preserve">PSG 4 X 0 Botafogo </t>
  </si>
  <si>
    <t>Atlético de Madrid 3 X 0 Botafogo</t>
  </si>
  <si>
    <t xml:space="preserve">Boca Juniors 1 X 2 Benfica </t>
  </si>
  <si>
    <t xml:space="preserve">Auckland City 1 X 1 Boca Juniors </t>
  </si>
  <si>
    <t xml:space="preserve">River Plate 1 X 1 Urawa Reds </t>
  </si>
  <si>
    <t xml:space="preserve">Monterrey 0 X 2 Inter de Milão </t>
  </si>
  <si>
    <t xml:space="preserve">Inter de Milão 2 X 0 Urawa Reds </t>
  </si>
  <si>
    <t xml:space="preserve">Urawa Reds 1 X 1 Monterrey </t>
  </si>
  <si>
    <t xml:space="preserve">Fluminense 1 X 1 Ulsan HD </t>
  </si>
  <si>
    <t xml:space="preserve">Mamelodi Sundowns 1 X 0 Fluminense </t>
  </si>
  <si>
    <t xml:space="preserve">Manchester City 3 X 0 Wydad Casablanca </t>
  </si>
  <si>
    <t xml:space="preserve">Al-Ain 1 X 2 Juventus </t>
  </si>
  <si>
    <t xml:space="preserve">Wydad Casablanca 1 X 2 Al-Ain </t>
  </si>
  <si>
    <t xml:space="preserve">Real Madrid 2 X 0 Al-Hilal </t>
  </si>
  <si>
    <t xml:space="preserve">Pachuca 1 X 2 RB Salzburg </t>
  </si>
  <si>
    <t xml:space="preserve">RB Salzburg 1 X 0 Al-Hilal </t>
  </si>
  <si>
    <t xml:space="preserve">RB Salzburg 1 X 2 Real Madrid </t>
  </si>
  <si>
    <t xml:space="preserve">1º Campeão: PSG </t>
  </si>
  <si>
    <t>1º Artilheiro: Haaland/City</t>
  </si>
  <si>
    <t>2º Artilheiro: Mbappe/Real Madrid</t>
  </si>
  <si>
    <t xml:space="preserve">Palmeiras 1 X 1 Porto </t>
  </si>
  <si>
    <t xml:space="preserve">Inter Miami 0 X 1 Porto </t>
  </si>
  <si>
    <t>Porto 2 X 0 Al Ahly</t>
  </si>
  <si>
    <t xml:space="preserve">Botafogo 2 X 0 Seattle Sounders </t>
  </si>
  <si>
    <t xml:space="preserve">Benfica 3 X 0 Auckland City </t>
  </si>
  <si>
    <t xml:space="preserve">Benfica 2 X 2 Bayern de Munique </t>
  </si>
  <si>
    <t xml:space="preserve">Auckland City 0 X 2 Boca Juniors </t>
  </si>
  <si>
    <t xml:space="preserve">Chelsea 3 X 0 Los Angeles FC </t>
  </si>
  <si>
    <t xml:space="preserve">Flamengo 3 X 0 Espérance </t>
  </si>
  <si>
    <t xml:space="preserve">Los Angeles FC 2 X 1 Espérance </t>
  </si>
  <si>
    <t xml:space="preserve">Los Angeles FC 0 X 1 Flamengo </t>
  </si>
  <si>
    <t xml:space="preserve">River Plate 2 X 0 Monterrey </t>
  </si>
  <si>
    <t xml:space="preserve">Inter de Milão 2 X 1 River Plate </t>
  </si>
  <si>
    <t xml:space="preserve">Mamelodi Sundowns 0 X 3 Borussia Dortmund </t>
  </si>
  <si>
    <t xml:space="preserve">Al-Ain 2 X 2 Juventus </t>
  </si>
  <si>
    <t xml:space="preserve">Real Madrid 3 X 1 Pachuca </t>
  </si>
  <si>
    <t>Al-Hilal 2 X 2 Pachuca</t>
  </si>
  <si>
    <t xml:space="preserve">1º Artilheiro: Kylian Mbappé/real Madrid </t>
  </si>
  <si>
    <t xml:space="preserve">2º Artilheiro: Erling Haaland/Manchester city </t>
  </si>
  <si>
    <t xml:space="preserve">Al Ahly 0 X 2 Inter Miami </t>
  </si>
  <si>
    <t xml:space="preserve">Palmeiras 2 X 0 Al Ahly </t>
  </si>
  <si>
    <t>Porto 3 X 0 Al Ahly</t>
  </si>
  <si>
    <t xml:space="preserve">Bayern de Munique 4 X 0 Auckland City </t>
  </si>
  <si>
    <t xml:space="preserve">Boca Juniors 0 X 2 Benfica </t>
  </si>
  <si>
    <t xml:space="preserve">Benfica 2 X 3 Bayern de Munique </t>
  </si>
  <si>
    <t xml:space="preserve">Auckland City 1 X 3 Boca Juniors </t>
  </si>
  <si>
    <t xml:space="preserve">Los Angeles FC 2 X 0 Espérance </t>
  </si>
  <si>
    <t xml:space="preserve">Espérance 0 X 3 Chelsea </t>
  </si>
  <si>
    <t xml:space="preserve">Los Angeles FC 0 X 2 Flamengo </t>
  </si>
  <si>
    <t xml:space="preserve">River Plate 2 X 0 Urawa Reds </t>
  </si>
  <si>
    <t xml:space="preserve">Inter de Milão 2 X 0 River Plate </t>
  </si>
  <si>
    <t xml:space="preserve">Urawa Reds 1 X 2 Monterrey </t>
  </si>
  <si>
    <t xml:space="preserve">Fluminense 0 X 2 Borussia Dortmund </t>
  </si>
  <si>
    <t xml:space="preserve">Ulsan HD 2 X 2 Mamelodi Sundowns </t>
  </si>
  <si>
    <t xml:space="preserve">Borussia Dortmund 3 X 0 Ulsan HD </t>
  </si>
  <si>
    <t xml:space="preserve">Wydad Casablanca 1 X 3 Al-Ain </t>
  </si>
  <si>
    <t xml:space="preserve">Real Madrid 3 X 0 Pachuca </t>
  </si>
  <si>
    <t>Al-Hilal 3 X 0 Pachuca</t>
  </si>
  <si>
    <t xml:space="preserve">1º Artilheiro: Kylian Mbappé/ Real Madrid </t>
  </si>
  <si>
    <t>2º Artilheiro:  Erling  Haaland/ Manchester City</t>
  </si>
  <si>
    <t xml:space="preserve">Inter Miami 1 X 1 Porto </t>
  </si>
  <si>
    <t xml:space="preserve">Inter Miami 1 X 0 Palmeiras </t>
  </si>
  <si>
    <t>Porto 1 X 2 Al Ahly</t>
  </si>
  <si>
    <t xml:space="preserve">PSG 2 X 0 Atlético de Madrid </t>
  </si>
  <si>
    <t xml:space="preserve">Botafogo 0 X 1 Seattle Sounders </t>
  </si>
  <si>
    <t xml:space="preserve">Seattle Sounders 1 X 2 Atlético de Madrid </t>
  </si>
  <si>
    <t xml:space="preserve">PSG 7 X 0 Botafogo </t>
  </si>
  <si>
    <t xml:space="preserve">Seattle Sounders 0 X 3 PSG </t>
  </si>
  <si>
    <t xml:space="preserve">Bayern de Munique 2 X 1 Auckland City </t>
  </si>
  <si>
    <t xml:space="preserve">Auckland City 0 X 1 Boca Juniors </t>
  </si>
  <si>
    <t xml:space="preserve">Flamengo 1 X 2 Espérance </t>
  </si>
  <si>
    <t xml:space="preserve">Los Angeles FC 2 X 0 Flamengo </t>
  </si>
  <si>
    <t xml:space="preserve">Inter de Milão 0 X 1 River Plate </t>
  </si>
  <si>
    <t xml:space="preserve">Fluminense 0 X 4 Borussia Dortmund </t>
  </si>
  <si>
    <t xml:space="preserve">Mamelodi Sundowns 0 X 4 Borussia Dortmund </t>
  </si>
  <si>
    <t xml:space="preserve">Fluminense 1 X 2 Ulsan HD </t>
  </si>
  <si>
    <t xml:space="preserve">Mamelodi Sundowns 2 X 1 Fluminense </t>
  </si>
  <si>
    <t xml:space="preserve">Manchester City 2 X 1 Al-Ain </t>
  </si>
  <si>
    <t xml:space="preserve">Juventus 1 X 1 Manchester City </t>
  </si>
  <si>
    <t xml:space="preserve">Wydad Casablanca 0 X 2 Al-Ain </t>
  </si>
  <si>
    <t xml:space="preserve">2º Campeão: Borussia Dortmund </t>
  </si>
  <si>
    <t>1º Artilheiro: Embape/ Psg</t>
  </si>
  <si>
    <t>2º Artilheiro: Serhou Guirassy/ Borussia</t>
  </si>
  <si>
    <t xml:space="preserve">Al Ahly 1 X 11 Inter Miami </t>
  </si>
  <si>
    <t xml:space="preserve">Palmeiras 2 X 1 Porto </t>
  </si>
  <si>
    <t xml:space="preserve">Palmeiras 1 X 0 Al Ahly </t>
  </si>
  <si>
    <t xml:space="preserve">Inter Miami 2 X 0 Porto </t>
  </si>
  <si>
    <t xml:space="preserve">Botafogo 1 X 2 Seattle Sounders </t>
  </si>
  <si>
    <t xml:space="preserve">Seattle Sounders 1 X 4 PSG </t>
  </si>
  <si>
    <t>Atlético de Madrid 1 X 3 Botafogo</t>
  </si>
  <si>
    <t xml:space="preserve">Boca Juniors 3 X 0 Benfica </t>
  </si>
  <si>
    <t xml:space="preserve">Benfica 0 X 0 Auckland City </t>
  </si>
  <si>
    <t xml:space="preserve">Bayern de Monique 2 X 2 Boca Juniors </t>
  </si>
  <si>
    <t xml:space="preserve">Flamengo 3 X 1 Espérance </t>
  </si>
  <si>
    <t xml:space="preserve">Los Angeles FC 1 X 0 Espérance </t>
  </si>
  <si>
    <t xml:space="preserve">Espérance 1 X 4 Chelsea </t>
  </si>
  <si>
    <t xml:space="preserve">Fluminense 2 X 0 Borussia Dortmund </t>
  </si>
  <si>
    <t xml:space="preserve">Mamelodi Sundowns 2 X 2 Borussia Dortmund </t>
  </si>
  <si>
    <t xml:space="preserve">Mamelodi Sundowns 1 X 3 Fluminense </t>
  </si>
  <si>
    <t xml:space="preserve">Juventus 3 X 0 Wydad Casablanca </t>
  </si>
  <si>
    <t xml:space="preserve">Wydad Casablanca 2 X 3 Al-Ain </t>
  </si>
  <si>
    <t xml:space="preserve">Pachuca 1 X 0 RB Salzburg </t>
  </si>
  <si>
    <t xml:space="preserve">RB Salzburg 1 X 1 Al-Hilal </t>
  </si>
  <si>
    <t>1º Artilheiro: Deisire PSG</t>
  </si>
  <si>
    <t>2º Artilheiro: Vini Júnior Real Madrid</t>
  </si>
  <si>
    <t xml:space="preserve">Al Ahly 0 X 1 Inter Miami </t>
  </si>
  <si>
    <t xml:space="preserve">PSG 1 X 0 Atlético de Madrid </t>
  </si>
  <si>
    <t xml:space="preserve">PSG 1 X 0 Botafogo </t>
  </si>
  <si>
    <t xml:space="preserve">Seattle Sounders 0 X 1 PSG </t>
  </si>
  <si>
    <t>Atlético de Madrid 1 X 0 Botafogo</t>
  </si>
  <si>
    <t xml:space="preserve">Bayern de Munique 1 X 0 Auckland City </t>
  </si>
  <si>
    <t xml:space="preserve">Boca Juniors 0 X 0 Benfica </t>
  </si>
  <si>
    <t xml:space="preserve">Bayern de Monique 0 X 1 Boca Juniors </t>
  </si>
  <si>
    <t xml:space="preserve">Auckland City 1 X 0 Boca Juniors </t>
  </si>
  <si>
    <t xml:space="preserve">Chelsea 1 X 1 Los Angeles FC </t>
  </si>
  <si>
    <t xml:space="preserve">Flamengo 1 X 0 Chelsea </t>
  </si>
  <si>
    <t xml:space="preserve">Los Angeles FC 0 X 1 Espérance </t>
  </si>
  <si>
    <t xml:space="preserve">Espérance 0 X 1 Chelsea </t>
  </si>
  <si>
    <t xml:space="preserve">Fluminense 0 X 0 Borussia Dortmund </t>
  </si>
  <si>
    <t xml:space="preserve">Ulsan HD 0 X 0 Mamelodi Sundowns </t>
  </si>
  <si>
    <t xml:space="preserve">Mamelodi Sundowns 0 X 1 Borussia Dortmund </t>
  </si>
  <si>
    <t xml:space="preserve">Borussia Dortmund 1 X 0 Ulsan HD </t>
  </si>
  <si>
    <t xml:space="preserve">Manchester City 1 X 0 Wydad Casablanca </t>
  </si>
  <si>
    <t xml:space="preserve">Manchester City 1 X 0 Al-Ain </t>
  </si>
  <si>
    <t xml:space="preserve">Juventus 0 X 1 Manchester City </t>
  </si>
  <si>
    <t xml:space="preserve">Real Madrid 1 X 0 Al-Hilal </t>
  </si>
  <si>
    <t xml:space="preserve">Real Madrid 1 X 0 Pachuca </t>
  </si>
  <si>
    <t xml:space="preserve">RB Salzburg 0 X 1 Real Madrid </t>
  </si>
  <si>
    <t>Al-Hilal 1 X 1 Pachuca</t>
  </si>
  <si>
    <t>1º Artilheiro: Mbappé - Real Madrid</t>
  </si>
  <si>
    <t>2º Artilheiro: Dembele - PSG</t>
  </si>
  <si>
    <t xml:space="preserve">Al Ahly 1 X 1 Inter Miami </t>
  </si>
  <si>
    <t xml:space="preserve">Inter Miami 1 X 0 Porto </t>
  </si>
  <si>
    <t xml:space="preserve">Botafogo 3 X 1 Seattle Sounders </t>
  </si>
  <si>
    <t xml:space="preserve">Seattle Sounders 1 X 4 Atlético de Madrid </t>
  </si>
  <si>
    <t xml:space="preserve">Flamengo 2 X 1 Chelsea </t>
  </si>
  <si>
    <t xml:space="preserve">Los Angeles FC 1 X 4 Flamengo </t>
  </si>
  <si>
    <t xml:space="preserve">River Plate 2 X 2 Monterrey </t>
  </si>
  <si>
    <t xml:space="preserve">Fluminense 1 X 1 Borussia Dortmund </t>
  </si>
  <si>
    <t xml:space="preserve">Manchester City 4 X 0 Al-Ain </t>
  </si>
  <si>
    <t xml:space="preserve">Juventus 2 X 3 Manchester City </t>
  </si>
  <si>
    <t xml:space="preserve">Real Madrid 4 X 1 Al-Hilal </t>
  </si>
  <si>
    <t xml:space="preserve">RB Salzburg 0 X 1 Al-Hilal </t>
  </si>
  <si>
    <t xml:space="preserve">RB Salzburg 1 X 4 Real Madrid </t>
  </si>
  <si>
    <t>1º Artilheiro: Vinicius Jr. - Real Madrid</t>
  </si>
  <si>
    <t>2º Artilheiro: Mbappé - Real Madrid</t>
  </si>
  <si>
    <t xml:space="preserve">Palmeiras 3 X 2 Al Ahly </t>
  </si>
  <si>
    <t xml:space="preserve">Boca Juniors 2 X 3 Benfica </t>
  </si>
  <si>
    <t xml:space="preserve">Benfica 5 X 2 Auckland City </t>
  </si>
  <si>
    <t xml:space="preserve">Auckland City 2 X 1 Boca Juniors </t>
  </si>
  <si>
    <t xml:space="preserve">Chelsea 3 X 1 Los Angeles FC </t>
  </si>
  <si>
    <t xml:space="preserve">Espérance 0 X 4 Chelsea </t>
  </si>
  <si>
    <t xml:space="preserve">Inter de Milão 3 X 1 River Plate </t>
  </si>
  <si>
    <t xml:space="preserve">Urawa Reds 2 X 1 Monterrey </t>
  </si>
  <si>
    <t xml:space="preserve">Ulsan HD 0 X 1 Mamelodi Sundowns </t>
  </si>
  <si>
    <t xml:space="preserve">Fluminense 3 X 1 Ulsan HD </t>
  </si>
  <si>
    <t xml:space="preserve">Wydad Casablanca 0 X 1 Al-Ain </t>
  </si>
  <si>
    <t>1º Artilheiro: Kylian mbappé</t>
  </si>
  <si>
    <t>2º Artilheiro: erling haaland</t>
  </si>
  <si>
    <t>Marcel</t>
  </si>
  <si>
    <t>Julio Oliveira</t>
  </si>
  <si>
    <t>Ivan</t>
  </si>
  <si>
    <t>Mateus 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</si>
</sst>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11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 wrapText="1"/>
    </xf>
    <xf numFmtId="0" fontId="18" fillId="11" borderId="5" xfId="0" applyFont="1" applyFill="1" applyBorder="1" applyAlignment="1">
      <alignment horizontal="center" vertical="center" wrapText="1"/>
    </xf>
    <xf numFmtId="0" fontId="19" fillId="11" borderId="5" xfId="0" applyFont="1" applyFill="1" applyBorder="1" applyAlignment="1">
      <alignment horizontal="center" vertical="center" wrapText="1"/>
    </xf>
    <xf numFmtId="0" fontId="19" fillId="11" borderId="6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1" fillId="0" borderId="5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right" vertical="center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vertical="center"/>
    </xf>
    <xf numFmtId="0" fontId="0" fillId="13" borderId="4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6" borderId="0" xfId="0" applyFill="1" applyAlignment="1">
      <alignment horizontal="right" vertical="center"/>
    </xf>
    <xf numFmtId="0" fontId="0" fillId="16" borderId="5" xfId="0" applyFill="1" applyBorder="1" applyAlignment="1">
      <alignment horizontal="right" vertical="center"/>
    </xf>
    <xf numFmtId="0" fontId="0" fillId="16" borderId="5" xfId="0" applyFill="1" applyBorder="1" applyAlignment="1">
      <alignment horizontal="center" vertical="center"/>
    </xf>
    <xf numFmtId="0" fontId="0" fillId="16" borderId="5" xfId="0" applyFill="1" applyBorder="1" applyAlignment="1">
      <alignment horizontal="left" vertical="center"/>
    </xf>
    <xf numFmtId="0" fontId="0" fillId="16" borderId="5" xfId="0" applyFill="1" applyBorder="1" applyAlignment="1">
      <alignment vertical="center"/>
    </xf>
    <xf numFmtId="0" fontId="23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5" borderId="5" xfId="0" applyFill="1" applyBorder="1" applyAlignment="1">
      <alignment vertical="center"/>
    </xf>
    <xf numFmtId="0" fontId="9" fillId="15" borderId="5" xfId="0" applyFont="1" applyFill="1" applyBorder="1" applyAlignment="1">
      <alignment horizontal="left" vertical="center"/>
    </xf>
    <xf numFmtId="0" fontId="9" fillId="15" borderId="5" xfId="0" applyFont="1" applyFill="1" applyBorder="1" applyAlignment="1">
      <alignment vertical="center"/>
    </xf>
    <xf numFmtId="0" fontId="0" fillId="15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3" fillId="15" borderId="5" xfId="0" applyFont="1" applyFill="1" applyBorder="1" applyAlignment="1">
      <alignment horizontal="left" vertical="center"/>
    </xf>
    <xf numFmtId="0" fontId="13" fillId="15" borderId="5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5" borderId="13" xfId="0" applyFont="1" applyFill="1" applyBorder="1" applyAlignment="1">
      <alignment horizontal="center" vertical="center"/>
    </xf>
    <xf numFmtId="0" fontId="1" fillId="15" borderId="14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right" vertical="center"/>
    </xf>
    <xf numFmtId="0" fontId="1" fillId="13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1" fillId="9" borderId="4" xfId="0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4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0" borderId="5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5" xfId="0" applyFont="1" applyBorder="1" applyAlignment="1">
      <alignment horizontal="right" vertical="center"/>
    </xf>
    <xf numFmtId="0" fontId="0" fillId="0" borderId="8" xfId="0" applyFont="1" applyBorder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6" borderId="4" xfId="0" applyFont="1" applyFill="1" applyBorder="1" applyAlignment="1">
      <alignment horizontal="right" vertical="center"/>
    </xf>
    <xf numFmtId="0" fontId="15" fillId="16" borderId="5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0" fillId="16" borderId="5" xfId="0" applyFont="1" applyFill="1" applyBorder="1" applyAlignment="1">
      <alignment horizontal="left" vertical="center"/>
    </xf>
    <xf numFmtId="0" fontId="2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CC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73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73" t="s">
        <v>218</v>
      </c>
      <c r="C2" s="73"/>
      <c r="D2" s="73"/>
      <c r="E2" s="2">
        <v>1</v>
      </c>
      <c r="F2" s="2"/>
      <c r="G2" s="2">
        <v>1</v>
      </c>
      <c r="H2" s="73" t="s">
        <v>219</v>
      </c>
      <c r="I2" s="73"/>
      <c r="J2" s="73"/>
      <c r="L2" t="s">
        <v>254</v>
      </c>
    </row>
    <row r="3" spans="2:12" x14ac:dyDescent="0.3">
      <c r="B3" s="73" t="s">
        <v>220</v>
      </c>
      <c r="C3" s="73"/>
      <c r="D3" s="73"/>
      <c r="E3" s="2">
        <v>2</v>
      </c>
      <c r="F3" s="2"/>
      <c r="G3" s="2">
        <v>2</v>
      </c>
      <c r="H3" s="73" t="s">
        <v>221</v>
      </c>
      <c r="I3" s="73"/>
      <c r="J3" s="73"/>
    </row>
    <row r="5" spans="2:12" x14ac:dyDescent="0.3">
      <c r="B5" s="73" t="s">
        <v>218</v>
      </c>
      <c r="C5" s="73"/>
      <c r="D5" s="73"/>
      <c r="E5" s="2">
        <v>1</v>
      </c>
      <c r="F5" s="2"/>
      <c r="G5" s="2">
        <v>1</v>
      </c>
      <c r="H5" s="73" t="s">
        <v>219</v>
      </c>
      <c r="I5" s="73"/>
      <c r="J5" s="73"/>
      <c r="L5" t="s">
        <v>254</v>
      </c>
    </row>
    <row r="6" spans="2:12" x14ac:dyDescent="0.3">
      <c r="B6" s="73" t="s">
        <v>220</v>
      </c>
      <c r="C6" s="73"/>
      <c r="D6" s="73"/>
      <c r="E6" s="2">
        <v>2</v>
      </c>
      <c r="F6" s="2"/>
      <c r="G6" s="2">
        <v>2</v>
      </c>
      <c r="H6" s="73" t="s">
        <v>221</v>
      </c>
      <c r="I6" s="73"/>
      <c r="J6" s="73"/>
    </row>
    <row r="8" spans="2:12" x14ac:dyDescent="0.3">
      <c r="B8" s="73" t="s">
        <v>218</v>
      </c>
      <c r="C8" s="73"/>
      <c r="D8" s="73"/>
      <c r="E8" s="2">
        <v>1</v>
      </c>
      <c r="F8" s="2"/>
      <c r="G8" s="2">
        <v>1</v>
      </c>
      <c r="H8" s="73" t="s">
        <v>219</v>
      </c>
      <c r="I8" s="73"/>
      <c r="J8" s="73"/>
      <c r="L8" t="s">
        <v>254</v>
      </c>
    </row>
    <row r="9" spans="2:12" x14ac:dyDescent="0.3">
      <c r="B9" s="73" t="s">
        <v>220</v>
      </c>
      <c r="C9" s="73"/>
      <c r="D9" s="73"/>
      <c r="E9" s="2">
        <v>2</v>
      </c>
      <c r="F9" s="2"/>
      <c r="G9" s="2">
        <v>2</v>
      </c>
      <c r="H9" s="73" t="s">
        <v>221</v>
      </c>
      <c r="I9" s="73"/>
      <c r="J9" s="73"/>
    </row>
    <row r="11" spans="2:12" x14ac:dyDescent="0.3">
      <c r="B11" s="73" t="s">
        <v>218</v>
      </c>
      <c r="C11" s="73"/>
      <c r="D11" s="73"/>
      <c r="E11" s="2">
        <v>1</v>
      </c>
      <c r="F11" s="2"/>
      <c r="G11" s="2">
        <v>1</v>
      </c>
      <c r="H11" s="73" t="s">
        <v>219</v>
      </c>
      <c r="I11" s="73"/>
      <c r="J11" s="73"/>
      <c r="L11" t="s">
        <v>254</v>
      </c>
    </row>
    <row r="12" spans="2:12" x14ac:dyDescent="0.3">
      <c r="B12" s="73" t="s">
        <v>220</v>
      </c>
      <c r="C12" s="73"/>
      <c r="D12" s="73"/>
      <c r="E12" s="2">
        <v>2</v>
      </c>
      <c r="F12" s="2"/>
      <c r="G12" s="2">
        <v>2</v>
      </c>
      <c r="H12" s="73" t="s">
        <v>221</v>
      </c>
      <c r="I12" s="73"/>
      <c r="J12" s="73"/>
    </row>
    <row r="14" spans="2:12" x14ac:dyDescent="0.3">
      <c r="B14" s="73" t="s">
        <v>218</v>
      </c>
      <c r="C14" s="73"/>
      <c r="D14" s="73"/>
      <c r="E14" s="2">
        <v>1</v>
      </c>
      <c r="F14" s="2"/>
      <c r="G14" s="2">
        <v>1</v>
      </c>
      <c r="H14" s="73" t="s">
        <v>219</v>
      </c>
      <c r="I14" s="73"/>
      <c r="J14" s="73"/>
      <c r="L14" t="s">
        <v>254</v>
      </c>
    </row>
    <row r="15" spans="2:12" x14ac:dyDescent="0.3">
      <c r="B15" s="73" t="s">
        <v>220</v>
      </c>
      <c r="C15" s="73"/>
      <c r="D15" s="73"/>
      <c r="E15" s="2">
        <v>2</v>
      </c>
      <c r="F15" s="2"/>
      <c r="G15" s="2">
        <v>2</v>
      </c>
      <c r="H15" s="73" t="s">
        <v>221</v>
      </c>
      <c r="I15" s="73"/>
      <c r="J15" s="73"/>
    </row>
    <row r="17" spans="2:12" x14ac:dyDescent="0.3">
      <c r="B17" s="73" t="s">
        <v>16</v>
      </c>
      <c r="C17" s="73"/>
      <c r="D17" s="73"/>
      <c r="E17" s="2">
        <v>1</v>
      </c>
      <c r="F17" s="2"/>
      <c r="G17" s="2">
        <v>1</v>
      </c>
      <c r="H17" s="73" t="s">
        <v>33</v>
      </c>
      <c r="I17" s="73"/>
      <c r="J17" s="73"/>
      <c r="L17" t="s">
        <v>81</v>
      </c>
    </row>
    <row r="18" spans="2:12" x14ac:dyDescent="0.3">
      <c r="B18" s="73" t="s">
        <v>49</v>
      </c>
      <c r="C18" s="73"/>
      <c r="D18" s="73"/>
      <c r="E18" s="2">
        <v>1</v>
      </c>
      <c r="F18" s="2"/>
      <c r="G18" s="2">
        <v>2</v>
      </c>
      <c r="H18" s="73" t="s">
        <v>24</v>
      </c>
      <c r="I18" s="73"/>
      <c r="J18" s="73"/>
    </row>
    <row r="19" spans="2:12" x14ac:dyDescent="0.3">
      <c r="B19" s="73" t="s">
        <v>10</v>
      </c>
      <c r="C19" s="73"/>
      <c r="D19" s="73"/>
      <c r="E19" s="2">
        <v>1</v>
      </c>
      <c r="F19" s="2"/>
      <c r="G19" s="2">
        <v>2</v>
      </c>
      <c r="H19" s="73" t="s">
        <v>23</v>
      </c>
      <c r="I19" s="73"/>
      <c r="J19" s="73"/>
    </row>
    <row r="20" spans="2:12" x14ac:dyDescent="0.3">
      <c r="B20" s="73" t="s">
        <v>5</v>
      </c>
      <c r="C20" s="73"/>
      <c r="D20" s="73"/>
      <c r="E20" s="2">
        <v>2</v>
      </c>
      <c r="F20" s="2"/>
      <c r="G20" s="2">
        <v>1</v>
      </c>
      <c r="H20" s="73" t="s">
        <v>6</v>
      </c>
      <c r="I20" s="73"/>
      <c r="J20" s="73"/>
    </row>
    <row r="21" spans="2:12" x14ac:dyDescent="0.3">
      <c r="B21" s="73" t="s">
        <v>20</v>
      </c>
      <c r="C21" s="73"/>
      <c r="D21" s="73"/>
      <c r="E21" s="2">
        <v>1</v>
      </c>
      <c r="F21" s="2"/>
      <c r="G21" s="2">
        <v>2</v>
      </c>
      <c r="H21" s="73" t="s">
        <v>17</v>
      </c>
      <c r="I21" s="73"/>
      <c r="J21" s="73"/>
    </row>
    <row r="22" spans="2:12" x14ac:dyDescent="0.3">
      <c r="B22" s="73" t="s">
        <v>17</v>
      </c>
      <c r="C22" s="73"/>
      <c r="D22" s="73"/>
      <c r="E22" s="2">
        <v>2</v>
      </c>
      <c r="F22" s="2"/>
      <c r="G22" s="2">
        <v>0</v>
      </c>
      <c r="H22" s="73" t="s">
        <v>23</v>
      </c>
      <c r="I22" s="73"/>
      <c r="J22" s="73"/>
    </row>
    <row r="24" spans="2:12" x14ac:dyDescent="0.3">
      <c r="B24" s="73" t="s">
        <v>27</v>
      </c>
      <c r="C24" s="73"/>
      <c r="D24" s="73"/>
      <c r="E24" s="2">
        <v>0</v>
      </c>
      <c r="F24" s="2"/>
      <c r="G24" s="2">
        <v>2</v>
      </c>
      <c r="H24" s="73" t="s">
        <v>19</v>
      </c>
      <c r="I24" s="73"/>
      <c r="J24" s="73"/>
      <c r="L24" t="s">
        <v>80</v>
      </c>
    </row>
    <row r="25" spans="2:12" x14ac:dyDescent="0.3">
      <c r="B25" s="73" t="s">
        <v>25</v>
      </c>
      <c r="C25" s="73"/>
      <c r="D25" s="73"/>
      <c r="E25" s="2">
        <v>2</v>
      </c>
      <c r="F25" s="2"/>
      <c r="G25" s="2">
        <v>0</v>
      </c>
      <c r="H25" s="73" t="s">
        <v>49</v>
      </c>
      <c r="I25" s="73"/>
      <c r="J25" s="73"/>
    </row>
    <row r="26" spans="2:12" x14ac:dyDescent="0.3">
      <c r="B26" s="73" t="s">
        <v>18</v>
      </c>
      <c r="C26" s="73"/>
      <c r="D26" s="73"/>
      <c r="E26" s="2">
        <v>0</v>
      </c>
      <c r="F26" s="2"/>
      <c r="G26" s="2">
        <v>2</v>
      </c>
      <c r="H26" s="73" t="s">
        <v>31</v>
      </c>
      <c r="I26" s="73"/>
      <c r="J26" s="73"/>
    </row>
    <row r="27" spans="2:12" x14ac:dyDescent="0.3">
      <c r="B27" s="73" t="s">
        <v>5</v>
      </c>
      <c r="C27" s="73"/>
      <c r="D27" s="73"/>
      <c r="E27" s="2">
        <v>2</v>
      </c>
      <c r="F27" s="2"/>
      <c r="G27" s="2">
        <v>1</v>
      </c>
      <c r="H27" s="73" t="s">
        <v>6</v>
      </c>
      <c r="I27" s="73"/>
      <c r="J27" s="73"/>
    </row>
    <row r="28" spans="2:12" x14ac:dyDescent="0.3">
      <c r="B28" s="73" t="s">
        <v>17</v>
      </c>
      <c r="C28" s="73"/>
      <c r="D28" s="73"/>
      <c r="E28" s="2">
        <v>2</v>
      </c>
      <c r="F28" s="2"/>
      <c r="G28" s="2">
        <v>0</v>
      </c>
      <c r="H28" s="73" t="s">
        <v>23</v>
      </c>
      <c r="I28" s="73"/>
      <c r="J28" s="73"/>
    </row>
    <row r="30" spans="2:12" x14ac:dyDescent="0.3">
      <c r="B30" s="73" t="s">
        <v>27</v>
      </c>
      <c r="C30" s="73"/>
      <c r="D30" s="73"/>
      <c r="E30" s="2">
        <v>0</v>
      </c>
      <c r="F30" s="2"/>
      <c r="G30" s="2">
        <v>2</v>
      </c>
      <c r="H30" s="73" t="s">
        <v>19</v>
      </c>
      <c r="I30" s="73"/>
      <c r="J30" s="73"/>
      <c r="L30" t="s">
        <v>79</v>
      </c>
    </row>
    <row r="31" spans="2:12" x14ac:dyDescent="0.3">
      <c r="B31" s="73" t="s">
        <v>19</v>
      </c>
      <c r="C31" s="73"/>
      <c r="D31" s="73"/>
      <c r="E31" s="2">
        <v>1</v>
      </c>
      <c r="F31" s="2"/>
      <c r="G31" s="2">
        <v>1</v>
      </c>
      <c r="H31" s="73" t="s">
        <v>14</v>
      </c>
      <c r="I31" s="73"/>
      <c r="J31" s="73"/>
    </row>
    <row r="32" spans="2:12" x14ac:dyDescent="0.3">
      <c r="B32" s="73" t="s">
        <v>25</v>
      </c>
      <c r="C32" s="73"/>
      <c r="D32" s="73"/>
      <c r="E32" s="2">
        <v>0</v>
      </c>
      <c r="F32" s="2"/>
      <c r="G32" s="2">
        <v>2</v>
      </c>
      <c r="H32" s="73" t="s">
        <v>5</v>
      </c>
      <c r="I32" s="73"/>
      <c r="J32" s="73"/>
    </row>
    <row r="33" spans="2:12" x14ac:dyDescent="0.3">
      <c r="B33" s="73" t="s">
        <v>15</v>
      </c>
      <c r="C33" s="73"/>
      <c r="D33" s="73"/>
      <c r="E33" s="2">
        <v>1</v>
      </c>
      <c r="F33" s="2"/>
      <c r="G33" s="2">
        <v>1</v>
      </c>
      <c r="H33" s="73" t="s">
        <v>4</v>
      </c>
      <c r="I33" s="73"/>
      <c r="J33" s="73"/>
    </row>
    <row r="34" spans="2:12" x14ac:dyDescent="0.3">
      <c r="B34" s="73" t="s">
        <v>18</v>
      </c>
      <c r="C34" s="73"/>
      <c r="D34" s="73"/>
      <c r="E34" s="2">
        <v>0</v>
      </c>
      <c r="F34" s="2"/>
      <c r="G34" s="2">
        <v>2</v>
      </c>
      <c r="H34" s="73" t="s">
        <v>31</v>
      </c>
      <c r="I34" s="73"/>
      <c r="J34" s="73"/>
    </row>
    <row r="35" spans="2:12" x14ac:dyDescent="0.3">
      <c r="B35" s="73" t="s">
        <v>5</v>
      </c>
      <c r="C35" s="73"/>
      <c r="D35" s="73"/>
      <c r="E35" s="2">
        <v>2</v>
      </c>
      <c r="F35" s="2"/>
      <c r="G35" s="2">
        <v>1</v>
      </c>
      <c r="H35" s="73" t="s">
        <v>6</v>
      </c>
      <c r="I35" s="73"/>
      <c r="J35" s="73"/>
    </row>
    <row r="37" spans="2:12" x14ac:dyDescent="0.3">
      <c r="B37" s="73" t="s">
        <v>16</v>
      </c>
      <c r="C37" s="73"/>
      <c r="D37" s="73"/>
      <c r="E37" s="2">
        <v>1</v>
      </c>
      <c r="F37" s="2"/>
      <c r="G37" s="2">
        <v>1</v>
      </c>
      <c r="H37" s="73" t="s">
        <v>33</v>
      </c>
      <c r="I37" s="73"/>
      <c r="J37" s="73"/>
      <c r="L37" t="s">
        <v>78</v>
      </c>
    </row>
    <row r="38" spans="2:12" x14ac:dyDescent="0.3">
      <c r="B38" s="73" t="s">
        <v>33</v>
      </c>
      <c r="C38" s="73"/>
      <c r="D38" s="73"/>
      <c r="E38" s="2">
        <v>0</v>
      </c>
      <c r="F38" s="2"/>
      <c r="G38" s="2">
        <v>3</v>
      </c>
      <c r="H38" s="73" t="s">
        <v>20</v>
      </c>
      <c r="I38" s="73"/>
      <c r="J38" s="73"/>
    </row>
    <row r="39" spans="2:12" x14ac:dyDescent="0.3">
      <c r="B39" s="73" t="s">
        <v>25</v>
      </c>
      <c r="C39" s="73"/>
      <c r="D39" s="73"/>
      <c r="E39" s="2">
        <v>2</v>
      </c>
      <c r="F39" s="2"/>
      <c r="G39" s="2">
        <v>0</v>
      </c>
      <c r="H39" s="73" t="s">
        <v>49</v>
      </c>
      <c r="I39" s="73"/>
      <c r="J39" s="73"/>
    </row>
    <row r="40" spans="2:12" x14ac:dyDescent="0.3">
      <c r="B40" s="73" t="s">
        <v>12</v>
      </c>
      <c r="C40" s="73"/>
      <c r="D40" s="73"/>
      <c r="E40" s="2">
        <v>2</v>
      </c>
      <c r="F40" s="2"/>
      <c r="G40" s="2">
        <v>1</v>
      </c>
      <c r="H40" s="73" t="s">
        <v>23</v>
      </c>
      <c r="I40" s="73"/>
      <c r="J40" s="73"/>
    </row>
    <row r="42" spans="2:12" x14ac:dyDescent="0.3">
      <c r="B42" s="73" t="s">
        <v>30</v>
      </c>
      <c r="C42" s="73"/>
      <c r="D42" s="73"/>
      <c r="E42" s="2">
        <v>0</v>
      </c>
      <c r="F42" s="2"/>
      <c r="G42" s="2">
        <v>1</v>
      </c>
      <c r="H42" s="73" t="s">
        <v>6</v>
      </c>
      <c r="I42" s="73"/>
      <c r="J42" s="73"/>
      <c r="L42" t="s">
        <v>77</v>
      </c>
    </row>
    <row r="43" spans="2:12" x14ac:dyDescent="0.3">
      <c r="B43" s="73" t="s">
        <v>15</v>
      </c>
      <c r="C43" s="73"/>
      <c r="D43" s="73"/>
      <c r="E43" s="2">
        <v>1</v>
      </c>
      <c r="F43" s="2"/>
      <c r="G43" s="2">
        <v>1</v>
      </c>
      <c r="H43" s="73" t="s">
        <v>4</v>
      </c>
      <c r="I43" s="73"/>
      <c r="J43" s="73"/>
    </row>
    <row r="44" spans="2:12" x14ac:dyDescent="0.3">
      <c r="B44" s="73" t="s">
        <v>5</v>
      </c>
      <c r="C44" s="73"/>
      <c r="D44" s="73"/>
      <c r="E44" s="2">
        <v>2</v>
      </c>
      <c r="F44" s="2"/>
      <c r="G44" s="2">
        <v>1</v>
      </c>
      <c r="H44" s="73" t="s">
        <v>6</v>
      </c>
      <c r="I44" s="73"/>
      <c r="J44" s="73"/>
    </row>
    <row r="46" spans="2:12" x14ac:dyDescent="0.3">
      <c r="B46" s="73" t="s">
        <v>4</v>
      </c>
      <c r="C46" s="73"/>
      <c r="D46" s="73"/>
      <c r="E46" s="2">
        <v>1</v>
      </c>
      <c r="F46" s="2"/>
      <c r="G46" s="2">
        <v>2</v>
      </c>
      <c r="H46" s="73" t="s">
        <v>22</v>
      </c>
      <c r="I46" s="73"/>
      <c r="J46" s="73"/>
      <c r="L46" t="s">
        <v>76</v>
      </c>
    </row>
    <row r="47" spans="2:12" x14ac:dyDescent="0.3">
      <c r="B47" s="73" t="s">
        <v>15</v>
      </c>
      <c r="C47" s="73"/>
      <c r="D47" s="73"/>
      <c r="E47" s="2">
        <v>1</v>
      </c>
      <c r="F47" s="2"/>
      <c r="G47" s="2">
        <v>1</v>
      </c>
      <c r="H47" s="73" t="s">
        <v>4</v>
      </c>
      <c r="I47" s="73"/>
      <c r="J47" s="73"/>
    </row>
    <row r="48" spans="2:12" x14ac:dyDescent="0.3">
      <c r="B48" s="73" t="s">
        <v>22</v>
      </c>
      <c r="C48" s="73"/>
      <c r="D48" s="73"/>
      <c r="E48" s="2">
        <v>2</v>
      </c>
      <c r="F48" s="2"/>
      <c r="G48" s="2">
        <v>1</v>
      </c>
      <c r="H48" s="73" t="s">
        <v>15</v>
      </c>
      <c r="I48" s="73"/>
      <c r="J48" s="73"/>
    </row>
    <row r="49" spans="2:12" x14ac:dyDescent="0.3">
      <c r="B49" s="73" t="s">
        <v>7</v>
      </c>
      <c r="C49" s="73"/>
      <c r="D49" s="73"/>
      <c r="E49" s="2">
        <v>1</v>
      </c>
      <c r="F49" s="2"/>
      <c r="G49" s="2">
        <v>0</v>
      </c>
      <c r="H49" s="73" t="s">
        <v>10</v>
      </c>
      <c r="I49" s="73"/>
      <c r="J49" s="73"/>
    </row>
    <row r="50" spans="2:12" x14ac:dyDescent="0.3">
      <c r="B50" s="73" t="s">
        <v>17</v>
      </c>
      <c r="C50" s="73"/>
      <c r="D50" s="73"/>
      <c r="E50" s="2">
        <v>3</v>
      </c>
      <c r="F50" s="2"/>
      <c r="G50" s="2">
        <v>1</v>
      </c>
      <c r="H50" s="73" t="s">
        <v>25</v>
      </c>
      <c r="I50" s="73"/>
      <c r="J50" s="73"/>
    </row>
    <row r="51" spans="2:12" x14ac:dyDescent="0.3">
      <c r="B51" s="73" t="s">
        <v>12</v>
      </c>
      <c r="C51" s="73"/>
      <c r="D51" s="73"/>
      <c r="E51" s="2">
        <v>2</v>
      </c>
      <c r="F51" s="2"/>
      <c r="G51" s="2">
        <v>1</v>
      </c>
      <c r="H51" s="73" t="s">
        <v>23</v>
      </c>
      <c r="I51" s="73"/>
      <c r="J51" s="73"/>
    </row>
    <row r="53" spans="2:12" x14ac:dyDescent="0.3">
      <c r="B53" s="73" t="s">
        <v>30</v>
      </c>
      <c r="C53" s="73"/>
      <c r="D53" s="73"/>
      <c r="E53" s="2">
        <v>1</v>
      </c>
      <c r="F53" s="2"/>
      <c r="G53" s="2">
        <v>0</v>
      </c>
      <c r="H53" s="73" t="s">
        <v>17</v>
      </c>
      <c r="I53" s="73"/>
      <c r="J53" s="73"/>
      <c r="L53" t="s">
        <v>75</v>
      </c>
    </row>
    <row r="54" spans="2:12" x14ac:dyDescent="0.3">
      <c r="B54" s="73" t="s">
        <v>6</v>
      </c>
      <c r="C54" s="73"/>
      <c r="D54" s="73"/>
      <c r="E54" s="2">
        <v>1</v>
      </c>
      <c r="F54" s="2"/>
      <c r="G54" s="2">
        <v>0</v>
      </c>
      <c r="H54" s="73" t="s">
        <v>13</v>
      </c>
      <c r="I54" s="73"/>
      <c r="J54" s="73"/>
    </row>
    <row r="55" spans="2:12" x14ac:dyDescent="0.3">
      <c r="B55" s="73" t="s">
        <v>7</v>
      </c>
      <c r="C55" s="73"/>
      <c r="D55" s="73"/>
      <c r="E55" s="2">
        <v>1</v>
      </c>
      <c r="F55" s="2"/>
      <c r="G55" s="2">
        <v>0</v>
      </c>
      <c r="H55" s="73" t="s">
        <v>10</v>
      </c>
      <c r="I55" s="73"/>
      <c r="J55" s="73"/>
    </row>
    <row r="56" spans="2:12" x14ac:dyDescent="0.3">
      <c r="B56" s="73" t="s">
        <v>29</v>
      </c>
      <c r="C56" s="73"/>
      <c r="D56" s="73"/>
      <c r="E56" s="2">
        <v>1</v>
      </c>
      <c r="F56" s="2"/>
      <c r="G56" s="2">
        <v>0</v>
      </c>
      <c r="H56" s="73" t="s">
        <v>9</v>
      </c>
      <c r="I56" s="73"/>
      <c r="J56" s="73"/>
    </row>
    <row r="57" spans="2:12" x14ac:dyDescent="0.3">
      <c r="B57" s="73" t="s">
        <v>8</v>
      </c>
      <c r="C57" s="73"/>
      <c r="D57" s="73"/>
      <c r="E57" s="2">
        <v>1</v>
      </c>
      <c r="F57" s="2"/>
      <c r="G57" s="2">
        <v>0</v>
      </c>
      <c r="H57" s="73" t="s">
        <v>29</v>
      </c>
      <c r="I57" s="73"/>
      <c r="J57" s="73"/>
    </row>
    <row r="58" spans="2:12" x14ac:dyDescent="0.3">
      <c r="B58" s="73" t="s">
        <v>9</v>
      </c>
      <c r="C58" s="73"/>
      <c r="D58" s="73"/>
      <c r="E58" s="2">
        <v>1</v>
      </c>
      <c r="F58" s="2"/>
      <c r="G58" s="2">
        <v>0</v>
      </c>
      <c r="H58" s="73" t="s">
        <v>8</v>
      </c>
      <c r="I58" s="73"/>
      <c r="J58" s="73"/>
    </row>
    <row r="59" spans="2:12" x14ac:dyDescent="0.3">
      <c r="B59" s="73" t="s">
        <v>12</v>
      </c>
      <c r="C59" s="73"/>
      <c r="D59" s="73"/>
      <c r="E59" s="2">
        <v>1</v>
      </c>
      <c r="F59" s="2"/>
      <c r="G59" s="2">
        <v>1</v>
      </c>
      <c r="H59" s="73" t="s">
        <v>8</v>
      </c>
      <c r="I59" s="73"/>
      <c r="J59" s="73"/>
    </row>
    <row r="61" spans="2:12" x14ac:dyDescent="0.3">
      <c r="B61" s="73" t="s">
        <v>21</v>
      </c>
      <c r="C61" s="73"/>
      <c r="D61" s="73"/>
      <c r="E61" s="2">
        <v>0</v>
      </c>
      <c r="F61" s="2"/>
      <c r="G61" s="2">
        <v>1</v>
      </c>
      <c r="H61" s="73" t="s">
        <v>16</v>
      </c>
      <c r="I61" s="73"/>
      <c r="J61" s="73"/>
      <c r="L61" t="s">
        <v>74</v>
      </c>
    </row>
    <row r="62" spans="2:12" x14ac:dyDescent="0.3">
      <c r="B62" s="73" t="s">
        <v>30</v>
      </c>
      <c r="C62" s="73"/>
      <c r="D62" s="73"/>
      <c r="E62" s="2">
        <v>0</v>
      </c>
      <c r="F62" s="2"/>
      <c r="G62" s="2">
        <v>1</v>
      </c>
      <c r="H62" s="73" t="s">
        <v>6</v>
      </c>
      <c r="I62" s="73"/>
      <c r="J62" s="73"/>
    </row>
    <row r="63" spans="2:12" x14ac:dyDescent="0.3">
      <c r="B63" s="73" t="s">
        <v>22</v>
      </c>
      <c r="C63" s="73"/>
      <c r="D63" s="73"/>
      <c r="E63" s="2">
        <v>0</v>
      </c>
      <c r="F63" s="2"/>
      <c r="G63" s="2">
        <v>1</v>
      </c>
      <c r="H63" s="73" t="s">
        <v>50</v>
      </c>
      <c r="I63" s="73"/>
      <c r="J63" s="73"/>
    </row>
    <row r="64" spans="2:12" x14ac:dyDescent="0.3">
      <c r="B64" s="73" t="s">
        <v>12</v>
      </c>
      <c r="C64" s="73"/>
      <c r="D64" s="73"/>
      <c r="E64" s="2">
        <v>2</v>
      </c>
      <c r="F64" s="2"/>
      <c r="G64" s="2">
        <v>1</v>
      </c>
      <c r="H64" s="73" t="s">
        <v>23</v>
      </c>
      <c r="I64" s="73"/>
      <c r="J64" s="73"/>
    </row>
    <row r="66" spans="2:12" x14ac:dyDescent="0.3">
      <c r="B66" s="73" t="s">
        <v>5</v>
      </c>
      <c r="C66" s="73"/>
      <c r="D66" s="73"/>
      <c r="E66" s="2">
        <v>2</v>
      </c>
      <c r="F66" s="2"/>
      <c r="G66" s="2">
        <v>1</v>
      </c>
      <c r="H66" s="73" t="s">
        <v>6</v>
      </c>
      <c r="I66" s="73"/>
      <c r="J66" s="73"/>
      <c r="L66" t="s">
        <v>73</v>
      </c>
    </row>
    <row r="68" spans="2:12" x14ac:dyDescent="0.3">
      <c r="B68" s="73" t="s">
        <v>19</v>
      </c>
      <c r="C68" s="73"/>
      <c r="D68" s="73"/>
      <c r="E68" s="2">
        <v>2</v>
      </c>
      <c r="F68" s="2"/>
      <c r="G68" s="2">
        <v>0</v>
      </c>
      <c r="H68" s="73" t="s">
        <v>11</v>
      </c>
      <c r="I68" s="73"/>
      <c r="J68" s="73"/>
      <c r="L68" t="s">
        <v>72</v>
      </c>
    </row>
    <row r="69" spans="2:12" x14ac:dyDescent="0.3">
      <c r="B69" s="73" t="s">
        <v>50</v>
      </c>
      <c r="C69" s="73"/>
      <c r="D69" s="73"/>
      <c r="E69" s="2">
        <v>2</v>
      </c>
      <c r="F69" s="2"/>
      <c r="G69" s="2">
        <v>4</v>
      </c>
      <c r="H69" s="73" t="s">
        <v>4</v>
      </c>
      <c r="I69" s="73"/>
      <c r="J69" s="73"/>
    </row>
    <row r="70" spans="2:12" x14ac:dyDescent="0.3">
      <c r="B70" s="73" t="s">
        <v>31</v>
      </c>
      <c r="C70" s="73"/>
      <c r="D70" s="73"/>
      <c r="E70" s="2">
        <v>0</v>
      </c>
      <c r="F70" s="2"/>
      <c r="G70" s="2">
        <v>0</v>
      </c>
      <c r="H70" s="73" t="s">
        <v>60</v>
      </c>
      <c r="I70" s="73"/>
      <c r="J70" s="73"/>
    </row>
    <row r="71" spans="2:12" x14ac:dyDescent="0.3">
      <c r="B71" s="73" t="s">
        <v>20</v>
      </c>
      <c r="C71" s="73"/>
      <c r="D71" s="73"/>
      <c r="E71" s="2">
        <v>1</v>
      </c>
      <c r="F71" s="2"/>
      <c r="G71" s="2">
        <v>2</v>
      </c>
      <c r="H71" s="73" t="s">
        <v>17</v>
      </c>
      <c r="I71" s="73"/>
      <c r="J71" s="73"/>
    </row>
    <row r="73" spans="2:12" x14ac:dyDescent="0.3">
      <c r="B73" s="73" t="s">
        <v>21</v>
      </c>
      <c r="C73" s="73"/>
      <c r="D73" s="73"/>
      <c r="E73" s="2">
        <v>0</v>
      </c>
      <c r="F73" s="2"/>
      <c r="G73" s="2">
        <v>1</v>
      </c>
      <c r="H73" s="73" t="s">
        <v>16</v>
      </c>
      <c r="I73" s="73"/>
      <c r="J73" s="73"/>
      <c r="L73" t="s">
        <v>71</v>
      </c>
    </row>
    <row r="74" spans="2:12" x14ac:dyDescent="0.3">
      <c r="B74" s="73" t="s">
        <v>49</v>
      </c>
      <c r="C74" s="73"/>
      <c r="D74" s="73"/>
      <c r="E74" s="2">
        <v>1</v>
      </c>
      <c r="F74" s="2"/>
      <c r="G74" s="2">
        <v>2</v>
      </c>
      <c r="H74" s="73" t="s">
        <v>24</v>
      </c>
      <c r="I74" s="73"/>
      <c r="J74" s="73"/>
    </row>
    <row r="75" spans="2:12" x14ac:dyDescent="0.3">
      <c r="B75" s="73" t="s">
        <v>30</v>
      </c>
      <c r="C75" s="73"/>
      <c r="D75" s="73"/>
      <c r="E75" s="2">
        <v>0</v>
      </c>
      <c r="F75" s="2"/>
      <c r="G75" s="2">
        <v>1</v>
      </c>
      <c r="H75" s="73" t="s">
        <v>6</v>
      </c>
      <c r="I75" s="73"/>
      <c r="J75" s="73"/>
    </row>
    <row r="76" spans="2:12" x14ac:dyDescent="0.3">
      <c r="B76" s="73" t="s">
        <v>17</v>
      </c>
      <c r="C76" s="73"/>
      <c r="D76" s="73"/>
      <c r="E76" s="2">
        <v>2</v>
      </c>
      <c r="F76" s="2"/>
      <c r="G76" s="2">
        <v>1</v>
      </c>
      <c r="H76" s="73" t="s">
        <v>13</v>
      </c>
      <c r="I76" s="73"/>
      <c r="J76" s="73"/>
    </row>
    <row r="78" spans="2:12" x14ac:dyDescent="0.3">
      <c r="B78" s="73" t="s">
        <v>33</v>
      </c>
      <c r="C78" s="73"/>
      <c r="D78" s="73"/>
      <c r="E78" s="2">
        <v>0</v>
      </c>
      <c r="F78" s="2"/>
      <c r="G78" s="2">
        <v>3</v>
      </c>
      <c r="H78" s="73" t="s">
        <v>20</v>
      </c>
      <c r="I78" s="73"/>
      <c r="J78" s="73"/>
      <c r="L78" t="s">
        <v>70</v>
      </c>
    </row>
    <row r="79" spans="2:12" x14ac:dyDescent="0.3">
      <c r="B79" s="73" t="s">
        <v>49</v>
      </c>
      <c r="C79" s="73"/>
      <c r="D79" s="73"/>
      <c r="E79" s="2">
        <v>1</v>
      </c>
      <c r="F79" s="2"/>
      <c r="G79" s="2">
        <v>2</v>
      </c>
      <c r="H79" s="73" t="s">
        <v>24</v>
      </c>
      <c r="I79" s="73"/>
      <c r="J79" s="73"/>
    </row>
    <row r="80" spans="2:12" x14ac:dyDescent="0.3">
      <c r="B80" s="73" t="s">
        <v>50</v>
      </c>
      <c r="C80" s="73"/>
      <c r="D80" s="73"/>
      <c r="E80" s="2">
        <v>2</v>
      </c>
      <c r="F80" s="2"/>
      <c r="G80" s="2">
        <v>4</v>
      </c>
      <c r="H80" s="73" t="s">
        <v>4</v>
      </c>
      <c r="I80" s="73"/>
      <c r="J80" s="73"/>
    </row>
    <row r="81" spans="2:12" x14ac:dyDescent="0.3">
      <c r="B81" s="73" t="s">
        <v>29</v>
      </c>
      <c r="C81" s="73"/>
      <c r="D81" s="73"/>
      <c r="E81" s="2">
        <v>1</v>
      </c>
      <c r="F81" s="2"/>
      <c r="G81" s="2">
        <v>0</v>
      </c>
      <c r="H81" s="73" t="s">
        <v>9</v>
      </c>
      <c r="I81" s="73"/>
      <c r="J81" s="73"/>
    </row>
    <row r="82" spans="2:12" x14ac:dyDescent="0.3">
      <c r="B82" s="73" t="s">
        <v>5</v>
      </c>
      <c r="C82" s="73"/>
      <c r="D82" s="73"/>
      <c r="E82" s="2">
        <v>2</v>
      </c>
      <c r="F82" s="2"/>
      <c r="G82" s="2">
        <v>1</v>
      </c>
      <c r="H82" s="73" t="s">
        <v>6</v>
      </c>
      <c r="I82" s="73"/>
      <c r="J82" s="73"/>
    </row>
    <row r="83" spans="2:12" x14ac:dyDescent="0.3">
      <c r="B83" s="73" t="s">
        <v>20</v>
      </c>
      <c r="C83" s="73"/>
      <c r="D83" s="73"/>
      <c r="E83" s="2">
        <v>1</v>
      </c>
      <c r="F83" s="2"/>
      <c r="G83" s="2">
        <v>2</v>
      </c>
      <c r="H83" s="73" t="s">
        <v>17</v>
      </c>
      <c r="I83" s="73"/>
      <c r="J83" s="73"/>
    </row>
    <row r="85" spans="2:12" x14ac:dyDescent="0.3">
      <c r="B85" s="73" t="s">
        <v>11</v>
      </c>
      <c r="C85" s="73"/>
      <c r="D85" s="73"/>
      <c r="E85" s="2">
        <v>0</v>
      </c>
      <c r="F85" s="2"/>
      <c r="G85" s="2">
        <v>2</v>
      </c>
      <c r="H85" s="73" t="s">
        <v>14</v>
      </c>
      <c r="I85" s="73"/>
      <c r="J85" s="73"/>
      <c r="L85" t="s">
        <v>69</v>
      </c>
    </row>
    <row r="86" spans="2:12" x14ac:dyDescent="0.3">
      <c r="B86" s="73" t="s">
        <v>14</v>
      </c>
      <c r="C86" s="73"/>
      <c r="D86" s="73"/>
      <c r="E86" s="2">
        <v>1</v>
      </c>
      <c r="F86" s="2"/>
      <c r="G86" s="2">
        <v>2</v>
      </c>
      <c r="H86" s="73" t="s">
        <v>27</v>
      </c>
      <c r="I86" s="73"/>
      <c r="J86" s="73"/>
    </row>
    <row r="87" spans="2:12" x14ac:dyDescent="0.3">
      <c r="B87" s="73" t="s">
        <v>25</v>
      </c>
      <c r="C87" s="73"/>
      <c r="D87" s="73"/>
      <c r="E87" s="2">
        <v>2</v>
      </c>
      <c r="F87" s="2"/>
      <c r="G87" s="2">
        <v>0</v>
      </c>
      <c r="H87" s="73" t="s">
        <v>49</v>
      </c>
      <c r="I87" s="73"/>
      <c r="J87" s="73"/>
    </row>
    <row r="88" spans="2:12" x14ac:dyDescent="0.3">
      <c r="B88" s="73" t="s">
        <v>17</v>
      </c>
      <c r="C88" s="73"/>
      <c r="D88" s="73"/>
      <c r="E88" s="2">
        <v>2</v>
      </c>
      <c r="F88" s="2"/>
      <c r="G88" s="2">
        <v>1</v>
      </c>
      <c r="H88" s="73" t="s">
        <v>13</v>
      </c>
      <c r="I88" s="73"/>
      <c r="J88" s="73"/>
    </row>
    <row r="89" spans="2:12" x14ac:dyDescent="0.3">
      <c r="B89" s="73" t="s">
        <v>29</v>
      </c>
      <c r="C89" s="73"/>
      <c r="D89" s="73"/>
      <c r="E89" s="2">
        <v>1</v>
      </c>
      <c r="F89" s="2"/>
      <c r="G89" s="2">
        <v>0</v>
      </c>
      <c r="H89" s="73" t="s">
        <v>9</v>
      </c>
      <c r="I89" s="73"/>
      <c r="J89" s="73"/>
    </row>
    <row r="90" spans="2:12" x14ac:dyDescent="0.3">
      <c r="B90" s="73" t="s">
        <v>23</v>
      </c>
      <c r="C90" s="73"/>
      <c r="D90" s="73"/>
      <c r="E90" s="2">
        <v>1</v>
      </c>
      <c r="F90" s="2"/>
      <c r="G90" s="2">
        <v>0</v>
      </c>
      <c r="H90" s="73" t="s">
        <v>26</v>
      </c>
      <c r="I90" s="73"/>
      <c r="J90" s="73"/>
    </row>
    <row r="92" spans="2:12" x14ac:dyDescent="0.3">
      <c r="B92" s="73" t="s">
        <v>11</v>
      </c>
      <c r="C92" s="73"/>
      <c r="D92" s="73"/>
      <c r="E92" s="2">
        <v>1</v>
      </c>
      <c r="F92" s="2"/>
      <c r="G92" s="2">
        <v>3</v>
      </c>
      <c r="H92" s="73" t="s">
        <v>27</v>
      </c>
      <c r="I92" s="73"/>
      <c r="J92" s="73"/>
      <c r="L92" t="s">
        <v>68</v>
      </c>
    </row>
    <row r="93" spans="2:12" x14ac:dyDescent="0.3">
      <c r="B93" s="73" t="s">
        <v>19</v>
      </c>
      <c r="C93" s="73"/>
      <c r="D93" s="73"/>
      <c r="E93" s="2">
        <v>2</v>
      </c>
      <c r="F93" s="2"/>
      <c r="G93" s="2">
        <v>0</v>
      </c>
      <c r="H93" s="73" t="s">
        <v>11</v>
      </c>
      <c r="I93" s="73"/>
      <c r="J93" s="73"/>
    </row>
    <row r="94" spans="2:12" x14ac:dyDescent="0.3">
      <c r="B94" s="73" t="s">
        <v>14</v>
      </c>
      <c r="C94" s="73"/>
      <c r="D94" s="73"/>
      <c r="E94" s="2">
        <v>1</v>
      </c>
      <c r="F94" s="2"/>
      <c r="G94" s="2">
        <v>2</v>
      </c>
      <c r="H94" s="73" t="s">
        <v>27</v>
      </c>
      <c r="I94" s="73"/>
      <c r="J94" s="73"/>
    </row>
    <row r="95" spans="2:12" x14ac:dyDescent="0.3">
      <c r="B95" s="73" t="s">
        <v>25</v>
      </c>
      <c r="C95" s="73"/>
      <c r="D95" s="73"/>
      <c r="E95" s="2">
        <v>2</v>
      </c>
      <c r="F95" s="2"/>
      <c r="G95" s="2">
        <v>0</v>
      </c>
      <c r="H95" s="73" t="s">
        <v>49</v>
      </c>
      <c r="I95" s="73"/>
      <c r="J95" s="73"/>
    </row>
    <row r="96" spans="2:12" x14ac:dyDescent="0.3">
      <c r="B96" s="73" t="s">
        <v>29</v>
      </c>
      <c r="C96" s="73"/>
      <c r="D96" s="73"/>
      <c r="E96" s="2">
        <v>1</v>
      </c>
      <c r="F96" s="2"/>
      <c r="G96" s="2">
        <v>0</v>
      </c>
      <c r="H96" s="73" t="s">
        <v>9</v>
      </c>
      <c r="I96" s="73"/>
      <c r="J96" s="73"/>
    </row>
    <row r="97" spans="2:12" x14ac:dyDescent="0.3">
      <c r="B97" s="73" t="s">
        <v>8</v>
      </c>
      <c r="C97" s="73"/>
      <c r="D97" s="73"/>
      <c r="E97" s="2">
        <v>2</v>
      </c>
      <c r="F97" s="2"/>
      <c r="G97" s="2">
        <v>0</v>
      </c>
      <c r="H97" s="73" t="s">
        <v>28</v>
      </c>
      <c r="I97" s="73"/>
      <c r="J97" s="73"/>
    </row>
    <row r="98" spans="2:12" x14ac:dyDescent="0.3">
      <c r="B98" s="73" t="s">
        <v>20</v>
      </c>
      <c r="C98" s="73"/>
      <c r="D98" s="73"/>
      <c r="E98" s="2">
        <v>1</v>
      </c>
      <c r="F98" s="2"/>
      <c r="G98" s="2">
        <v>2</v>
      </c>
      <c r="H98" s="73" t="s">
        <v>17</v>
      </c>
      <c r="I98" s="73"/>
      <c r="J98" s="73"/>
    </row>
    <row r="100" spans="2:12" x14ac:dyDescent="0.3">
      <c r="B100" s="73" t="s">
        <v>25</v>
      </c>
      <c r="C100" s="73"/>
      <c r="D100" s="73"/>
      <c r="E100" s="2">
        <v>2</v>
      </c>
      <c r="F100" s="2"/>
      <c r="G100" s="2">
        <v>0</v>
      </c>
      <c r="H100" s="73" t="s">
        <v>49</v>
      </c>
      <c r="I100" s="73"/>
      <c r="J100" s="73"/>
      <c r="L100" t="s">
        <v>67</v>
      </c>
    </row>
    <row r="101" spans="2:12" x14ac:dyDescent="0.3">
      <c r="B101" s="73" t="s">
        <v>5</v>
      </c>
      <c r="C101" s="73"/>
      <c r="D101" s="73"/>
      <c r="E101" s="2">
        <v>2</v>
      </c>
      <c r="F101" s="2"/>
      <c r="G101" s="2">
        <v>0</v>
      </c>
      <c r="H101" s="73" t="s">
        <v>24</v>
      </c>
      <c r="I101" s="73"/>
      <c r="J101" s="73"/>
    </row>
    <row r="102" spans="2:12" x14ac:dyDescent="0.3">
      <c r="B102" s="73" t="s">
        <v>30</v>
      </c>
      <c r="C102" s="73"/>
      <c r="D102" s="73"/>
      <c r="E102" s="2">
        <v>0</v>
      </c>
      <c r="F102" s="2"/>
      <c r="G102" s="2">
        <v>1</v>
      </c>
      <c r="H102" s="73" t="s">
        <v>6</v>
      </c>
      <c r="I102" s="73"/>
      <c r="J102" s="73"/>
    </row>
    <row r="103" spans="2:12" x14ac:dyDescent="0.3">
      <c r="B103" s="73" t="s">
        <v>6</v>
      </c>
      <c r="C103" s="73"/>
      <c r="D103" s="73"/>
      <c r="E103" s="2">
        <v>1</v>
      </c>
      <c r="F103" s="2"/>
      <c r="G103" s="2">
        <v>0</v>
      </c>
      <c r="H103" s="73" t="s">
        <v>13</v>
      </c>
      <c r="I103" s="73"/>
      <c r="J103" s="73"/>
    </row>
    <row r="104" spans="2:12" x14ac:dyDescent="0.3">
      <c r="B104" s="73" t="s">
        <v>7</v>
      </c>
      <c r="C104" s="73"/>
      <c r="D104" s="73"/>
      <c r="E104" s="2">
        <v>1</v>
      </c>
      <c r="F104" s="2"/>
      <c r="G104" s="2">
        <v>0</v>
      </c>
      <c r="H104" s="73" t="s">
        <v>10</v>
      </c>
      <c r="I104" s="73"/>
      <c r="J104" s="73"/>
    </row>
    <row r="105" spans="2:12" x14ac:dyDescent="0.3">
      <c r="B105" s="73" t="s">
        <v>8</v>
      </c>
      <c r="C105" s="73"/>
      <c r="D105" s="73"/>
      <c r="E105" s="2">
        <v>2</v>
      </c>
      <c r="F105" s="2"/>
      <c r="G105" s="2">
        <v>0</v>
      </c>
      <c r="H105" s="73" t="s">
        <v>28</v>
      </c>
      <c r="I105" s="73"/>
      <c r="J105" s="73"/>
    </row>
    <row r="106" spans="2:12" x14ac:dyDescent="0.3">
      <c r="B106" s="73" t="s">
        <v>8</v>
      </c>
      <c r="C106" s="73"/>
      <c r="D106" s="73"/>
      <c r="E106" s="2">
        <v>1</v>
      </c>
      <c r="F106" s="2"/>
      <c r="G106" s="2">
        <v>0</v>
      </c>
      <c r="H106" s="73" t="s">
        <v>29</v>
      </c>
      <c r="I106" s="73"/>
      <c r="J106" s="73"/>
    </row>
    <row r="107" spans="2:12" x14ac:dyDescent="0.3">
      <c r="B107" s="73" t="s">
        <v>5</v>
      </c>
      <c r="C107" s="73"/>
      <c r="D107" s="73"/>
      <c r="E107" s="2">
        <v>2</v>
      </c>
      <c r="F107" s="2"/>
      <c r="G107" s="2">
        <v>1</v>
      </c>
      <c r="H107" s="73" t="s">
        <v>6</v>
      </c>
      <c r="I107" s="73"/>
      <c r="J107" s="73"/>
    </row>
    <row r="109" spans="2:12" x14ac:dyDescent="0.3">
      <c r="B109" s="73" t="s">
        <v>20</v>
      </c>
      <c r="C109" s="73"/>
      <c r="D109" s="73"/>
      <c r="E109" s="2">
        <v>0</v>
      </c>
      <c r="F109" s="2"/>
      <c r="G109" s="2">
        <v>0</v>
      </c>
      <c r="H109" s="73" t="s">
        <v>16</v>
      </c>
      <c r="I109" s="73"/>
      <c r="J109" s="73"/>
      <c r="L109" t="s">
        <v>66</v>
      </c>
    </row>
    <row r="110" spans="2:12" x14ac:dyDescent="0.3">
      <c r="B110" s="73" t="s">
        <v>21</v>
      </c>
      <c r="C110" s="73"/>
      <c r="D110" s="73"/>
      <c r="E110" s="2">
        <v>0</v>
      </c>
      <c r="F110" s="2"/>
      <c r="G110" s="2">
        <v>1</v>
      </c>
      <c r="H110" s="73" t="s">
        <v>16</v>
      </c>
      <c r="I110" s="73"/>
      <c r="J110" s="73"/>
    </row>
    <row r="111" spans="2:12" x14ac:dyDescent="0.3">
      <c r="B111" s="73" t="s">
        <v>33</v>
      </c>
      <c r="C111" s="73"/>
      <c r="D111" s="73"/>
      <c r="E111" s="2">
        <v>0</v>
      </c>
      <c r="F111" s="2"/>
      <c r="G111" s="2">
        <v>3</v>
      </c>
      <c r="H111" s="73" t="s">
        <v>20</v>
      </c>
      <c r="I111" s="73"/>
      <c r="J111" s="73"/>
    </row>
    <row r="112" spans="2:12" x14ac:dyDescent="0.3">
      <c r="B112" s="73" t="s">
        <v>13</v>
      </c>
      <c r="C112" s="73"/>
      <c r="D112" s="73"/>
      <c r="E112" s="2">
        <v>0</v>
      </c>
      <c r="F112" s="2"/>
      <c r="G112" s="2">
        <v>0</v>
      </c>
      <c r="H112" s="73" t="s">
        <v>30</v>
      </c>
      <c r="I112" s="73"/>
      <c r="J112" s="73"/>
    </row>
    <row r="113" spans="2:12" x14ac:dyDescent="0.3">
      <c r="B113" s="73" t="s">
        <v>20</v>
      </c>
      <c r="C113" s="73"/>
      <c r="D113" s="73"/>
      <c r="E113" s="2">
        <v>1</v>
      </c>
      <c r="F113" s="2"/>
      <c r="G113" s="2">
        <v>2</v>
      </c>
      <c r="H113" s="73" t="s">
        <v>17</v>
      </c>
      <c r="I113" s="73"/>
      <c r="J113" s="73"/>
    </row>
    <row r="114" spans="2:12" x14ac:dyDescent="0.3">
      <c r="B114" s="73" t="s">
        <v>17</v>
      </c>
      <c r="C114" s="73"/>
      <c r="D114" s="73"/>
      <c r="E114" s="2">
        <v>2</v>
      </c>
      <c r="F114" s="2"/>
      <c r="G114" s="2">
        <v>0</v>
      </c>
      <c r="H114" s="73" t="s">
        <v>23</v>
      </c>
      <c r="I114" s="73"/>
      <c r="J114" s="73"/>
    </row>
    <row r="116" spans="2:12" x14ac:dyDescent="0.3">
      <c r="B116" s="73" t="s">
        <v>27</v>
      </c>
      <c r="C116" s="73"/>
      <c r="D116" s="73"/>
      <c r="E116" s="2">
        <v>0</v>
      </c>
      <c r="F116" s="2"/>
      <c r="G116" s="2">
        <v>2</v>
      </c>
      <c r="H116" s="73" t="s">
        <v>19</v>
      </c>
      <c r="I116" s="73"/>
      <c r="J116" s="73"/>
      <c r="L116" t="s">
        <v>65</v>
      </c>
    </row>
    <row r="117" spans="2:12" x14ac:dyDescent="0.3">
      <c r="B117" s="73" t="s">
        <v>33</v>
      </c>
      <c r="C117" s="73"/>
      <c r="D117" s="73"/>
      <c r="E117" s="2">
        <v>0</v>
      </c>
      <c r="F117" s="2"/>
      <c r="G117" s="2">
        <v>3</v>
      </c>
      <c r="H117" s="73" t="s">
        <v>20</v>
      </c>
      <c r="I117" s="73"/>
      <c r="J117" s="73"/>
    </row>
    <row r="118" spans="2:12" x14ac:dyDescent="0.3">
      <c r="B118" s="73" t="s">
        <v>17</v>
      </c>
      <c r="C118" s="73"/>
      <c r="D118" s="73"/>
      <c r="E118" s="2">
        <v>2</v>
      </c>
      <c r="F118" s="2"/>
      <c r="G118" s="2">
        <v>1</v>
      </c>
      <c r="H118" s="73" t="s">
        <v>13</v>
      </c>
      <c r="I118" s="73"/>
      <c r="J118" s="73"/>
    </row>
    <row r="119" spans="2:12" x14ac:dyDescent="0.3">
      <c r="B119" s="73" t="s">
        <v>7</v>
      </c>
      <c r="C119" s="73"/>
      <c r="D119" s="73"/>
      <c r="E119" s="2">
        <v>1</v>
      </c>
      <c r="F119" s="2"/>
      <c r="G119" s="2">
        <v>0</v>
      </c>
      <c r="H119" s="73" t="s">
        <v>10</v>
      </c>
      <c r="I119" s="73"/>
      <c r="J119" s="73"/>
    </row>
    <row r="120" spans="2:12" x14ac:dyDescent="0.3">
      <c r="B120" s="73" t="s">
        <v>8</v>
      </c>
      <c r="C120" s="73"/>
      <c r="D120" s="73"/>
      <c r="E120" s="2">
        <v>2</v>
      </c>
      <c r="F120" s="2"/>
      <c r="G120" s="2">
        <v>0</v>
      </c>
      <c r="H120" s="73" t="s">
        <v>28</v>
      </c>
      <c r="I120" s="73"/>
      <c r="J120" s="73"/>
    </row>
    <row r="121" spans="2:12" x14ac:dyDescent="0.3">
      <c r="B121" s="73" t="s">
        <v>5</v>
      </c>
      <c r="C121" s="73"/>
      <c r="D121" s="73"/>
      <c r="E121" s="2">
        <v>2</v>
      </c>
      <c r="F121" s="2"/>
      <c r="G121" s="2">
        <v>1</v>
      </c>
      <c r="H121" s="73" t="s">
        <v>6</v>
      </c>
      <c r="I121" s="73"/>
      <c r="J121" s="73"/>
    </row>
    <row r="123" spans="2:12" x14ac:dyDescent="0.3">
      <c r="B123" s="73" t="s">
        <v>19</v>
      </c>
      <c r="C123" s="73"/>
      <c r="D123" s="73"/>
      <c r="E123" s="2">
        <v>2</v>
      </c>
      <c r="F123" s="2"/>
      <c r="G123" s="2">
        <v>0</v>
      </c>
      <c r="H123" s="73" t="s">
        <v>11</v>
      </c>
      <c r="I123" s="73"/>
      <c r="J123" s="73"/>
      <c r="L123" t="s">
        <v>63</v>
      </c>
    </row>
    <row r="124" spans="2:12" x14ac:dyDescent="0.3">
      <c r="B124" s="73" t="s">
        <v>16</v>
      </c>
      <c r="C124" s="73"/>
      <c r="D124" s="73"/>
      <c r="E124" s="2">
        <v>1</v>
      </c>
      <c r="F124" s="2"/>
      <c r="G124" s="2">
        <v>1</v>
      </c>
      <c r="H124" s="73" t="s">
        <v>33</v>
      </c>
      <c r="I124" s="73"/>
      <c r="J124" s="73"/>
    </row>
    <row r="125" spans="2:12" x14ac:dyDescent="0.3">
      <c r="B125" s="73" t="s">
        <v>25</v>
      </c>
      <c r="C125" s="73"/>
      <c r="D125" s="73"/>
      <c r="E125" s="2">
        <v>2</v>
      </c>
      <c r="F125" s="2"/>
      <c r="G125" s="2">
        <v>0</v>
      </c>
      <c r="H125" s="73" t="s">
        <v>49</v>
      </c>
      <c r="I125" s="73"/>
      <c r="J125" s="73"/>
    </row>
    <row r="126" spans="2:12" x14ac:dyDescent="0.3">
      <c r="B126" s="73" t="s">
        <v>49</v>
      </c>
      <c r="C126" s="73"/>
      <c r="D126" s="73"/>
      <c r="E126" s="2">
        <v>1</v>
      </c>
      <c r="F126" s="2"/>
      <c r="G126" s="2">
        <v>2</v>
      </c>
      <c r="H126" s="73" t="s">
        <v>24</v>
      </c>
      <c r="I126" s="73"/>
      <c r="J126" s="73"/>
    </row>
    <row r="127" spans="2:12" x14ac:dyDescent="0.3">
      <c r="B127" s="73" t="s">
        <v>6</v>
      </c>
      <c r="C127" s="73"/>
      <c r="D127" s="73"/>
      <c r="E127" s="2">
        <v>1</v>
      </c>
      <c r="F127" s="2"/>
      <c r="G127" s="2">
        <v>0</v>
      </c>
      <c r="H127" s="73" t="s">
        <v>13</v>
      </c>
      <c r="I127" s="73"/>
      <c r="J127" s="73"/>
    </row>
    <row r="128" spans="2:12" x14ac:dyDescent="0.3">
      <c r="B128" s="73" t="s">
        <v>8</v>
      </c>
      <c r="C128" s="73"/>
      <c r="D128" s="73"/>
      <c r="E128" s="2">
        <v>2</v>
      </c>
      <c r="F128" s="2"/>
      <c r="G128" s="2">
        <v>0</v>
      </c>
      <c r="H128" s="73" t="s">
        <v>28</v>
      </c>
      <c r="I128" s="73"/>
      <c r="J128" s="73"/>
    </row>
    <row r="130" spans="2:12" x14ac:dyDescent="0.3">
      <c r="B130" s="73" t="s">
        <v>16</v>
      </c>
      <c r="C130" s="73"/>
      <c r="D130" s="73"/>
      <c r="E130" s="2">
        <v>1</v>
      </c>
      <c r="F130" s="2"/>
      <c r="G130" s="2">
        <v>1</v>
      </c>
      <c r="H130" s="73" t="s">
        <v>33</v>
      </c>
      <c r="I130" s="73"/>
      <c r="J130" s="73"/>
      <c r="L130" t="s">
        <v>64</v>
      </c>
    </row>
    <row r="131" spans="2:12" x14ac:dyDescent="0.3">
      <c r="B131" s="73" t="s">
        <v>25</v>
      </c>
      <c r="C131" s="73"/>
      <c r="D131" s="73"/>
      <c r="E131" s="2">
        <v>2</v>
      </c>
      <c r="F131" s="2"/>
      <c r="G131" s="2">
        <v>0</v>
      </c>
      <c r="H131" s="73" t="s">
        <v>49</v>
      </c>
      <c r="I131" s="73"/>
      <c r="J131" s="73"/>
    </row>
    <row r="132" spans="2:12" x14ac:dyDescent="0.3">
      <c r="B132" s="73" t="s">
        <v>19</v>
      </c>
      <c r="C132" s="73"/>
      <c r="D132" s="73"/>
      <c r="E132" s="2">
        <v>2</v>
      </c>
      <c r="F132" s="2"/>
      <c r="G132" s="2">
        <v>2</v>
      </c>
      <c r="H132" s="73" t="s">
        <v>5</v>
      </c>
      <c r="I132" s="73"/>
      <c r="J132" s="73"/>
    </row>
    <row r="134" spans="2:12" x14ac:dyDescent="0.3">
      <c r="B134" s="73" t="s">
        <v>19</v>
      </c>
      <c r="C134" s="73"/>
      <c r="D134" s="73"/>
      <c r="E134" s="2">
        <v>1</v>
      </c>
      <c r="F134" s="2"/>
      <c r="G134" s="2">
        <v>1</v>
      </c>
      <c r="H134" s="73" t="s">
        <v>14</v>
      </c>
      <c r="I134" s="73"/>
      <c r="J134" s="73"/>
      <c r="L134" t="s">
        <v>61</v>
      </c>
    </row>
    <row r="135" spans="2:12" x14ac:dyDescent="0.3">
      <c r="B135" s="73" t="s">
        <v>19</v>
      </c>
      <c r="C135" s="73"/>
      <c r="D135" s="73"/>
      <c r="E135" s="2">
        <v>2</v>
      </c>
      <c r="F135" s="2"/>
      <c r="G135" s="2">
        <v>0</v>
      </c>
      <c r="H135" s="73" t="s">
        <v>11</v>
      </c>
      <c r="I135" s="73"/>
      <c r="J135" s="73"/>
    </row>
    <row r="136" spans="2:12" x14ac:dyDescent="0.3">
      <c r="B136" s="73" t="s">
        <v>22</v>
      </c>
      <c r="C136" s="73"/>
      <c r="D136" s="73"/>
      <c r="E136" s="2">
        <v>1</v>
      </c>
      <c r="F136" s="2"/>
      <c r="G136" s="2">
        <v>1</v>
      </c>
      <c r="H136" s="73" t="s">
        <v>12</v>
      </c>
      <c r="I136" s="73"/>
      <c r="J136" s="73"/>
    </row>
    <row r="137" spans="2:12" x14ac:dyDescent="0.3">
      <c r="B137" s="73" t="s">
        <v>19</v>
      </c>
      <c r="C137" s="73"/>
      <c r="D137" s="73"/>
      <c r="E137" s="2">
        <v>2</v>
      </c>
      <c r="F137" s="2"/>
      <c r="G137" s="2">
        <v>2</v>
      </c>
      <c r="H137" s="73" t="s">
        <v>5</v>
      </c>
      <c r="I137" s="73"/>
      <c r="J137" s="73"/>
    </row>
    <row r="138" spans="2:12" x14ac:dyDescent="0.3">
      <c r="B138" s="73" t="s">
        <v>20</v>
      </c>
      <c r="C138" s="73"/>
      <c r="D138" s="73"/>
      <c r="E138" s="2">
        <v>1</v>
      </c>
      <c r="F138" s="2"/>
      <c r="G138" s="2">
        <v>2</v>
      </c>
      <c r="H138" s="73" t="s">
        <v>17</v>
      </c>
      <c r="I138" s="73"/>
      <c r="J138" s="73"/>
    </row>
    <row r="139" spans="2:12" x14ac:dyDescent="0.3">
      <c r="B139" s="73" t="s">
        <v>5</v>
      </c>
      <c r="C139" s="73"/>
      <c r="D139" s="73"/>
      <c r="E139" s="2">
        <v>3</v>
      </c>
      <c r="F139" s="2"/>
      <c r="G139" s="2">
        <v>0</v>
      </c>
      <c r="H139" s="73" t="s">
        <v>12</v>
      </c>
      <c r="I139" s="73"/>
      <c r="J139" s="73"/>
    </row>
    <row r="141" spans="2:12" x14ac:dyDescent="0.3">
      <c r="B141" s="73" t="s">
        <v>11</v>
      </c>
      <c r="C141" s="73"/>
      <c r="D141" s="73"/>
      <c r="E141" s="2">
        <v>0</v>
      </c>
      <c r="F141" s="2"/>
      <c r="G141" s="2">
        <v>2</v>
      </c>
      <c r="H141" s="73" t="s">
        <v>14</v>
      </c>
      <c r="I141" s="73"/>
      <c r="J141" s="73"/>
      <c r="L141" t="s">
        <v>84</v>
      </c>
    </row>
    <row r="142" spans="2:12" x14ac:dyDescent="0.3">
      <c r="B142" s="73" t="s">
        <v>27</v>
      </c>
      <c r="C142" s="73"/>
      <c r="D142" s="73"/>
      <c r="E142" s="2">
        <v>0</v>
      </c>
      <c r="F142" s="2"/>
      <c r="G142" s="2">
        <v>2</v>
      </c>
      <c r="H142" s="73" t="s">
        <v>19</v>
      </c>
      <c r="I142" s="73"/>
      <c r="J142" s="73"/>
    </row>
    <row r="143" spans="2:12" x14ac:dyDescent="0.3">
      <c r="B143" s="73" t="s">
        <v>19</v>
      </c>
      <c r="C143" s="73"/>
      <c r="D143" s="73"/>
      <c r="E143" s="2">
        <v>1</v>
      </c>
      <c r="F143" s="2"/>
      <c r="G143" s="2">
        <v>1</v>
      </c>
      <c r="H143" s="73" t="s">
        <v>14</v>
      </c>
      <c r="I143" s="73"/>
      <c r="J143" s="73"/>
    </row>
    <row r="144" spans="2:12" x14ac:dyDescent="0.3">
      <c r="B144" s="73" t="s">
        <v>19</v>
      </c>
      <c r="C144" s="73"/>
      <c r="D144" s="73"/>
      <c r="E144" s="2">
        <v>2</v>
      </c>
      <c r="F144" s="2"/>
      <c r="G144" s="2">
        <v>0</v>
      </c>
      <c r="H144" s="73" t="s">
        <v>11</v>
      </c>
      <c r="I144" s="73"/>
      <c r="J144" s="73"/>
    </row>
    <row r="145" spans="2:12" x14ac:dyDescent="0.3">
      <c r="B145" s="73" t="s">
        <v>21</v>
      </c>
      <c r="C145" s="73"/>
      <c r="D145" s="73"/>
      <c r="E145" s="2">
        <v>0</v>
      </c>
      <c r="F145" s="2"/>
      <c r="G145" s="2">
        <v>1</v>
      </c>
      <c r="H145" s="73" t="s">
        <v>16</v>
      </c>
      <c r="I145" s="73"/>
      <c r="J145" s="73"/>
    </row>
    <row r="146" spans="2:12" x14ac:dyDescent="0.3">
      <c r="B146" s="73" t="s">
        <v>33</v>
      </c>
      <c r="C146" s="73"/>
      <c r="D146" s="73"/>
      <c r="E146" s="2">
        <v>0</v>
      </c>
      <c r="F146" s="2"/>
      <c r="G146" s="2">
        <v>3</v>
      </c>
      <c r="H146" s="73" t="s">
        <v>20</v>
      </c>
      <c r="I146" s="73"/>
      <c r="J146" s="73"/>
    </row>
    <row r="147" spans="2:12" x14ac:dyDescent="0.3">
      <c r="B147" s="73" t="s">
        <v>25</v>
      </c>
      <c r="C147" s="73"/>
      <c r="D147" s="73"/>
      <c r="E147" s="2">
        <v>2</v>
      </c>
      <c r="F147" s="2"/>
      <c r="G147" s="2">
        <v>0</v>
      </c>
      <c r="H147" s="73" t="s">
        <v>49</v>
      </c>
      <c r="I147" s="73"/>
      <c r="J147" s="73"/>
    </row>
    <row r="148" spans="2:12" x14ac:dyDescent="0.3">
      <c r="B148" s="73" t="s">
        <v>30</v>
      </c>
      <c r="C148" s="73"/>
      <c r="D148" s="73"/>
      <c r="E148" s="2">
        <v>0</v>
      </c>
      <c r="F148" s="2"/>
      <c r="G148" s="2">
        <v>1</v>
      </c>
      <c r="H148" s="73" t="s">
        <v>6</v>
      </c>
      <c r="I148" s="73"/>
      <c r="J148" s="73"/>
    </row>
    <row r="149" spans="2:12" x14ac:dyDescent="0.3">
      <c r="B149" s="73" t="s">
        <v>22</v>
      </c>
      <c r="C149" s="73"/>
      <c r="D149" s="73"/>
      <c r="E149" s="2">
        <v>0</v>
      </c>
      <c r="F149" s="2"/>
      <c r="G149" s="2">
        <v>1</v>
      </c>
      <c r="H149" s="73" t="s">
        <v>50</v>
      </c>
      <c r="I149" s="73"/>
      <c r="J149" s="73"/>
    </row>
    <row r="150" spans="2:12" x14ac:dyDescent="0.3">
      <c r="B150" s="73" t="s">
        <v>15</v>
      </c>
      <c r="C150" s="73"/>
      <c r="D150" s="73"/>
      <c r="E150" s="2">
        <v>1</v>
      </c>
      <c r="F150" s="2"/>
      <c r="G150" s="2">
        <v>1</v>
      </c>
      <c r="H150" s="73" t="s">
        <v>4</v>
      </c>
      <c r="I150" s="73"/>
      <c r="J150" s="73"/>
    </row>
    <row r="151" spans="2:12" x14ac:dyDescent="0.3">
      <c r="B151" s="73" t="s">
        <v>29</v>
      </c>
      <c r="C151" s="73"/>
      <c r="D151" s="73"/>
      <c r="E151" s="2">
        <v>1</v>
      </c>
      <c r="F151" s="2"/>
      <c r="G151" s="2">
        <v>0</v>
      </c>
      <c r="H151" s="73" t="s">
        <v>9</v>
      </c>
      <c r="I151" s="73"/>
      <c r="J151" s="73"/>
    </row>
    <row r="152" spans="2:12" x14ac:dyDescent="0.3">
      <c r="B152" s="73" t="s">
        <v>8</v>
      </c>
      <c r="C152" s="73"/>
      <c r="D152" s="73"/>
      <c r="E152" s="2">
        <v>2</v>
      </c>
      <c r="F152" s="2"/>
      <c r="G152" s="2">
        <v>0</v>
      </c>
      <c r="H152" s="73" t="s">
        <v>28</v>
      </c>
      <c r="I152" s="73"/>
      <c r="J152" s="73"/>
    </row>
    <row r="153" spans="2:12" x14ac:dyDescent="0.3">
      <c r="B153" s="73" t="s">
        <v>20</v>
      </c>
      <c r="C153" s="73"/>
      <c r="D153" s="73"/>
      <c r="E153" s="2">
        <v>1</v>
      </c>
      <c r="F153" s="2"/>
      <c r="G153" s="2">
        <v>2</v>
      </c>
      <c r="H153" s="73" t="s">
        <v>17</v>
      </c>
      <c r="I153" s="73"/>
      <c r="J153" s="73"/>
    </row>
    <row r="154" spans="2:12" x14ac:dyDescent="0.3">
      <c r="B154" s="73" t="s">
        <v>17</v>
      </c>
      <c r="C154" s="73"/>
      <c r="D154" s="73"/>
      <c r="E154" s="2">
        <v>2</v>
      </c>
      <c r="F154" s="2"/>
      <c r="G154" s="2">
        <v>0</v>
      </c>
      <c r="H154" s="73" t="s">
        <v>23</v>
      </c>
      <c r="I154" s="73"/>
      <c r="J154" s="73"/>
    </row>
    <row r="156" spans="2:12" x14ac:dyDescent="0.3">
      <c r="B156" s="73" t="s">
        <v>19</v>
      </c>
      <c r="C156" s="73"/>
      <c r="D156" s="73"/>
      <c r="E156" s="2">
        <v>1</v>
      </c>
      <c r="F156" s="2"/>
      <c r="G156" s="2">
        <v>1</v>
      </c>
      <c r="H156" s="73" t="s">
        <v>14</v>
      </c>
      <c r="I156" s="73"/>
      <c r="J156" s="73"/>
      <c r="L156" t="s">
        <v>83</v>
      </c>
    </row>
    <row r="157" spans="2:12" x14ac:dyDescent="0.3">
      <c r="B157" s="73" t="s">
        <v>19</v>
      </c>
      <c r="C157" s="73"/>
      <c r="D157" s="73"/>
      <c r="E157" s="2">
        <v>2</v>
      </c>
      <c r="F157" s="2"/>
      <c r="G157" s="2">
        <v>0</v>
      </c>
      <c r="H157" s="73" t="s">
        <v>11</v>
      </c>
      <c r="I157" s="73"/>
      <c r="J157" s="73"/>
    </row>
    <row r="158" spans="2:12" x14ac:dyDescent="0.3">
      <c r="B158" s="73" t="s">
        <v>33</v>
      </c>
      <c r="C158" s="73"/>
      <c r="D158" s="73"/>
      <c r="E158" s="2">
        <v>0</v>
      </c>
      <c r="F158" s="2"/>
      <c r="G158" s="2">
        <v>3</v>
      </c>
      <c r="H158" s="73" t="s">
        <v>20</v>
      </c>
      <c r="I158" s="73"/>
      <c r="J158" s="73"/>
    </row>
    <row r="159" spans="2:12" x14ac:dyDescent="0.3">
      <c r="B159" s="73" t="s">
        <v>25</v>
      </c>
      <c r="C159" s="73"/>
      <c r="D159" s="73"/>
      <c r="E159" s="2">
        <v>2</v>
      </c>
      <c r="F159" s="2"/>
      <c r="G159" s="2">
        <v>0</v>
      </c>
      <c r="H159" s="73" t="s">
        <v>49</v>
      </c>
      <c r="I159" s="73"/>
      <c r="J159" s="73"/>
    </row>
    <row r="160" spans="2:12" x14ac:dyDescent="0.3">
      <c r="B160" s="73" t="s">
        <v>6</v>
      </c>
      <c r="C160" s="73"/>
      <c r="D160" s="73"/>
      <c r="E160" s="2">
        <v>1</v>
      </c>
      <c r="F160" s="2"/>
      <c r="G160" s="2">
        <v>0</v>
      </c>
      <c r="H160" s="73" t="s">
        <v>13</v>
      </c>
      <c r="I160" s="73"/>
      <c r="J160" s="73"/>
    </row>
    <row r="161" spans="2:12" x14ac:dyDescent="0.3">
      <c r="B161" s="73" t="s">
        <v>8</v>
      </c>
      <c r="C161" s="73"/>
      <c r="D161" s="73"/>
      <c r="E161" s="2">
        <v>2</v>
      </c>
      <c r="F161" s="2"/>
      <c r="G161" s="2">
        <v>0</v>
      </c>
      <c r="H161" s="73" t="s">
        <v>28</v>
      </c>
      <c r="I161" s="73"/>
      <c r="J161" s="73"/>
    </row>
    <row r="162" spans="2:12" x14ac:dyDescent="0.3">
      <c r="B162" s="73" t="s">
        <v>5</v>
      </c>
      <c r="C162" s="73"/>
      <c r="D162" s="73"/>
      <c r="E162" s="2">
        <v>2</v>
      </c>
      <c r="F162" s="2"/>
      <c r="G162" s="2">
        <v>1</v>
      </c>
      <c r="H162" s="73" t="s">
        <v>6</v>
      </c>
      <c r="I162" s="73"/>
      <c r="J162" s="73"/>
    </row>
    <row r="163" spans="2:12" x14ac:dyDescent="0.3">
      <c r="B163" s="73" t="s">
        <v>17</v>
      </c>
      <c r="C163" s="73"/>
      <c r="D163" s="73"/>
      <c r="E163" s="2">
        <v>2</v>
      </c>
      <c r="F163" s="2"/>
      <c r="G163" s="2">
        <v>0</v>
      </c>
      <c r="H163" s="73" t="s">
        <v>23</v>
      </c>
      <c r="I163" s="73"/>
      <c r="J163" s="73"/>
    </row>
    <row r="164" spans="2:12" x14ac:dyDescent="0.3">
      <c r="B164" s="73" t="s">
        <v>12</v>
      </c>
      <c r="C164" s="73"/>
      <c r="D164" s="73"/>
      <c r="E164" s="2">
        <v>2</v>
      </c>
      <c r="F164" s="2"/>
      <c r="G164" s="2">
        <v>1</v>
      </c>
      <c r="H164" s="73" t="s">
        <v>23</v>
      </c>
      <c r="I164" s="73"/>
      <c r="J164" s="73"/>
    </row>
    <row r="166" spans="2:12" x14ac:dyDescent="0.3">
      <c r="B166" s="73" t="s">
        <v>14</v>
      </c>
      <c r="C166" s="73"/>
      <c r="D166" s="73"/>
      <c r="E166" s="2">
        <v>1</v>
      </c>
      <c r="F166" s="2"/>
      <c r="G166" s="2">
        <v>2</v>
      </c>
      <c r="H166" s="73" t="s">
        <v>27</v>
      </c>
      <c r="I166" s="73"/>
      <c r="J166" s="73"/>
      <c r="L166" t="s">
        <v>62</v>
      </c>
    </row>
    <row r="167" spans="2:12" x14ac:dyDescent="0.3">
      <c r="B167" s="73" t="s">
        <v>16</v>
      </c>
      <c r="C167" s="73"/>
      <c r="D167" s="73"/>
      <c r="E167" s="2">
        <v>1</v>
      </c>
      <c r="F167" s="2"/>
      <c r="G167" s="2">
        <v>1</v>
      </c>
      <c r="H167" s="73" t="s">
        <v>33</v>
      </c>
      <c r="I167" s="73"/>
      <c r="J167" s="73"/>
    </row>
    <row r="168" spans="2:12" x14ac:dyDescent="0.3">
      <c r="B168" s="73" t="s">
        <v>5</v>
      </c>
      <c r="C168" s="73"/>
      <c r="D168" s="73"/>
      <c r="E168" s="2">
        <v>2</v>
      </c>
      <c r="F168" s="2"/>
      <c r="G168" s="2">
        <v>0</v>
      </c>
      <c r="H168" s="73" t="s">
        <v>24</v>
      </c>
      <c r="I168" s="73"/>
      <c r="J168" s="73"/>
    </row>
    <row r="169" spans="2:12" x14ac:dyDescent="0.3">
      <c r="B169" s="73" t="s">
        <v>49</v>
      </c>
      <c r="C169" s="73"/>
      <c r="D169" s="73"/>
      <c r="E169" s="2">
        <v>1</v>
      </c>
      <c r="F169" s="2"/>
      <c r="G169" s="2">
        <v>2</v>
      </c>
      <c r="H169" s="73" t="s">
        <v>24</v>
      </c>
      <c r="I169" s="73"/>
      <c r="J169" s="73"/>
    </row>
    <row r="170" spans="2:12" x14ac:dyDescent="0.3">
      <c r="B170" s="73" t="s">
        <v>15</v>
      </c>
      <c r="C170" s="73"/>
      <c r="D170" s="73"/>
      <c r="E170" s="2">
        <v>1</v>
      </c>
      <c r="F170" s="2"/>
      <c r="G170" s="2">
        <v>1</v>
      </c>
      <c r="H170" s="73" t="s">
        <v>4</v>
      </c>
      <c r="I170" s="73"/>
      <c r="J170" s="73"/>
    </row>
    <row r="171" spans="2:12" x14ac:dyDescent="0.3">
      <c r="B171" s="73" t="s">
        <v>10</v>
      </c>
      <c r="C171" s="73"/>
      <c r="D171" s="73"/>
      <c r="E171" s="2">
        <v>1</v>
      </c>
      <c r="F171" s="2"/>
      <c r="G171" s="2">
        <v>2</v>
      </c>
      <c r="H171" s="73" t="s">
        <v>23</v>
      </c>
      <c r="I171" s="73"/>
      <c r="J171" s="73"/>
    </row>
    <row r="172" spans="2:12" x14ac:dyDescent="0.3">
      <c r="B172" s="73" t="s">
        <v>8</v>
      </c>
      <c r="C172" s="73"/>
      <c r="D172" s="73"/>
      <c r="E172" s="2">
        <v>2</v>
      </c>
      <c r="F172" s="2"/>
      <c r="G172" s="2">
        <v>0</v>
      </c>
      <c r="H172" s="73" t="s">
        <v>28</v>
      </c>
      <c r="I172" s="73"/>
      <c r="J172" s="73"/>
    </row>
    <row r="173" spans="2:12" x14ac:dyDescent="0.3">
      <c r="B173" s="73" t="s">
        <v>22</v>
      </c>
      <c r="C173" s="73"/>
      <c r="D173" s="73"/>
      <c r="E173" s="2">
        <v>1</v>
      </c>
      <c r="F173" s="2"/>
      <c r="G173" s="2">
        <v>1</v>
      </c>
      <c r="H173" s="73" t="s">
        <v>12</v>
      </c>
      <c r="I173" s="73"/>
      <c r="J173" s="73"/>
    </row>
  </sheetData>
  <mergeCells count="290">
    <mergeCell ref="B5:D5"/>
    <mergeCell ref="H5:J5"/>
    <mergeCell ref="B6:D6"/>
    <mergeCell ref="H6:J6"/>
    <mergeCell ref="B2:D2"/>
    <mergeCell ref="H2:J2"/>
    <mergeCell ref="B3:D3"/>
    <mergeCell ref="H3:J3"/>
    <mergeCell ref="B14:D14"/>
    <mergeCell ref="H14:J14"/>
    <mergeCell ref="B15:D15"/>
    <mergeCell ref="H15:J15"/>
    <mergeCell ref="B11:D11"/>
    <mergeCell ref="H11:J11"/>
    <mergeCell ref="B12:D12"/>
    <mergeCell ref="H12:J12"/>
    <mergeCell ref="B8:D8"/>
    <mergeCell ref="H8:J8"/>
    <mergeCell ref="B9:D9"/>
    <mergeCell ref="H9:J9"/>
    <mergeCell ref="B169:D169"/>
    <mergeCell ref="H169:J169"/>
    <mergeCell ref="B170:D170"/>
    <mergeCell ref="H170:J170"/>
    <mergeCell ref="B173:D173"/>
    <mergeCell ref="H173:J173"/>
    <mergeCell ref="B164:D164"/>
    <mergeCell ref="H164:J164"/>
    <mergeCell ref="B171:D171"/>
    <mergeCell ref="H171:J171"/>
    <mergeCell ref="B172:D172"/>
    <mergeCell ref="H172:J172"/>
    <mergeCell ref="B162:D162"/>
    <mergeCell ref="H162:J162"/>
    <mergeCell ref="B163:D163"/>
    <mergeCell ref="H163:J163"/>
    <mergeCell ref="B166:D166"/>
    <mergeCell ref="H166:J166"/>
    <mergeCell ref="B154:D154"/>
    <mergeCell ref="H154:J154"/>
    <mergeCell ref="B168:D168"/>
    <mergeCell ref="H168:J168"/>
    <mergeCell ref="B156:D156"/>
    <mergeCell ref="H156:J156"/>
    <mergeCell ref="B157:D157"/>
    <mergeCell ref="H157:J157"/>
    <mergeCell ref="B158:D158"/>
    <mergeCell ref="H158:J158"/>
    <mergeCell ref="B159:D159"/>
    <mergeCell ref="H159:J159"/>
    <mergeCell ref="B167:D167"/>
    <mergeCell ref="H167:J167"/>
    <mergeCell ref="B153:D153"/>
    <mergeCell ref="H153:J153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50:D150"/>
    <mergeCell ref="H150:J150"/>
    <mergeCell ref="B151:D151"/>
    <mergeCell ref="H151:J151"/>
    <mergeCell ref="B152:D152"/>
    <mergeCell ref="H152:J152"/>
    <mergeCell ref="B160:D160"/>
    <mergeCell ref="H160:J160"/>
    <mergeCell ref="B161:D161"/>
    <mergeCell ref="H161:J161"/>
    <mergeCell ref="B138:D138"/>
    <mergeCell ref="H138:J138"/>
    <mergeCell ref="B146:D146"/>
    <mergeCell ref="H146:J146"/>
    <mergeCell ref="B147:D147"/>
    <mergeCell ref="H147:J147"/>
    <mergeCell ref="B148:D148"/>
    <mergeCell ref="H148:J148"/>
    <mergeCell ref="B149:D149"/>
    <mergeCell ref="H149:J149"/>
    <mergeCell ref="B128:D128"/>
    <mergeCell ref="H128:J128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18:D118"/>
    <mergeCell ref="H118:J118"/>
    <mergeCell ref="B119:D119"/>
    <mergeCell ref="H119:J119"/>
    <mergeCell ref="B120:D120"/>
    <mergeCell ref="H120:J120"/>
    <mergeCell ref="B139:D139"/>
    <mergeCell ref="H139:J139"/>
    <mergeCell ref="B130:D130"/>
    <mergeCell ref="H130:J130"/>
    <mergeCell ref="B131:D131"/>
    <mergeCell ref="H131:J131"/>
    <mergeCell ref="B132:D132"/>
    <mergeCell ref="H132:J132"/>
    <mergeCell ref="B123:D123"/>
    <mergeCell ref="H123:J123"/>
    <mergeCell ref="B124:D124"/>
    <mergeCell ref="H124:J124"/>
    <mergeCell ref="B125:D125"/>
    <mergeCell ref="H125:J125"/>
    <mergeCell ref="B126:D126"/>
    <mergeCell ref="H126:J126"/>
    <mergeCell ref="B127:D127"/>
    <mergeCell ref="H127:J127"/>
    <mergeCell ref="B102:D102"/>
    <mergeCell ref="H102:J102"/>
    <mergeCell ref="B103:D103"/>
    <mergeCell ref="H103:J103"/>
    <mergeCell ref="B104:D104"/>
    <mergeCell ref="H104:J104"/>
    <mergeCell ref="B121:D121"/>
    <mergeCell ref="H121:J121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6:D116"/>
    <mergeCell ref="H116:J116"/>
    <mergeCell ref="B117:D117"/>
    <mergeCell ref="H117:J117"/>
    <mergeCell ref="B105:D105"/>
    <mergeCell ref="H105:J105"/>
    <mergeCell ref="B106:D106"/>
    <mergeCell ref="H106:J106"/>
    <mergeCell ref="B107:D107"/>
    <mergeCell ref="H107:J107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100:D100"/>
    <mergeCell ref="H100:J100"/>
    <mergeCell ref="B101:D101"/>
    <mergeCell ref="H101:J101"/>
    <mergeCell ref="B90:D90"/>
    <mergeCell ref="H90:J90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73:D73"/>
    <mergeCell ref="H73:J73"/>
    <mergeCell ref="B74:D74"/>
    <mergeCell ref="H74:J74"/>
    <mergeCell ref="B75:D75"/>
    <mergeCell ref="H75:J75"/>
    <mergeCell ref="B76:D76"/>
    <mergeCell ref="H76:J76"/>
    <mergeCell ref="B68:D68"/>
    <mergeCell ref="H68:J68"/>
    <mergeCell ref="B69:D69"/>
    <mergeCell ref="H69:J69"/>
    <mergeCell ref="B70:D70"/>
    <mergeCell ref="H70:J70"/>
    <mergeCell ref="B71:D71"/>
    <mergeCell ref="H71:J71"/>
    <mergeCell ref="B57:D57"/>
    <mergeCell ref="H57:J57"/>
    <mergeCell ref="B66:D66"/>
    <mergeCell ref="H66:J66"/>
    <mergeCell ref="B61:D61"/>
    <mergeCell ref="H61:J61"/>
    <mergeCell ref="B62:D62"/>
    <mergeCell ref="H62:J62"/>
    <mergeCell ref="B63:D63"/>
    <mergeCell ref="H63:J63"/>
    <mergeCell ref="B64:D64"/>
    <mergeCell ref="H64:J64"/>
    <mergeCell ref="B58:D58"/>
    <mergeCell ref="H58:J58"/>
    <mergeCell ref="B59:D59"/>
    <mergeCell ref="H59:J59"/>
    <mergeCell ref="B46:D46"/>
    <mergeCell ref="H46:J46"/>
    <mergeCell ref="B47:D47"/>
    <mergeCell ref="H47:J47"/>
    <mergeCell ref="B48:D48"/>
    <mergeCell ref="H48:J48"/>
    <mergeCell ref="B49:D49"/>
    <mergeCell ref="H49:J49"/>
    <mergeCell ref="B50:D50"/>
    <mergeCell ref="H50:J50"/>
    <mergeCell ref="B51:D51"/>
    <mergeCell ref="H51:J51"/>
    <mergeCell ref="B53:D53"/>
    <mergeCell ref="H53:J53"/>
    <mergeCell ref="B54:D54"/>
    <mergeCell ref="H54:J54"/>
    <mergeCell ref="B55:D55"/>
    <mergeCell ref="H55:J55"/>
    <mergeCell ref="B56:D56"/>
    <mergeCell ref="H56:J56"/>
    <mergeCell ref="B42:D42"/>
    <mergeCell ref="H42:J42"/>
    <mergeCell ref="B43:D43"/>
    <mergeCell ref="H43:J43"/>
    <mergeCell ref="B44:D44"/>
    <mergeCell ref="H44:J44"/>
    <mergeCell ref="B37:D37"/>
    <mergeCell ref="H37:J37"/>
    <mergeCell ref="B38:D38"/>
    <mergeCell ref="H38:J38"/>
    <mergeCell ref="B39:D39"/>
    <mergeCell ref="H39:J39"/>
    <mergeCell ref="B40:D40"/>
    <mergeCell ref="H40:J40"/>
    <mergeCell ref="B35:D35"/>
    <mergeCell ref="H35:J35"/>
    <mergeCell ref="B24:D24"/>
    <mergeCell ref="H24:J24"/>
    <mergeCell ref="B25:D25"/>
    <mergeCell ref="H25:J25"/>
    <mergeCell ref="B26:D26"/>
    <mergeCell ref="H26:J26"/>
    <mergeCell ref="B27:D27"/>
    <mergeCell ref="H27:J27"/>
    <mergeCell ref="B28:D28"/>
    <mergeCell ref="H28:J28"/>
    <mergeCell ref="B30:D30"/>
    <mergeCell ref="H30:J30"/>
    <mergeCell ref="B31:D31"/>
    <mergeCell ref="H31:J31"/>
    <mergeCell ref="B32:D32"/>
    <mergeCell ref="H32:J32"/>
    <mergeCell ref="B33:D33"/>
    <mergeCell ref="H33:J33"/>
    <mergeCell ref="B34:D34"/>
    <mergeCell ref="H34:J34"/>
    <mergeCell ref="B22:D22"/>
    <mergeCell ref="H22:J22"/>
    <mergeCell ref="B17:D17"/>
    <mergeCell ref="H17:J17"/>
    <mergeCell ref="B18:D18"/>
    <mergeCell ref="H18:J18"/>
    <mergeCell ref="B19:D19"/>
    <mergeCell ref="H19:J19"/>
    <mergeCell ref="B20:D20"/>
    <mergeCell ref="H20:J20"/>
    <mergeCell ref="B21:D21"/>
    <mergeCell ref="H21:J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54" customWidth="1"/>
    <col min="8" max="8" width="1.5546875" style="54" customWidth="1"/>
    <col min="9" max="9" width="11" style="58" customWidth="1"/>
    <col min="10" max="12" width="4" style="52" customWidth="1"/>
    <col min="13" max="13" width="11" style="53" customWidth="1"/>
    <col min="14" max="14" width="1.5546875" style="54" customWidth="1"/>
    <col min="15" max="15" width="11" style="54" customWidth="1"/>
    <col min="16" max="18" width="4" style="54" customWidth="1"/>
    <col min="19" max="19" width="11" style="54" customWidth="1"/>
    <col min="20" max="20" width="1.5546875" style="54" customWidth="1"/>
    <col min="21" max="21" width="11" style="54" customWidth="1"/>
    <col min="22" max="24" width="4" style="54" customWidth="1"/>
    <col min="25" max="25" width="11" style="54" customWidth="1"/>
    <col min="26" max="26" width="1.5546875" style="54" customWidth="1"/>
    <col min="27" max="27" width="11" style="54" customWidth="1"/>
    <col min="28" max="30" width="4" style="54" customWidth="1"/>
    <col min="31" max="31" width="11" style="54" customWidth="1"/>
    <col min="32" max="32" width="1.5546875" style="54" customWidth="1"/>
    <col min="33" max="33" width="11" style="54" customWidth="1"/>
    <col min="34" max="36" width="4" style="54" customWidth="1"/>
    <col min="37" max="37" width="11" style="54" customWidth="1"/>
    <col min="38" max="38" width="10" style="54"/>
    <col min="39" max="16384" width="10" style="1"/>
  </cols>
  <sheetData>
    <row r="1" spans="1:37" ht="30.75" customHeight="1" x14ac:dyDescent="0.3">
      <c r="A1" s="63" t="s">
        <v>171</v>
      </c>
      <c r="B1" s="63" t="s">
        <v>172</v>
      </c>
      <c r="C1" s="63" t="s">
        <v>165</v>
      </c>
      <c r="D1" s="63" t="s">
        <v>166</v>
      </c>
      <c r="E1" s="63" t="s">
        <v>167</v>
      </c>
    </row>
    <row r="2" spans="1:37" x14ac:dyDescent="0.3">
      <c r="A2" s="64" t="s">
        <v>62</v>
      </c>
      <c r="B2" s="66" t="s">
        <v>8</v>
      </c>
      <c r="C2" s="69" t="s">
        <v>5</v>
      </c>
      <c r="D2" s="66" t="s">
        <v>118</v>
      </c>
      <c r="E2" s="66" t="s">
        <v>127</v>
      </c>
      <c r="I2" s="140" t="s">
        <v>207</v>
      </c>
      <c r="J2" s="140"/>
      <c r="K2" s="140"/>
      <c r="L2" s="140"/>
      <c r="M2" s="140"/>
      <c r="O2" s="140" t="s">
        <v>201</v>
      </c>
      <c r="P2" s="140"/>
      <c r="Q2" s="140"/>
      <c r="R2" s="140"/>
      <c r="S2" s="140"/>
      <c r="U2" s="140" t="s">
        <v>193</v>
      </c>
      <c r="V2" s="140"/>
      <c r="W2" s="140"/>
      <c r="X2" s="140"/>
      <c r="Y2" s="140"/>
      <c r="AA2" s="140" t="s">
        <v>185</v>
      </c>
      <c r="AB2" s="140"/>
      <c r="AC2" s="140"/>
      <c r="AD2" s="140"/>
      <c r="AE2" s="140"/>
      <c r="AG2" s="140" t="s">
        <v>175</v>
      </c>
      <c r="AH2" s="140"/>
      <c r="AI2" s="140"/>
      <c r="AJ2" s="140"/>
      <c r="AK2" s="140"/>
    </row>
    <row r="3" spans="1:37" x14ac:dyDescent="0.3">
      <c r="A3" s="65" t="s">
        <v>83</v>
      </c>
      <c r="B3" s="66" t="s">
        <v>8</v>
      </c>
      <c r="C3" s="66" t="s">
        <v>7</v>
      </c>
      <c r="D3" s="66" t="s">
        <v>118</v>
      </c>
      <c r="E3" s="69" t="s">
        <v>119</v>
      </c>
      <c r="I3" s="59" t="s">
        <v>12</v>
      </c>
      <c r="J3" s="60">
        <v>1</v>
      </c>
      <c r="K3" s="60" t="s">
        <v>47</v>
      </c>
      <c r="L3" s="60">
        <v>1</v>
      </c>
      <c r="M3" s="61" t="s">
        <v>23</v>
      </c>
      <c r="O3" s="59" t="s">
        <v>12</v>
      </c>
      <c r="P3" s="60">
        <v>0</v>
      </c>
      <c r="Q3" s="60" t="s">
        <v>47</v>
      </c>
      <c r="R3" s="60">
        <v>2</v>
      </c>
      <c r="S3" s="61" t="s">
        <v>23</v>
      </c>
      <c r="U3" s="59" t="s">
        <v>12</v>
      </c>
      <c r="V3" s="60">
        <v>1</v>
      </c>
      <c r="W3" s="60" t="s">
        <v>47</v>
      </c>
      <c r="X3" s="60">
        <v>1</v>
      </c>
      <c r="Y3" s="61" t="s">
        <v>23</v>
      </c>
      <c r="AA3" s="59" t="s">
        <v>12</v>
      </c>
      <c r="AB3" s="60">
        <v>1</v>
      </c>
      <c r="AC3" s="60" t="s">
        <v>47</v>
      </c>
      <c r="AD3" s="60">
        <v>3</v>
      </c>
      <c r="AE3" s="61" t="s">
        <v>23</v>
      </c>
      <c r="AG3" s="59" t="s">
        <v>12</v>
      </c>
      <c r="AH3" s="60">
        <v>2</v>
      </c>
      <c r="AI3" s="60" t="s">
        <v>47</v>
      </c>
      <c r="AJ3" s="60">
        <v>1</v>
      </c>
      <c r="AK3" s="61" t="s">
        <v>23</v>
      </c>
    </row>
    <row r="4" spans="1:37" x14ac:dyDescent="0.3">
      <c r="A4" s="65" t="s">
        <v>84</v>
      </c>
      <c r="B4" s="66" t="s">
        <v>20</v>
      </c>
      <c r="C4" s="66" t="s">
        <v>8</v>
      </c>
      <c r="D4" s="66" t="s">
        <v>128</v>
      </c>
      <c r="E4" s="66" t="s">
        <v>118</v>
      </c>
      <c r="I4" s="141" t="s">
        <v>208</v>
      </c>
      <c r="J4" s="141"/>
      <c r="K4" s="141"/>
      <c r="L4" s="141"/>
      <c r="M4" s="141"/>
      <c r="O4" s="142" t="s">
        <v>202</v>
      </c>
      <c r="P4" s="142"/>
      <c r="Q4" s="142"/>
      <c r="R4" s="142"/>
      <c r="S4" s="142"/>
      <c r="U4" s="141" t="s">
        <v>194</v>
      </c>
      <c r="V4" s="141"/>
      <c r="W4" s="141"/>
      <c r="X4" s="141"/>
      <c r="Y4" s="141"/>
      <c r="AA4" s="142" t="s">
        <v>186</v>
      </c>
      <c r="AB4" s="142"/>
      <c r="AC4" s="142"/>
      <c r="AD4" s="142"/>
      <c r="AE4" s="142"/>
      <c r="AG4" s="141" t="s">
        <v>176</v>
      </c>
      <c r="AH4" s="141"/>
      <c r="AI4" s="141"/>
      <c r="AJ4" s="141"/>
      <c r="AK4" s="141"/>
    </row>
    <row r="5" spans="1:37" x14ac:dyDescent="0.3">
      <c r="A5" s="64" t="s">
        <v>61</v>
      </c>
      <c r="B5" s="71" t="s">
        <v>17</v>
      </c>
      <c r="C5" s="66" t="s">
        <v>7</v>
      </c>
      <c r="D5" s="69" t="s">
        <v>119</v>
      </c>
      <c r="E5" s="71" t="s">
        <v>121</v>
      </c>
      <c r="I5" s="59" t="s">
        <v>5</v>
      </c>
      <c r="J5" s="60">
        <v>1</v>
      </c>
      <c r="K5" s="60" t="s">
        <v>47</v>
      </c>
      <c r="L5" s="60">
        <v>0</v>
      </c>
      <c r="M5" s="61" t="s">
        <v>17</v>
      </c>
      <c r="O5" s="59" t="s">
        <v>5</v>
      </c>
      <c r="P5" s="60">
        <v>2</v>
      </c>
      <c r="Q5" s="60" t="s">
        <v>47</v>
      </c>
      <c r="R5" s="60">
        <v>2</v>
      </c>
      <c r="S5" s="61" t="s">
        <v>17</v>
      </c>
      <c r="U5" s="59" t="s">
        <v>5</v>
      </c>
      <c r="V5" s="60">
        <v>2</v>
      </c>
      <c r="W5" s="60" t="s">
        <v>47</v>
      </c>
      <c r="X5" s="60">
        <v>1</v>
      </c>
      <c r="Y5" s="61" t="s">
        <v>17</v>
      </c>
      <c r="AA5" s="59" t="s">
        <v>5</v>
      </c>
      <c r="AB5" s="60">
        <v>1</v>
      </c>
      <c r="AC5" s="60" t="s">
        <v>47</v>
      </c>
      <c r="AD5" s="60">
        <v>2</v>
      </c>
      <c r="AE5" s="61" t="s">
        <v>17</v>
      </c>
      <c r="AG5" s="59" t="s">
        <v>5</v>
      </c>
      <c r="AH5" s="60">
        <v>3</v>
      </c>
      <c r="AI5" s="60" t="s">
        <v>47</v>
      </c>
      <c r="AJ5" s="60">
        <v>2</v>
      </c>
      <c r="AK5" s="61" t="s">
        <v>17</v>
      </c>
    </row>
    <row r="6" spans="1:37" x14ac:dyDescent="0.3">
      <c r="A6" s="70" t="s">
        <v>64</v>
      </c>
      <c r="B6" s="66" t="s">
        <v>8</v>
      </c>
      <c r="C6" s="69" t="s">
        <v>5</v>
      </c>
      <c r="D6" s="69" t="s">
        <v>119</v>
      </c>
      <c r="E6" s="71" t="s">
        <v>127</v>
      </c>
      <c r="O6" s="58"/>
      <c r="P6" s="52"/>
      <c r="Q6" s="52"/>
      <c r="R6" s="52"/>
      <c r="S6" s="53"/>
      <c r="U6" s="58"/>
      <c r="V6" s="52"/>
      <c r="W6" s="52"/>
      <c r="X6" s="52"/>
      <c r="Y6" s="53"/>
      <c r="AA6" s="58"/>
      <c r="AB6" s="52"/>
      <c r="AC6" s="52"/>
      <c r="AD6" s="52"/>
      <c r="AE6" s="53"/>
      <c r="AG6" s="58"/>
      <c r="AH6" s="52"/>
      <c r="AI6" s="52"/>
      <c r="AJ6" s="52"/>
      <c r="AK6" s="53"/>
    </row>
    <row r="7" spans="1:37" x14ac:dyDescent="0.3">
      <c r="A7" s="64" t="s">
        <v>63</v>
      </c>
      <c r="B7" s="66" t="s">
        <v>8</v>
      </c>
      <c r="C7" s="69" t="s">
        <v>5</v>
      </c>
      <c r="D7" s="66" t="s">
        <v>118</v>
      </c>
      <c r="E7" s="71" t="s">
        <v>119</v>
      </c>
      <c r="I7" s="140" t="s">
        <v>205</v>
      </c>
      <c r="J7" s="140"/>
      <c r="K7" s="140"/>
      <c r="L7" s="140"/>
      <c r="M7" s="140"/>
      <c r="O7" s="140" t="s">
        <v>199</v>
      </c>
      <c r="P7" s="140"/>
      <c r="Q7" s="140"/>
      <c r="R7" s="140"/>
      <c r="S7" s="140"/>
      <c r="U7" s="140" t="s">
        <v>191</v>
      </c>
      <c r="V7" s="140"/>
      <c r="W7" s="140"/>
      <c r="X7" s="140"/>
      <c r="Y7" s="140"/>
      <c r="AA7" s="140" t="s">
        <v>183</v>
      </c>
      <c r="AB7" s="140"/>
      <c r="AC7" s="140"/>
      <c r="AD7" s="140"/>
      <c r="AE7" s="140"/>
      <c r="AG7" s="140" t="s">
        <v>173</v>
      </c>
      <c r="AH7" s="140"/>
      <c r="AI7" s="140"/>
      <c r="AJ7" s="140"/>
      <c r="AK7" s="140"/>
    </row>
    <row r="8" spans="1:37" x14ac:dyDescent="0.3">
      <c r="A8" s="65" t="s">
        <v>65</v>
      </c>
      <c r="B8" s="66" t="s">
        <v>8</v>
      </c>
      <c r="C8" s="71" t="s">
        <v>17</v>
      </c>
      <c r="D8" s="66" t="s">
        <v>128</v>
      </c>
      <c r="E8" s="71" t="s">
        <v>129</v>
      </c>
      <c r="I8" s="59" t="s">
        <v>12</v>
      </c>
      <c r="J8" s="60">
        <v>1</v>
      </c>
      <c r="K8" s="60" t="s">
        <v>47</v>
      </c>
      <c r="L8" s="60">
        <v>0</v>
      </c>
      <c r="M8" s="61" t="s">
        <v>23</v>
      </c>
      <c r="O8" s="59" t="s">
        <v>12</v>
      </c>
      <c r="P8" s="60">
        <v>2</v>
      </c>
      <c r="Q8" s="60" t="s">
        <v>47</v>
      </c>
      <c r="R8" s="60">
        <v>1</v>
      </c>
      <c r="S8" s="61" t="s">
        <v>23</v>
      </c>
      <c r="U8" s="59" t="s">
        <v>12</v>
      </c>
      <c r="V8" s="60">
        <v>1</v>
      </c>
      <c r="W8" s="60" t="s">
        <v>47</v>
      </c>
      <c r="X8" s="60">
        <v>0</v>
      </c>
      <c r="Y8" s="61" t="s">
        <v>23</v>
      </c>
      <c r="AA8" s="59" t="s">
        <v>12</v>
      </c>
      <c r="AB8" s="60">
        <v>0</v>
      </c>
      <c r="AC8" s="60" t="s">
        <v>47</v>
      </c>
      <c r="AD8" s="60">
        <v>1</v>
      </c>
      <c r="AE8" s="61" t="s">
        <v>23</v>
      </c>
      <c r="AG8" s="59" t="s">
        <v>12</v>
      </c>
      <c r="AH8" s="60">
        <v>1</v>
      </c>
      <c r="AI8" s="60" t="s">
        <v>47</v>
      </c>
      <c r="AJ8" s="60">
        <v>2</v>
      </c>
      <c r="AK8" s="61" t="s">
        <v>23</v>
      </c>
    </row>
    <row r="9" spans="1:37" x14ac:dyDescent="0.3">
      <c r="A9" s="65" t="s">
        <v>66</v>
      </c>
      <c r="B9" s="66" t="s">
        <v>8</v>
      </c>
      <c r="C9" s="66" t="s">
        <v>15</v>
      </c>
      <c r="D9" s="66" t="s">
        <v>129</v>
      </c>
      <c r="E9" s="66" t="s">
        <v>128</v>
      </c>
      <c r="I9" s="142" t="s">
        <v>206</v>
      </c>
      <c r="J9" s="142"/>
      <c r="K9" s="142"/>
      <c r="L9" s="142"/>
      <c r="M9" s="142"/>
      <c r="O9" s="141" t="s">
        <v>200</v>
      </c>
      <c r="P9" s="141"/>
      <c r="Q9" s="141"/>
      <c r="R9" s="141"/>
      <c r="S9" s="141"/>
      <c r="U9" s="142" t="s">
        <v>192</v>
      </c>
      <c r="V9" s="142"/>
      <c r="W9" s="142"/>
      <c r="X9" s="142"/>
      <c r="Y9" s="142"/>
      <c r="AA9" s="141" t="s">
        <v>184</v>
      </c>
      <c r="AB9" s="141"/>
      <c r="AC9" s="141"/>
      <c r="AD9" s="141"/>
      <c r="AE9" s="141"/>
      <c r="AG9" s="142" t="s">
        <v>174</v>
      </c>
      <c r="AH9" s="142"/>
      <c r="AI9" s="142"/>
      <c r="AJ9" s="142"/>
      <c r="AK9" s="142"/>
    </row>
    <row r="10" spans="1:37" x14ac:dyDescent="0.3">
      <c r="A10" s="64" t="s">
        <v>67</v>
      </c>
      <c r="B10" s="66" t="s">
        <v>8</v>
      </c>
      <c r="C10" s="69" t="s">
        <v>5</v>
      </c>
      <c r="D10" s="71" t="s">
        <v>121</v>
      </c>
      <c r="E10" s="66" t="s">
        <v>127</v>
      </c>
      <c r="I10" s="59" t="s">
        <v>5</v>
      </c>
      <c r="J10" s="60">
        <v>2</v>
      </c>
      <c r="K10" s="60" t="s">
        <v>47</v>
      </c>
      <c r="L10" s="60">
        <v>2</v>
      </c>
      <c r="M10" s="61" t="s">
        <v>17</v>
      </c>
      <c r="O10" s="59" t="s">
        <v>5</v>
      </c>
      <c r="P10" s="60">
        <v>3</v>
      </c>
      <c r="Q10" s="60" t="s">
        <v>47</v>
      </c>
      <c r="R10" s="60">
        <v>1</v>
      </c>
      <c r="S10" s="61" t="s">
        <v>17</v>
      </c>
      <c r="U10" s="59" t="s">
        <v>5</v>
      </c>
      <c r="V10" s="60">
        <v>1</v>
      </c>
      <c r="W10" s="60" t="s">
        <v>47</v>
      </c>
      <c r="X10" s="60">
        <v>1</v>
      </c>
      <c r="Y10" s="61" t="s">
        <v>17</v>
      </c>
      <c r="AA10" s="59" t="s">
        <v>5</v>
      </c>
      <c r="AB10" s="60">
        <v>2</v>
      </c>
      <c r="AC10" s="60" t="s">
        <v>47</v>
      </c>
      <c r="AD10" s="60">
        <v>1</v>
      </c>
      <c r="AE10" s="61" t="s">
        <v>17</v>
      </c>
      <c r="AG10" s="59" t="s">
        <v>5</v>
      </c>
      <c r="AH10" s="60">
        <v>2</v>
      </c>
      <c r="AI10" s="60" t="s">
        <v>47</v>
      </c>
      <c r="AJ10" s="60">
        <v>1</v>
      </c>
      <c r="AK10" s="61" t="s">
        <v>17</v>
      </c>
    </row>
    <row r="11" spans="1:37" x14ac:dyDescent="0.3">
      <c r="A11" s="64" t="s">
        <v>68</v>
      </c>
      <c r="B11" s="66" t="s">
        <v>8</v>
      </c>
      <c r="C11" s="69" t="s">
        <v>5</v>
      </c>
      <c r="D11" s="66" t="s">
        <v>125</v>
      </c>
      <c r="E11" s="71" t="s">
        <v>121</v>
      </c>
      <c r="O11" s="58"/>
      <c r="P11" s="52"/>
      <c r="Q11" s="52"/>
      <c r="R11" s="52"/>
      <c r="S11" s="53"/>
      <c r="U11" s="58"/>
      <c r="V11" s="52"/>
      <c r="W11" s="52"/>
      <c r="X11" s="52"/>
      <c r="Y11" s="53"/>
      <c r="AA11" s="58"/>
      <c r="AB11" s="52"/>
      <c r="AC11" s="52"/>
      <c r="AD11" s="52"/>
      <c r="AE11" s="53"/>
    </row>
    <row r="12" spans="1:37" x14ac:dyDescent="0.3">
      <c r="A12" s="65" t="s">
        <v>69</v>
      </c>
      <c r="B12" s="66" t="s">
        <v>8</v>
      </c>
      <c r="C12" s="68" t="s">
        <v>17</v>
      </c>
      <c r="D12" s="66" t="s">
        <v>118</v>
      </c>
      <c r="E12" s="71" t="s">
        <v>121</v>
      </c>
      <c r="I12" s="140" t="s">
        <v>203</v>
      </c>
      <c r="J12" s="140"/>
      <c r="K12" s="140"/>
      <c r="L12" s="140"/>
      <c r="M12" s="140"/>
      <c r="O12" s="140" t="s">
        <v>197</v>
      </c>
      <c r="P12" s="140"/>
      <c r="Q12" s="140"/>
      <c r="R12" s="140"/>
      <c r="S12" s="140"/>
      <c r="U12" s="140" t="s">
        <v>189</v>
      </c>
      <c r="V12" s="140"/>
      <c r="W12" s="140"/>
      <c r="X12" s="140"/>
      <c r="Y12" s="140"/>
      <c r="AA12" s="140" t="s">
        <v>181</v>
      </c>
      <c r="AB12" s="140"/>
      <c r="AC12" s="140"/>
      <c r="AD12" s="140"/>
      <c r="AE12" s="140"/>
      <c r="AG12" s="140" t="s">
        <v>210</v>
      </c>
      <c r="AH12" s="140"/>
      <c r="AI12" s="140"/>
      <c r="AJ12" s="140"/>
      <c r="AK12" s="140"/>
    </row>
    <row r="13" spans="1:37" x14ac:dyDescent="0.3">
      <c r="A13" s="64" t="s">
        <v>70</v>
      </c>
      <c r="B13" s="66" t="s">
        <v>8</v>
      </c>
      <c r="C13" s="66" t="s">
        <v>4</v>
      </c>
      <c r="D13" s="69" t="s">
        <v>119</v>
      </c>
      <c r="E13" s="71" t="s">
        <v>124</v>
      </c>
      <c r="I13" s="59" t="s">
        <v>12</v>
      </c>
      <c r="J13" s="60">
        <v>2</v>
      </c>
      <c r="K13" s="60" t="s">
        <v>47</v>
      </c>
      <c r="L13" s="60">
        <v>1</v>
      </c>
      <c r="M13" s="61" t="s">
        <v>23</v>
      </c>
      <c r="O13" s="59" t="s">
        <v>12</v>
      </c>
      <c r="P13" s="60">
        <v>1</v>
      </c>
      <c r="Q13" s="60" t="s">
        <v>47</v>
      </c>
      <c r="R13" s="60">
        <v>1</v>
      </c>
      <c r="S13" s="61" t="s">
        <v>23</v>
      </c>
      <c r="U13" s="59" t="s">
        <v>12</v>
      </c>
      <c r="V13" s="60">
        <v>0</v>
      </c>
      <c r="W13" s="60" t="s">
        <v>47</v>
      </c>
      <c r="X13" s="60">
        <v>2</v>
      </c>
      <c r="Y13" s="61" t="s">
        <v>23</v>
      </c>
      <c r="AA13" s="59" t="s">
        <v>12</v>
      </c>
      <c r="AB13" s="60">
        <v>0</v>
      </c>
      <c r="AC13" s="60" t="s">
        <v>47</v>
      </c>
      <c r="AD13" s="60">
        <v>1</v>
      </c>
      <c r="AE13" s="61" t="s">
        <v>23</v>
      </c>
      <c r="AG13" s="62" t="s">
        <v>12</v>
      </c>
      <c r="AH13" s="60" t="s">
        <v>209</v>
      </c>
      <c r="AI13" s="60" t="s">
        <v>47</v>
      </c>
      <c r="AJ13" s="60" t="s">
        <v>209</v>
      </c>
      <c r="AK13" s="62" t="s">
        <v>23</v>
      </c>
    </row>
    <row r="14" spans="1:37" x14ac:dyDescent="0.3">
      <c r="A14" s="64" t="s">
        <v>71</v>
      </c>
      <c r="B14" s="66" t="s">
        <v>8</v>
      </c>
      <c r="C14" s="69" t="s">
        <v>5</v>
      </c>
      <c r="D14" s="66" t="s">
        <v>118</v>
      </c>
      <c r="E14" s="71" t="s">
        <v>122</v>
      </c>
      <c r="I14" s="141" t="s">
        <v>204</v>
      </c>
      <c r="J14" s="141"/>
      <c r="K14" s="141"/>
      <c r="L14" s="141"/>
      <c r="M14" s="141"/>
      <c r="O14" s="142" t="s">
        <v>198</v>
      </c>
      <c r="P14" s="142"/>
      <c r="Q14" s="142"/>
      <c r="R14" s="142"/>
      <c r="S14" s="142"/>
      <c r="U14" s="141" t="s">
        <v>190</v>
      </c>
      <c r="V14" s="141"/>
      <c r="W14" s="141"/>
      <c r="X14" s="141"/>
      <c r="Y14" s="141"/>
      <c r="AA14" s="142" t="s">
        <v>182</v>
      </c>
      <c r="AB14" s="142"/>
      <c r="AC14" s="142"/>
      <c r="AD14" s="142"/>
      <c r="AE14" s="142"/>
      <c r="AG14" s="141" t="s">
        <v>211</v>
      </c>
      <c r="AH14" s="141"/>
      <c r="AI14" s="141"/>
      <c r="AJ14" s="141"/>
      <c r="AK14" s="141"/>
    </row>
    <row r="15" spans="1:37" x14ac:dyDescent="0.3">
      <c r="A15" s="65" t="s">
        <v>72</v>
      </c>
      <c r="B15" s="66" t="s">
        <v>8</v>
      </c>
      <c r="C15" s="66" t="s">
        <v>19</v>
      </c>
      <c r="D15" s="66" t="s">
        <v>118</v>
      </c>
      <c r="E15" s="71" t="s">
        <v>121</v>
      </c>
      <c r="I15" s="59" t="s">
        <v>5</v>
      </c>
      <c r="J15" s="60">
        <v>1</v>
      </c>
      <c r="K15" s="60" t="s">
        <v>47</v>
      </c>
      <c r="L15" s="60">
        <v>2</v>
      </c>
      <c r="M15" s="61" t="s">
        <v>17</v>
      </c>
      <c r="O15" s="59" t="s">
        <v>5</v>
      </c>
      <c r="P15" s="60">
        <v>1</v>
      </c>
      <c r="Q15" s="60" t="s">
        <v>47</v>
      </c>
      <c r="R15" s="60">
        <v>1</v>
      </c>
      <c r="S15" s="61" t="s">
        <v>17</v>
      </c>
      <c r="U15" s="59" t="s">
        <v>5</v>
      </c>
      <c r="V15" s="60">
        <v>3</v>
      </c>
      <c r="W15" s="60" t="s">
        <v>47</v>
      </c>
      <c r="X15" s="60">
        <v>2</v>
      </c>
      <c r="Y15" s="61" t="s">
        <v>17</v>
      </c>
      <c r="AA15" s="59" t="s">
        <v>5</v>
      </c>
      <c r="AB15" s="60">
        <v>1</v>
      </c>
      <c r="AC15" s="60" t="s">
        <v>47</v>
      </c>
      <c r="AD15" s="60">
        <v>2</v>
      </c>
      <c r="AE15" s="61" t="s">
        <v>17</v>
      </c>
      <c r="AG15" s="62" t="s">
        <v>5</v>
      </c>
      <c r="AH15" s="60">
        <v>1</v>
      </c>
      <c r="AI15" s="60" t="s">
        <v>47</v>
      </c>
      <c r="AJ15" s="60">
        <v>2</v>
      </c>
      <c r="AK15" s="62" t="s">
        <v>17</v>
      </c>
    </row>
    <row r="16" spans="1:37" x14ac:dyDescent="0.3">
      <c r="A16" s="64" t="s">
        <v>73</v>
      </c>
      <c r="B16" s="66" t="s">
        <v>8</v>
      </c>
      <c r="C16" s="69" t="s">
        <v>5</v>
      </c>
      <c r="D16" s="66" t="s">
        <v>118</v>
      </c>
      <c r="E16" s="71" t="s">
        <v>122</v>
      </c>
      <c r="O16" s="58"/>
      <c r="P16" s="52"/>
      <c r="Q16" s="52"/>
      <c r="R16" s="52"/>
      <c r="S16" s="53"/>
      <c r="U16" s="58"/>
      <c r="V16" s="52"/>
      <c r="W16" s="52"/>
      <c r="X16" s="52"/>
      <c r="Y16" s="53"/>
      <c r="AA16" s="58"/>
      <c r="AB16" s="52"/>
      <c r="AC16" s="52"/>
      <c r="AD16" s="52"/>
      <c r="AE16" s="53"/>
    </row>
    <row r="17" spans="1:37" x14ac:dyDescent="0.3">
      <c r="A17" s="65" t="s">
        <v>74</v>
      </c>
      <c r="B17" s="66" t="s">
        <v>15</v>
      </c>
      <c r="C17" s="66" t="s">
        <v>6</v>
      </c>
      <c r="D17" s="66" t="s">
        <v>118</v>
      </c>
      <c r="E17" s="71" t="s">
        <v>123</v>
      </c>
      <c r="I17" s="140" t="s">
        <v>195</v>
      </c>
      <c r="J17" s="140"/>
      <c r="K17" s="140"/>
      <c r="L17" s="140"/>
      <c r="M17" s="140"/>
      <c r="O17" s="140" t="s">
        <v>187</v>
      </c>
      <c r="P17" s="140"/>
      <c r="Q17" s="140"/>
      <c r="R17" s="140"/>
      <c r="S17" s="140"/>
      <c r="U17" s="140" t="s">
        <v>179</v>
      </c>
      <c r="V17" s="140"/>
      <c r="W17" s="140"/>
      <c r="X17" s="140"/>
      <c r="Y17" s="140"/>
      <c r="AA17" s="140" t="s">
        <v>177</v>
      </c>
      <c r="AB17" s="140"/>
      <c r="AC17" s="140"/>
      <c r="AD17" s="140"/>
      <c r="AE17" s="140"/>
      <c r="AG17" s="140" t="s">
        <v>212</v>
      </c>
      <c r="AH17" s="140"/>
      <c r="AI17" s="140"/>
      <c r="AJ17" s="140"/>
      <c r="AK17" s="140"/>
    </row>
    <row r="18" spans="1:37" x14ac:dyDescent="0.3">
      <c r="A18" s="65" t="s">
        <v>75</v>
      </c>
      <c r="B18" s="66" t="s">
        <v>8</v>
      </c>
      <c r="C18" s="66" t="s">
        <v>19</v>
      </c>
      <c r="D18" s="66" t="s">
        <v>124</v>
      </c>
      <c r="E18" s="71" t="s">
        <v>121</v>
      </c>
      <c r="I18" s="59" t="s">
        <v>12</v>
      </c>
      <c r="J18" s="60">
        <v>2</v>
      </c>
      <c r="K18" s="60" t="s">
        <v>47</v>
      </c>
      <c r="L18" s="60">
        <v>1</v>
      </c>
      <c r="M18" s="61" t="s">
        <v>23</v>
      </c>
      <c r="O18" s="59" t="s">
        <v>12</v>
      </c>
      <c r="P18" s="60">
        <v>0</v>
      </c>
      <c r="Q18" s="60" t="s">
        <v>47</v>
      </c>
      <c r="R18" s="60">
        <v>1</v>
      </c>
      <c r="S18" s="61" t="s">
        <v>23</v>
      </c>
      <c r="U18" s="59" t="s">
        <v>12</v>
      </c>
      <c r="V18" s="60">
        <v>1</v>
      </c>
      <c r="W18" s="60" t="s">
        <v>47</v>
      </c>
      <c r="X18" s="60">
        <v>2</v>
      </c>
      <c r="Y18" s="61" t="s">
        <v>23</v>
      </c>
      <c r="AA18" s="59" t="s">
        <v>12</v>
      </c>
      <c r="AB18" s="60">
        <v>1</v>
      </c>
      <c r="AC18" s="60" t="s">
        <v>47</v>
      </c>
      <c r="AD18" s="60">
        <v>1</v>
      </c>
      <c r="AE18" s="61" t="s">
        <v>23</v>
      </c>
      <c r="AG18" s="62" t="s">
        <v>12</v>
      </c>
      <c r="AH18" s="60" t="s">
        <v>209</v>
      </c>
      <c r="AI18" s="60" t="s">
        <v>47</v>
      </c>
      <c r="AJ18" s="60" t="s">
        <v>209</v>
      </c>
      <c r="AK18" s="62" t="s">
        <v>23</v>
      </c>
    </row>
    <row r="19" spans="1:37" x14ac:dyDescent="0.3">
      <c r="A19" s="65" t="s">
        <v>76</v>
      </c>
      <c r="B19" s="66" t="s">
        <v>8</v>
      </c>
      <c r="C19" s="66" t="s">
        <v>48</v>
      </c>
      <c r="D19" s="66" t="s">
        <v>118</v>
      </c>
      <c r="E19" s="71" t="s">
        <v>126</v>
      </c>
      <c r="I19" s="142" t="s">
        <v>196</v>
      </c>
      <c r="J19" s="142"/>
      <c r="K19" s="142"/>
      <c r="L19" s="142"/>
      <c r="M19" s="142"/>
      <c r="O19" s="141" t="s">
        <v>188</v>
      </c>
      <c r="P19" s="141"/>
      <c r="Q19" s="141"/>
      <c r="R19" s="141"/>
      <c r="S19" s="141"/>
      <c r="U19" s="142" t="s">
        <v>180</v>
      </c>
      <c r="V19" s="142"/>
      <c r="W19" s="142"/>
      <c r="X19" s="142"/>
      <c r="Y19" s="142"/>
      <c r="AA19" s="141" t="s">
        <v>178</v>
      </c>
      <c r="AB19" s="141"/>
      <c r="AC19" s="141"/>
      <c r="AD19" s="141"/>
      <c r="AE19" s="141"/>
      <c r="AG19" s="142" t="s">
        <v>213</v>
      </c>
      <c r="AH19" s="142"/>
      <c r="AI19" s="142"/>
      <c r="AJ19" s="142"/>
      <c r="AK19" s="142"/>
    </row>
    <row r="20" spans="1:37" x14ac:dyDescent="0.3">
      <c r="A20" s="64" t="s">
        <v>85</v>
      </c>
      <c r="B20" s="66" t="s">
        <v>8</v>
      </c>
      <c r="C20" s="66" t="s">
        <v>19</v>
      </c>
      <c r="D20" s="66" t="s">
        <v>118</v>
      </c>
      <c r="E20" s="69" t="s">
        <v>121</v>
      </c>
      <c r="I20" s="59" t="s">
        <v>5</v>
      </c>
      <c r="J20" s="60">
        <v>1</v>
      </c>
      <c r="K20" s="60" t="s">
        <v>47</v>
      </c>
      <c r="L20" s="60">
        <v>0</v>
      </c>
      <c r="M20" s="61" t="s">
        <v>17</v>
      </c>
      <c r="O20" s="59" t="s">
        <v>5</v>
      </c>
      <c r="P20" s="60">
        <v>1</v>
      </c>
      <c r="Q20" s="60" t="s">
        <v>47</v>
      </c>
      <c r="R20" s="60">
        <v>2</v>
      </c>
      <c r="S20" s="61" t="s">
        <v>17</v>
      </c>
      <c r="U20" s="59" t="s">
        <v>5</v>
      </c>
      <c r="V20" s="60">
        <v>1</v>
      </c>
      <c r="W20" s="60" t="s">
        <v>47</v>
      </c>
      <c r="X20" s="60">
        <v>3</v>
      </c>
      <c r="Y20" s="61" t="s">
        <v>17</v>
      </c>
      <c r="AA20" s="59" t="s">
        <v>5</v>
      </c>
      <c r="AB20" s="60">
        <v>1</v>
      </c>
      <c r="AC20" s="60" t="s">
        <v>47</v>
      </c>
      <c r="AD20" s="60">
        <v>2</v>
      </c>
      <c r="AE20" s="61" t="s">
        <v>17</v>
      </c>
      <c r="AG20" s="62" t="s">
        <v>5</v>
      </c>
      <c r="AH20" s="60">
        <v>2</v>
      </c>
      <c r="AI20" s="60" t="s">
        <v>47</v>
      </c>
      <c r="AJ20" s="60">
        <v>1</v>
      </c>
      <c r="AK20" s="62" t="s">
        <v>17</v>
      </c>
    </row>
    <row r="21" spans="1:37" x14ac:dyDescent="0.3">
      <c r="A21" s="64" t="s">
        <v>78</v>
      </c>
      <c r="B21" s="67" t="s">
        <v>8</v>
      </c>
      <c r="C21" s="72" t="s">
        <v>17</v>
      </c>
      <c r="D21" s="67" t="s">
        <v>118</v>
      </c>
      <c r="E21" s="70" t="s">
        <v>119</v>
      </c>
      <c r="O21" s="58"/>
      <c r="P21" s="52"/>
      <c r="Q21" s="52"/>
      <c r="R21" s="52"/>
      <c r="S21" s="53"/>
      <c r="U21" s="58"/>
      <c r="V21" s="52"/>
      <c r="W21" s="52"/>
      <c r="X21" s="52"/>
      <c r="Y21" s="53"/>
      <c r="AA21" s="58"/>
      <c r="AB21" s="52"/>
      <c r="AC21" s="52"/>
      <c r="AD21" s="52"/>
      <c r="AE21" s="53"/>
    </row>
    <row r="22" spans="1:37" x14ac:dyDescent="0.3">
      <c r="A22" s="64" t="s">
        <v>79</v>
      </c>
      <c r="B22" s="67" t="s">
        <v>8</v>
      </c>
      <c r="C22" s="72" t="s">
        <v>26</v>
      </c>
      <c r="D22" s="67" t="s">
        <v>122</v>
      </c>
      <c r="E22" s="70" t="s">
        <v>119</v>
      </c>
      <c r="I22" s="140" t="s">
        <v>214</v>
      </c>
      <c r="J22" s="140"/>
      <c r="K22" s="140"/>
      <c r="L22" s="140"/>
      <c r="M22" s="140"/>
      <c r="O22" s="140" t="s">
        <v>216</v>
      </c>
      <c r="P22" s="140"/>
      <c r="Q22" s="140"/>
      <c r="R22" s="140"/>
      <c r="S22" s="140"/>
    </row>
    <row r="23" spans="1:37" x14ac:dyDescent="0.3">
      <c r="A23" s="64" t="s">
        <v>80</v>
      </c>
      <c r="B23" s="67" t="s">
        <v>8</v>
      </c>
      <c r="C23" s="72" t="s">
        <v>17</v>
      </c>
      <c r="D23" s="70" t="s">
        <v>119</v>
      </c>
      <c r="E23" s="72" t="s">
        <v>121</v>
      </c>
      <c r="I23" s="59" t="s">
        <v>12</v>
      </c>
      <c r="J23" s="60" t="s">
        <v>209</v>
      </c>
      <c r="K23" s="60" t="s">
        <v>47</v>
      </c>
      <c r="L23" s="60" t="s">
        <v>209</v>
      </c>
      <c r="M23" s="61" t="s">
        <v>23</v>
      </c>
      <c r="O23" s="62" t="s">
        <v>12</v>
      </c>
      <c r="P23" s="60" t="s">
        <v>209</v>
      </c>
      <c r="Q23" s="60" t="s">
        <v>47</v>
      </c>
      <c r="R23" s="60" t="s">
        <v>209</v>
      </c>
      <c r="S23" s="62" t="s">
        <v>23</v>
      </c>
    </row>
    <row r="24" spans="1:37" x14ac:dyDescent="0.3">
      <c r="A24" s="65" t="s">
        <v>81</v>
      </c>
      <c r="B24" s="67" t="s">
        <v>8</v>
      </c>
      <c r="C24" s="67" t="s">
        <v>15</v>
      </c>
      <c r="D24" s="67" t="s">
        <v>120</v>
      </c>
      <c r="E24" s="72" t="s">
        <v>121</v>
      </c>
      <c r="I24" s="141" t="s">
        <v>215</v>
      </c>
      <c r="J24" s="141"/>
      <c r="K24" s="141"/>
      <c r="L24" s="141"/>
      <c r="M24" s="141"/>
      <c r="O24" s="142" t="s">
        <v>217</v>
      </c>
      <c r="P24" s="142"/>
      <c r="Q24" s="142"/>
      <c r="R24" s="142"/>
      <c r="S24" s="142"/>
    </row>
    <row r="25" spans="1:37" x14ac:dyDescent="0.3">
      <c r="I25" s="59" t="s">
        <v>5</v>
      </c>
      <c r="J25" s="60">
        <v>1</v>
      </c>
      <c r="K25" s="60" t="s">
        <v>47</v>
      </c>
      <c r="L25" s="60">
        <v>2</v>
      </c>
      <c r="M25" s="61" t="s">
        <v>17</v>
      </c>
      <c r="O25" s="62" t="s">
        <v>5</v>
      </c>
      <c r="P25" s="60">
        <v>0</v>
      </c>
      <c r="Q25" s="60" t="s">
        <v>47</v>
      </c>
      <c r="R25" s="60">
        <v>3</v>
      </c>
      <c r="S25" s="62" t="s">
        <v>17</v>
      </c>
    </row>
    <row r="86" spans="15:19" x14ac:dyDescent="0.3">
      <c r="O86" s="58"/>
      <c r="P86" s="52"/>
      <c r="Q86" s="52"/>
      <c r="R86" s="52"/>
      <c r="S86" s="53"/>
    </row>
    <row r="87" spans="15:19" x14ac:dyDescent="0.3">
      <c r="O87" s="58"/>
      <c r="P87" s="52"/>
      <c r="Q87" s="52"/>
      <c r="R87" s="52"/>
      <c r="S87" s="53"/>
    </row>
    <row r="88" spans="15:19" x14ac:dyDescent="0.3">
      <c r="O88" s="58"/>
      <c r="P88" s="52"/>
      <c r="Q88" s="52"/>
      <c r="R88" s="52"/>
      <c r="S88" s="53"/>
    </row>
    <row r="89" spans="15:19" x14ac:dyDescent="0.3">
      <c r="O89" s="58"/>
      <c r="P89" s="52"/>
      <c r="Q89" s="52"/>
      <c r="R89" s="52"/>
      <c r="S89" s="53"/>
    </row>
    <row r="90" spans="15:19" x14ac:dyDescent="0.3">
      <c r="O90" s="58"/>
      <c r="P90" s="52"/>
      <c r="Q90" s="52"/>
      <c r="R90" s="52"/>
      <c r="S90" s="53"/>
    </row>
    <row r="91" spans="15:19" x14ac:dyDescent="0.3">
      <c r="O91" s="58"/>
      <c r="P91" s="52"/>
      <c r="Q91" s="52"/>
      <c r="R91" s="52"/>
      <c r="S91" s="53"/>
    </row>
    <row r="92" spans="15:19" x14ac:dyDescent="0.3">
      <c r="O92" s="58"/>
      <c r="P92" s="52"/>
      <c r="Q92" s="52"/>
      <c r="R92" s="52"/>
      <c r="S92" s="53"/>
    </row>
    <row r="93" spans="15:19" x14ac:dyDescent="0.3">
      <c r="O93" s="58"/>
      <c r="P93" s="52"/>
      <c r="Q93" s="52"/>
      <c r="R93" s="52"/>
      <c r="S93" s="53"/>
    </row>
    <row r="94" spans="15:19" x14ac:dyDescent="0.3">
      <c r="O94" s="58"/>
      <c r="P94" s="52"/>
      <c r="Q94" s="52"/>
      <c r="R94" s="52"/>
      <c r="S94" s="53"/>
    </row>
    <row r="95" spans="15:19" x14ac:dyDescent="0.3">
      <c r="O95" s="58"/>
      <c r="P95" s="52"/>
      <c r="Q95" s="52"/>
      <c r="R95" s="52"/>
      <c r="S95" s="53"/>
    </row>
    <row r="96" spans="15:19" x14ac:dyDescent="0.3">
      <c r="O96" s="58"/>
      <c r="P96" s="52"/>
      <c r="Q96" s="52"/>
      <c r="R96" s="52"/>
      <c r="S96" s="53"/>
    </row>
    <row r="97" spans="15:19" x14ac:dyDescent="0.3">
      <c r="O97" s="58"/>
      <c r="P97" s="52"/>
      <c r="Q97" s="52"/>
      <c r="R97" s="52"/>
      <c r="S97" s="53"/>
    </row>
    <row r="98" spans="15:19" x14ac:dyDescent="0.3">
      <c r="O98" s="58"/>
      <c r="P98" s="52"/>
      <c r="Q98" s="52"/>
      <c r="R98" s="52"/>
      <c r="S98" s="53"/>
    </row>
    <row r="99" spans="15:19" x14ac:dyDescent="0.3">
      <c r="O99" s="58"/>
      <c r="P99" s="52"/>
      <c r="Q99" s="52"/>
      <c r="R99" s="52"/>
      <c r="S99" s="53"/>
    </row>
    <row r="100" spans="15:19" x14ac:dyDescent="0.3">
      <c r="O100" s="58"/>
      <c r="P100" s="52"/>
      <c r="Q100" s="52"/>
      <c r="R100" s="52"/>
      <c r="S100" s="53"/>
    </row>
    <row r="101" spans="15:19" x14ac:dyDescent="0.3">
      <c r="O101" s="58"/>
      <c r="P101" s="52"/>
      <c r="Q101" s="52"/>
      <c r="R101" s="52"/>
      <c r="S101" s="53"/>
    </row>
    <row r="102" spans="15:19" x14ac:dyDescent="0.3">
      <c r="O102" s="58"/>
      <c r="P102" s="52"/>
      <c r="Q102" s="52"/>
      <c r="R102" s="52"/>
      <c r="S102" s="53"/>
    </row>
    <row r="103" spans="15:19" x14ac:dyDescent="0.3">
      <c r="O103" s="58"/>
      <c r="P103" s="52"/>
      <c r="Q103" s="52"/>
      <c r="R103" s="52"/>
      <c r="S103" s="53"/>
    </row>
    <row r="104" spans="15:19" x14ac:dyDescent="0.3">
      <c r="O104" s="58"/>
      <c r="P104" s="52"/>
      <c r="Q104" s="52"/>
      <c r="R104" s="52"/>
      <c r="S104" s="53"/>
    </row>
    <row r="105" spans="15:19" x14ac:dyDescent="0.3">
      <c r="O105" s="58"/>
      <c r="P105" s="52"/>
      <c r="Q105" s="52"/>
      <c r="R105" s="52"/>
      <c r="S105" s="53"/>
    </row>
    <row r="106" spans="15:19" x14ac:dyDescent="0.3">
      <c r="O106" s="58"/>
      <c r="P106" s="52"/>
      <c r="Q106" s="52"/>
      <c r="R106" s="52"/>
      <c r="S106" s="53"/>
    </row>
    <row r="107" spans="15:19" x14ac:dyDescent="0.3">
      <c r="O107" s="58"/>
      <c r="P107" s="52"/>
      <c r="Q107" s="52"/>
      <c r="R107" s="52"/>
      <c r="S107" s="53"/>
    </row>
    <row r="108" spans="15:19" x14ac:dyDescent="0.3">
      <c r="O108" s="58"/>
      <c r="P108" s="52"/>
      <c r="Q108" s="52"/>
      <c r="R108" s="52"/>
      <c r="S108" s="53"/>
    </row>
    <row r="109" spans="15:19" x14ac:dyDescent="0.3">
      <c r="O109" s="58"/>
      <c r="P109" s="52"/>
      <c r="Q109" s="52"/>
      <c r="R109" s="52"/>
      <c r="S109" s="53"/>
    </row>
    <row r="110" spans="15:19" x14ac:dyDescent="0.3">
      <c r="O110" s="58"/>
      <c r="P110" s="52"/>
      <c r="Q110" s="52"/>
      <c r="R110" s="52"/>
      <c r="S110" s="53"/>
    </row>
    <row r="111" spans="15:19" x14ac:dyDescent="0.3">
      <c r="O111" s="58"/>
      <c r="P111" s="52"/>
      <c r="Q111" s="52"/>
      <c r="R111" s="52"/>
      <c r="S111" s="53"/>
    </row>
    <row r="112" spans="15:19" x14ac:dyDescent="0.3">
      <c r="O112" s="58"/>
      <c r="P112" s="52"/>
      <c r="Q112" s="52"/>
      <c r="R112" s="52"/>
      <c r="S112" s="53"/>
    </row>
    <row r="113" spans="15:19" x14ac:dyDescent="0.3">
      <c r="O113" s="58"/>
      <c r="P113" s="52"/>
      <c r="Q113" s="52"/>
      <c r="R113" s="52"/>
      <c r="S113" s="53"/>
    </row>
    <row r="114" spans="15:19" x14ac:dyDescent="0.3">
      <c r="O114" s="58"/>
      <c r="P114" s="52"/>
      <c r="Q114" s="52"/>
      <c r="R114" s="52"/>
      <c r="S114" s="53"/>
    </row>
    <row r="115" spans="15:19" x14ac:dyDescent="0.3">
      <c r="O115" s="58"/>
      <c r="P115" s="52"/>
      <c r="Q115" s="52"/>
      <c r="R115" s="52"/>
      <c r="S115" s="53"/>
    </row>
    <row r="116" spans="15:19" x14ac:dyDescent="0.3">
      <c r="O116" s="58"/>
      <c r="P116" s="52"/>
      <c r="Q116" s="52"/>
      <c r="R116" s="52"/>
      <c r="S116" s="53"/>
    </row>
    <row r="117" spans="15:19" x14ac:dyDescent="0.3">
      <c r="O117" s="58"/>
      <c r="P117" s="52"/>
      <c r="Q117" s="52"/>
      <c r="R117" s="52"/>
      <c r="S117" s="53"/>
    </row>
    <row r="118" spans="15:19" x14ac:dyDescent="0.3">
      <c r="O118" s="58"/>
      <c r="P118" s="52"/>
      <c r="Q118" s="52"/>
      <c r="R118" s="52"/>
      <c r="S118" s="53"/>
    </row>
    <row r="119" spans="15:19" x14ac:dyDescent="0.3">
      <c r="O119" s="58"/>
      <c r="P119" s="52"/>
      <c r="Q119" s="52"/>
      <c r="R119" s="52"/>
      <c r="S119" s="53"/>
    </row>
    <row r="120" spans="15:19" x14ac:dyDescent="0.3">
      <c r="O120" s="58"/>
      <c r="P120" s="52"/>
      <c r="Q120" s="52"/>
      <c r="R120" s="52"/>
      <c r="S120" s="53"/>
    </row>
    <row r="121" spans="15:19" x14ac:dyDescent="0.3">
      <c r="O121" s="58"/>
      <c r="P121" s="52"/>
      <c r="Q121" s="52"/>
      <c r="R121" s="52"/>
      <c r="S121" s="53"/>
    </row>
    <row r="122" spans="15:19" x14ac:dyDescent="0.3">
      <c r="O122" s="58"/>
      <c r="P122" s="52"/>
      <c r="Q122" s="52"/>
      <c r="R122" s="52"/>
      <c r="S122" s="53"/>
    </row>
    <row r="123" spans="15:19" x14ac:dyDescent="0.3">
      <c r="O123" s="58"/>
      <c r="P123" s="52"/>
      <c r="Q123" s="52"/>
      <c r="R123" s="52"/>
      <c r="S123" s="53"/>
    </row>
    <row r="124" spans="15:19" x14ac:dyDescent="0.3">
      <c r="O124" s="58"/>
      <c r="P124" s="52"/>
      <c r="Q124" s="52"/>
      <c r="R124" s="52"/>
      <c r="S124" s="53"/>
    </row>
    <row r="125" spans="15:19" x14ac:dyDescent="0.3">
      <c r="O125" s="58"/>
      <c r="P125" s="52"/>
      <c r="Q125" s="52"/>
      <c r="R125" s="52"/>
      <c r="S125" s="53"/>
    </row>
    <row r="126" spans="15:19" x14ac:dyDescent="0.3">
      <c r="O126" s="58"/>
      <c r="P126" s="52"/>
      <c r="Q126" s="52"/>
      <c r="R126" s="52"/>
      <c r="S126" s="53"/>
    </row>
    <row r="127" spans="15:19" x14ac:dyDescent="0.3">
      <c r="O127" s="58"/>
      <c r="P127" s="52"/>
      <c r="Q127" s="52"/>
      <c r="R127" s="52"/>
      <c r="S127" s="53"/>
    </row>
    <row r="128" spans="15:19" x14ac:dyDescent="0.3">
      <c r="O128" s="58"/>
      <c r="P128" s="52"/>
      <c r="Q128" s="52"/>
      <c r="R128" s="52"/>
      <c r="S128" s="53"/>
    </row>
    <row r="129" spans="15:19" x14ac:dyDescent="0.3">
      <c r="O129" s="58"/>
      <c r="P129" s="52"/>
      <c r="Q129" s="52"/>
      <c r="R129" s="52"/>
      <c r="S129" s="53"/>
    </row>
    <row r="130" spans="15:19" x14ac:dyDescent="0.3">
      <c r="O130" s="58"/>
      <c r="P130" s="52"/>
      <c r="Q130" s="52"/>
      <c r="R130" s="52"/>
      <c r="S130" s="53"/>
    </row>
    <row r="131" spans="15:19" x14ac:dyDescent="0.3">
      <c r="O131" s="58"/>
      <c r="P131" s="52"/>
      <c r="Q131" s="52"/>
      <c r="R131" s="52"/>
      <c r="S131" s="53"/>
    </row>
    <row r="132" spans="15:19" x14ac:dyDescent="0.3">
      <c r="O132" s="58"/>
      <c r="P132" s="52"/>
      <c r="Q132" s="52"/>
      <c r="R132" s="52"/>
      <c r="S132" s="53"/>
    </row>
    <row r="133" spans="15:19" x14ac:dyDescent="0.3">
      <c r="O133" s="58"/>
      <c r="P133" s="52"/>
      <c r="Q133" s="52"/>
      <c r="R133" s="52"/>
      <c r="S133" s="53"/>
    </row>
    <row r="134" spans="15:19" x14ac:dyDescent="0.3">
      <c r="O134" s="58"/>
      <c r="P134" s="52"/>
      <c r="Q134" s="52"/>
      <c r="R134" s="52"/>
      <c r="S134" s="53"/>
    </row>
    <row r="135" spans="15:19" x14ac:dyDescent="0.3">
      <c r="O135" s="58"/>
      <c r="P135" s="52"/>
      <c r="Q135" s="52"/>
      <c r="R135" s="52"/>
      <c r="S135" s="53"/>
    </row>
    <row r="136" spans="15:19" x14ac:dyDescent="0.3">
      <c r="O136" s="58"/>
      <c r="P136" s="52"/>
      <c r="Q136" s="52"/>
      <c r="R136" s="52"/>
      <c r="S136" s="53"/>
    </row>
    <row r="137" spans="15:19" x14ac:dyDescent="0.3">
      <c r="O137" s="58"/>
      <c r="P137" s="52"/>
      <c r="Q137" s="52"/>
      <c r="R137" s="52"/>
      <c r="S137" s="53"/>
    </row>
    <row r="138" spans="15:19" x14ac:dyDescent="0.3">
      <c r="O138" s="58"/>
      <c r="P138" s="52"/>
      <c r="Q138" s="52"/>
      <c r="R138" s="52"/>
      <c r="S138" s="53"/>
    </row>
    <row r="139" spans="15:19" x14ac:dyDescent="0.3">
      <c r="O139" s="58"/>
      <c r="P139" s="52"/>
      <c r="Q139" s="52"/>
      <c r="R139" s="52"/>
      <c r="S139" s="53"/>
    </row>
    <row r="140" spans="15:19" x14ac:dyDescent="0.3">
      <c r="O140" s="58"/>
      <c r="P140" s="52"/>
      <c r="Q140" s="52"/>
      <c r="R140" s="52"/>
      <c r="S140" s="53"/>
    </row>
    <row r="141" spans="15:19" x14ac:dyDescent="0.3">
      <c r="O141" s="58"/>
      <c r="P141" s="52"/>
      <c r="Q141" s="52"/>
      <c r="R141" s="52"/>
      <c r="S141" s="53"/>
    </row>
    <row r="142" spans="15:19" x14ac:dyDescent="0.3">
      <c r="O142" s="58"/>
      <c r="P142" s="52"/>
      <c r="Q142" s="52"/>
      <c r="R142" s="52"/>
      <c r="S142" s="53"/>
    </row>
    <row r="143" spans="15:19" x14ac:dyDescent="0.3">
      <c r="O143" s="58"/>
      <c r="P143" s="52"/>
      <c r="Q143" s="52"/>
      <c r="R143" s="52"/>
      <c r="S143" s="53"/>
    </row>
    <row r="144" spans="15:19" x14ac:dyDescent="0.3">
      <c r="O144" s="58"/>
      <c r="P144" s="52"/>
      <c r="Q144" s="52"/>
      <c r="R144" s="52"/>
      <c r="S144" s="53"/>
    </row>
    <row r="145" spans="15:19" x14ac:dyDescent="0.3">
      <c r="O145" s="58"/>
      <c r="P145" s="52"/>
      <c r="Q145" s="52"/>
      <c r="R145" s="52"/>
      <c r="S145" s="53"/>
    </row>
    <row r="146" spans="15:19" x14ac:dyDescent="0.3">
      <c r="O146" s="58"/>
      <c r="P146" s="52"/>
      <c r="Q146" s="52"/>
      <c r="R146" s="52"/>
      <c r="S146" s="53"/>
    </row>
    <row r="147" spans="15:19" x14ac:dyDescent="0.3">
      <c r="O147" s="58"/>
      <c r="P147" s="52"/>
      <c r="Q147" s="52"/>
      <c r="R147" s="52"/>
      <c r="S147" s="53"/>
    </row>
    <row r="148" spans="15:19" x14ac:dyDescent="0.3">
      <c r="O148" s="58"/>
      <c r="P148" s="52"/>
      <c r="Q148" s="52"/>
      <c r="R148" s="52"/>
      <c r="S148" s="53"/>
    </row>
    <row r="149" spans="15:19" x14ac:dyDescent="0.3">
      <c r="O149" s="58"/>
      <c r="P149" s="52"/>
      <c r="Q149" s="52"/>
      <c r="R149" s="52"/>
      <c r="S149" s="53"/>
    </row>
    <row r="150" spans="15:19" x14ac:dyDescent="0.3">
      <c r="O150" s="58"/>
      <c r="P150" s="52"/>
      <c r="Q150" s="52"/>
      <c r="R150" s="52"/>
      <c r="S150" s="53"/>
    </row>
    <row r="151" spans="15:19" x14ac:dyDescent="0.3">
      <c r="O151" s="58"/>
      <c r="P151" s="52"/>
      <c r="Q151" s="52"/>
      <c r="R151" s="52"/>
      <c r="S151" s="53"/>
    </row>
    <row r="152" spans="15:19" x14ac:dyDescent="0.3">
      <c r="O152" s="58"/>
      <c r="P152" s="52"/>
      <c r="Q152" s="52"/>
      <c r="R152" s="52"/>
      <c r="S152" s="53"/>
    </row>
    <row r="153" spans="15:19" x14ac:dyDescent="0.3">
      <c r="O153" s="58"/>
      <c r="P153" s="52"/>
      <c r="Q153" s="52"/>
      <c r="R153" s="52"/>
      <c r="S153" s="53"/>
    </row>
    <row r="154" spans="15:19" x14ac:dyDescent="0.3">
      <c r="O154" s="58"/>
      <c r="P154" s="52"/>
      <c r="Q154" s="52"/>
      <c r="R154" s="52"/>
      <c r="S154" s="53"/>
    </row>
    <row r="155" spans="15:19" x14ac:dyDescent="0.3">
      <c r="O155" s="58"/>
      <c r="P155" s="52"/>
      <c r="Q155" s="52"/>
      <c r="R155" s="52"/>
      <c r="S155" s="53"/>
    </row>
    <row r="156" spans="15:19" x14ac:dyDescent="0.3">
      <c r="O156" s="58"/>
      <c r="P156" s="52"/>
      <c r="Q156" s="52"/>
      <c r="R156" s="52"/>
      <c r="S156" s="53"/>
    </row>
    <row r="157" spans="15:19" x14ac:dyDescent="0.3">
      <c r="O157" s="58"/>
      <c r="P157" s="52"/>
      <c r="Q157" s="52"/>
      <c r="R157" s="52"/>
      <c r="S157" s="53"/>
    </row>
    <row r="158" spans="15:19" x14ac:dyDescent="0.3">
      <c r="O158" s="58"/>
      <c r="P158" s="52"/>
      <c r="Q158" s="52"/>
      <c r="R158" s="52"/>
      <c r="S158" s="53"/>
    </row>
    <row r="159" spans="15:19" x14ac:dyDescent="0.3">
      <c r="O159" s="58"/>
      <c r="P159" s="52"/>
      <c r="Q159" s="52"/>
      <c r="R159" s="52"/>
      <c r="S159" s="53"/>
    </row>
    <row r="160" spans="15:19" x14ac:dyDescent="0.3">
      <c r="O160" s="58"/>
      <c r="P160" s="52"/>
      <c r="Q160" s="52"/>
      <c r="R160" s="52"/>
      <c r="S160" s="53"/>
    </row>
    <row r="161" spans="15:19" x14ac:dyDescent="0.3">
      <c r="O161" s="58"/>
      <c r="P161" s="52"/>
      <c r="Q161" s="52"/>
      <c r="R161" s="52"/>
      <c r="S161" s="53"/>
    </row>
    <row r="162" spans="15:19" x14ac:dyDescent="0.3">
      <c r="O162" s="58"/>
      <c r="P162" s="52"/>
      <c r="Q162" s="52"/>
      <c r="R162" s="52"/>
      <c r="S162" s="53"/>
    </row>
    <row r="163" spans="15:19" x14ac:dyDescent="0.3">
      <c r="O163" s="58"/>
      <c r="P163" s="52"/>
      <c r="Q163" s="52"/>
      <c r="R163" s="52"/>
      <c r="S163" s="53"/>
    </row>
    <row r="164" spans="15:19" x14ac:dyDescent="0.3">
      <c r="O164" s="58"/>
      <c r="P164" s="52"/>
      <c r="Q164" s="52"/>
      <c r="R164" s="52"/>
      <c r="S164" s="53"/>
    </row>
    <row r="165" spans="15:19" x14ac:dyDescent="0.3">
      <c r="O165" s="58"/>
      <c r="P165" s="52"/>
      <c r="Q165" s="52"/>
      <c r="R165" s="52"/>
      <c r="S165" s="53"/>
    </row>
    <row r="166" spans="15:19" x14ac:dyDescent="0.3">
      <c r="O166" s="58"/>
      <c r="P166" s="52"/>
      <c r="Q166" s="52"/>
      <c r="R166" s="52"/>
      <c r="S166" s="53"/>
    </row>
    <row r="167" spans="15:19" x14ac:dyDescent="0.3">
      <c r="O167" s="58"/>
      <c r="P167" s="52"/>
      <c r="Q167" s="52"/>
      <c r="R167" s="52"/>
      <c r="S167" s="53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4"/>
  <sheetViews>
    <sheetView showGridLines="0" zoomScale="90" zoomScaleNormal="90" workbookViewId="0">
      <pane ySplit="2" topLeftCell="A3" activePane="bottomLeft" state="frozen"/>
      <selection pane="bottomLeft" activeCell="O6" sqref="O6"/>
    </sheetView>
  </sheetViews>
  <sheetFormatPr defaultColWidth="9.109375" defaultRowHeight="14.4" x14ac:dyDescent="0.3"/>
  <cols>
    <col min="1" max="1" width="1.5546875" style="1" customWidth="1"/>
    <col min="2" max="2" width="7.88671875" style="2" customWidth="1"/>
    <col min="3" max="3" width="15.33203125" style="2" customWidth="1"/>
    <col min="4" max="4" width="11.88671875" style="2" customWidth="1"/>
    <col min="5" max="5" width="17.88671875" style="1" customWidth="1"/>
    <col min="6" max="8" width="18.88671875" style="1" customWidth="1"/>
    <col min="9" max="9" width="16" style="1" customWidth="1"/>
    <col min="10" max="10" width="2.6640625" style="1" customWidth="1"/>
    <col min="11" max="12" width="0.109375" style="1" customWidth="1"/>
    <col min="13" max="13" width="6.44140625" style="1" customWidth="1"/>
    <col min="14" max="14" width="5.6640625" style="1" customWidth="1"/>
    <col min="15" max="15" width="12.109375" style="1" bestFit="1" customWidth="1"/>
    <col min="16" max="16" width="5.6640625" style="2" customWidth="1"/>
    <col min="17" max="21" width="5.6640625" style="31" customWidth="1"/>
    <col min="22" max="27" width="5.6640625" style="1" customWidth="1"/>
    <col min="28" max="16384" width="9.109375" style="1"/>
  </cols>
  <sheetData>
    <row r="1" spans="2:24" ht="21.75" customHeight="1" thickTop="1" x14ac:dyDescent="0.3">
      <c r="B1" s="76" t="s">
        <v>82</v>
      </c>
      <c r="C1" s="77"/>
      <c r="D1" s="77"/>
      <c r="E1" s="77"/>
      <c r="F1" s="77"/>
      <c r="G1" s="77"/>
      <c r="H1" s="77"/>
      <c r="I1" s="78"/>
      <c r="M1" s="74"/>
      <c r="N1" s="74"/>
      <c r="O1" s="74"/>
      <c r="P1" s="75"/>
      <c r="Q1" s="75"/>
      <c r="R1" s="75"/>
      <c r="S1" s="74"/>
      <c r="T1" s="74"/>
      <c r="U1" s="74"/>
      <c r="V1" s="75"/>
      <c r="W1" s="75"/>
      <c r="X1" s="75"/>
    </row>
    <row r="2" spans="2:24" s="25" customFormat="1" ht="39" customHeight="1" x14ac:dyDescent="0.3">
      <c r="B2" s="24"/>
      <c r="C2" s="41" t="s">
        <v>109</v>
      </c>
      <c r="D2" s="40" t="s">
        <v>46</v>
      </c>
      <c r="E2" s="42" t="s">
        <v>110</v>
      </c>
      <c r="F2" s="40" t="s">
        <v>113</v>
      </c>
      <c r="G2" s="42" t="s">
        <v>111</v>
      </c>
      <c r="H2" s="40" t="s">
        <v>114</v>
      </c>
      <c r="I2" s="43" t="s">
        <v>112</v>
      </c>
      <c r="Q2" s="32"/>
      <c r="R2" s="32"/>
      <c r="S2" s="32"/>
      <c r="T2" s="32"/>
      <c r="U2" s="32"/>
    </row>
    <row r="3" spans="2:24" x14ac:dyDescent="0.3">
      <c r="B3" s="34" t="s">
        <v>86</v>
      </c>
      <c r="C3" s="35" t="str">
        <f t="shared" ref="C3:C25" si="0">K3</f>
        <v>Macélio</v>
      </c>
      <c r="D3" s="35" t="e">
        <f>VLOOKUP(C3,O$3:U$25,2,0)</f>
        <v>#N/A</v>
      </c>
      <c r="E3" s="35" t="e">
        <f>VLOOKUP(C3,O$3:U$25,3,0)</f>
        <v>#N/A</v>
      </c>
      <c r="F3" s="35" t="e">
        <f>VLOOKUP(C3,O$3:U$25,4,0)</f>
        <v>#N/A</v>
      </c>
      <c r="G3" s="35" t="e">
        <f>VLOOKUP(C3,O$3:U$25,5,0)</f>
        <v>#N/A</v>
      </c>
      <c r="H3" s="35" t="e">
        <f>VLOOKUP(C3,O$3:U$25,6,0)</f>
        <v>#N/A</v>
      </c>
      <c r="I3" s="36" t="e">
        <f>VLOOKUP(C3,O$3:U$25,7,0)</f>
        <v>#N/A</v>
      </c>
      <c r="K3" s="1" t="s">
        <v>62</v>
      </c>
      <c r="L3" s="1" t="e">
        <f>#REF!</f>
        <v>#REF!</v>
      </c>
      <c r="O3" s="28" t="s">
        <v>610</v>
      </c>
      <c r="P3" s="26" t="e">
        <f>#REF!</f>
        <v>#REF!</v>
      </c>
      <c r="Q3" s="15"/>
      <c r="R3" s="15"/>
      <c r="S3" s="15"/>
      <c r="T3" s="15"/>
      <c r="U3" s="15"/>
      <c r="V3" s="29"/>
    </row>
    <row r="4" spans="2:24" x14ac:dyDescent="0.3">
      <c r="B4" s="37" t="s">
        <v>87</v>
      </c>
      <c r="C4" s="38" t="str">
        <f t="shared" si="0"/>
        <v>Ivan Alex_1</v>
      </c>
      <c r="D4" s="38" t="e">
        <f t="shared" ref="D4:D25" si="1">VLOOKUP(C4,O$3:U$25,2,0)</f>
        <v>#N/A</v>
      </c>
      <c r="E4" s="38" t="e">
        <f t="shared" ref="E4:E25" si="2">VLOOKUP(C4,O$3:U$25,3,0)</f>
        <v>#N/A</v>
      </c>
      <c r="F4" s="38" t="e">
        <f t="shared" ref="F4:F25" si="3">VLOOKUP(C4,O$3:U$25,4,0)</f>
        <v>#N/A</v>
      </c>
      <c r="G4" s="38" t="e">
        <f t="shared" ref="G4:G25" si="4">VLOOKUP(C4,O$3:U$25,5,0)</f>
        <v>#N/A</v>
      </c>
      <c r="H4" s="38" t="e">
        <f t="shared" ref="H4:H25" si="5">VLOOKUP(C4,O$3:U$25,6,0)</f>
        <v>#N/A</v>
      </c>
      <c r="I4" s="39" t="e">
        <f t="shared" ref="I4:I25" si="6">VLOOKUP(C4,O$3:U$25,7,0)</f>
        <v>#N/A</v>
      </c>
      <c r="K4" s="1" t="s">
        <v>83</v>
      </c>
      <c r="L4" s="1">
        <f>Ivan!Q$11</f>
        <v>0</v>
      </c>
      <c r="O4" s="28" t="s">
        <v>70</v>
      </c>
      <c r="P4" s="26">
        <f>Ivan!Q$11</f>
        <v>0</v>
      </c>
      <c r="Q4" s="33"/>
      <c r="R4" s="33"/>
      <c r="S4" s="33"/>
      <c r="T4" s="33"/>
      <c r="U4" s="33"/>
      <c r="V4" s="29"/>
    </row>
    <row r="5" spans="2:24" x14ac:dyDescent="0.3">
      <c r="B5" s="55" t="s">
        <v>88</v>
      </c>
      <c r="C5" s="56" t="str">
        <f t="shared" si="0"/>
        <v>Luana</v>
      </c>
      <c r="D5" s="56" t="e">
        <f t="shared" si="1"/>
        <v>#REF!</v>
      </c>
      <c r="E5" s="56">
        <f t="shared" si="2"/>
        <v>0</v>
      </c>
      <c r="F5" s="56">
        <f t="shared" si="3"/>
        <v>0</v>
      </c>
      <c r="G5" s="56">
        <f t="shared" si="4"/>
        <v>0</v>
      </c>
      <c r="H5" s="56">
        <f t="shared" si="5"/>
        <v>0</v>
      </c>
      <c r="I5" s="57">
        <f t="shared" si="6"/>
        <v>0</v>
      </c>
      <c r="K5" s="1" t="s">
        <v>67</v>
      </c>
      <c r="L5" s="1" t="e">
        <f>#REF!</f>
        <v>#REF!</v>
      </c>
      <c r="O5" s="28" t="s">
        <v>257</v>
      </c>
      <c r="P5" s="26" t="e">
        <f>#REF!</f>
        <v>#REF!</v>
      </c>
      <c r="Q5" s="15"/>
      <c r="R5" s="15"/>
      <c r="S5" s="15"/>
      <c r="T5" s="15"/>
      <c r="U5" s="15"/>
      <c r="V5" s="29"/>
    </row>
    <row r="6" spans="2:24" x14ac:dyDescent="0.3">
      <c r="B6" s="27" t="s">
        <v>89</v>
      </c>
      <c r="C6" s="20" t="str">
        <f t="shared" si="0"/>
        <v>Bruno Flores</v>
      </c>
      <c r="D6" s="20" t="e">
        <f t="shared" si="1"/>
        <v>#N/A</v>
      </c>
      <c r="E6" s="20" t="e">
        <f t="shared" si="2"/>
        <v>#N/A</v>
      </c>
      <c r="F6" s="20" t="e">
        <f t="shared" si="3"/>
        <v>#N/A</v>
      </c>
      <c r="G6" s="20" t="e">
        <f t="shared" si="4"/>
        <v>#N/A</v>
      </c>
      <c r="H6" s="20" t="e">
        <f t="shared" si="5"/>
        <v>#N/A</v>
      </c>
      <c r="I6" s="21" t="e">
        <f t="shared" si="6"/>
        <v>#N/A</v>
      </c>
      <c r="K6" s="1" t="s">
        <v>84</v>
      </c>
      <c r="L6" s="1" t="e">
        <f>#REF!</f>
        <v>#REF!</v>
      </c>
      <c r="O6" s="28" t="s">
        <v>611</v>
      </c>
      <c r="P6" s="26" t="e">
        <f>#REF!</f>
        <v>#REF!</v>
      </c>
      <c r="Q6" s="15"/>
      <c r="R6" s="15"/>
      <c r="S6" s="15"/>
      <c r="T6" s="15"/>
      <c r="U6" s="15"/>
      <c r="V6" s="29"/>
    </row>
    <row r="7" spans="2:24" x14ac:dyDescent="0.3">
      <c r="B7" s="27" t="s">
        <v>90</v>
      </c>
      <c r="C7" s="20" t="str">
        <f t="shared" si="0"/>
        <v>Mácio</v>
      </c>
      <c r="D7" s="20" t="e">
        <f t="shared" si="1"/>
        <v>#REF!</v>
      </c>
      <c r="E7" s="20">
        <f t="shared" si="2"/>
        <v>0</v>
      </c>
      <c r="F7" s="20">
        <f t="shared" si="3"/>
        <v>0</v>
      </c>
      <c r="G7" s="20">
        <f t="shared" si="4"/>
        <v>0</v>
      </c>
      <c r="H7" s="20">
        <f t="shared" si="5"/>
        <v>0</v>
      </c>
      <c r="I7" s="21">
        <f t="shared" si="6"/>
        <v>0</v>
      </c>
      <c r="K7" s="1" t="s">
        <v>68</v>
      </c>
      <c r="L7" s="1" t="e">
        <f>#REF!</f>
        <v>#REF!</v>
      </c>
      <c r="O7" s="28" t="s">
        <v>64</v>
      </c>
      <c r="P7" s="26" t="e">
        <f>#REF!</f>
        <v>#REF!</v>
      </c>
      <c r="Q7" s="15"/>
      <c r="R7" s="15"/>
      <c r="S7" s="15"/>
      <c r="T7" s="15"/>
      <c r="U7" s="15"/>
      <c r="V7" s="29"/>
    </row>
    <row r="8" spans="2:24" x14ac:dyDescent="0.3">
      <c r="B8" s="27" t="s">
        <v>91</v>
      </c>
      <c r="C8" s="20" t="str">
        <f t="shared" si="0"/>
        <v>Luis</v>
      </c>
      <c r="D8" s="20" t="e">
        <f t="shared" si="1"/>
        <v>#REF!</v>
      </c>
      <c r="E8" s="20">
        <f t="shared" si="2"/>
        <v>0</v>
      </c>
      <c r="F8" s="20">
        <f t="shared" si="3"/>
        <v>0</v>
      </c>
      <c r="G8" s="20">
        <f t="shared" si="4"/>
        <v>0</v>
      </c>
      <c r="H8" s="20">
        <f t="shared" si="5"/>
        <v>0</v>
      </c>
      <c r="I8" s="21">
        <f t="shared" si="6"/>
        <v>0</v>
      </c>
      <c r="K8" s="1" t="s">
        <v>63</v>
      </c>
      <c r="L8" s="1" t="e">
        <f>#REF!</f>
        <v>#REF!</v>
      </c>
      <c r="O8" s="28" t="s">
        <v>63</v>
      </c>
      <c r="P8" s="26" t="e">
        <f>#REF!</f>
        <v>#REF!</v>
      </c>
      <c r="Q8" s="15"/>
      <c r="R8" s="15"/>
      <c r="S8" s="15"/>
      <c r="T8" s="15"/>
      <c r="U8" s="15"/>
      <c r="V8" s="29"/>
    </row>
    <row r="9" spans="2:24" x14ac:dyDescent="0.3">
      <c r="B9" s="27" t="s">
        <v>92</v>
      </c>
      <c r="C9" s="20" t="str">
        <f t="shared" si="0"/>
        <v>Robert</v>
      </c>
      <c r="D9" s="20" t="e">
        <f t="shared" si="1"/>
        <v>#REF!</v>
      </c>
      <c r="E9" s="20">
        <f t="shared" si="2"/>
        <v>0</v>
      </c>
      <c r="F9" s="20">
        <f t="shared" si="3"/>
        <v>0</v>
      </c>
      <c r="G9" s="20">
        <f t="shared" si="4"/>
        <v>0</v>
      </c>
      <c r="H9" s="20">
        <f t="shared" si="5"/>
        <v>0</v>
      </c>
      <c r="I9" s="21">
        <f t="shared" si="6"/>
        <v>0</v>
      </c>
      <c r="K9" s="1" t="s">
        <v>71</v>
      </c>
      <c r="L9" s="1" t="e">
        <f>#REF!</f>
        <v>#REF!</v>
      </c>
      <c r="O9" s="28" t="s">
        <v>65</v>
      </c>
      <c r="P9" s="26" t="e">
        <f>#REF!</f>
        <v>#REF!</v>
      </c>
      <c r="Q9" s="15"/>
      <c r="R9" s="15"/>
      <c r="S9" s="15"/>
      <c r="T9" s="15"/>
      <c r="U9" s="15"/>
      <c r="V9" s="29"/>
    </row>
    <row r="10" spans="2:24" x14ac:dyDescent="0.3">
      <c r="B10" s="27" t="s">
        <v>93</v>
      </c>
      <c r="C10" s="20" t="str">
        <f t="shared" si="0"/>
        <v>Jean</v>
      </c>
      <c r="D10" s="20">
        <f t="shared" si="1"/>
        <v>0</v>
      </c>
      <c r="E10" s="20">
        <f t="shared" si="2"/>
        <v>0</v>
      </c>
      <c r="F10" s="20">
        <f t="shared" si="3"/>
        <v>0</v>
      </c>
      <c r="G10" s="20">
        <f t="shared" si="4"/>
        <v>0</v>
      </c>
      <c r="H10" s="20">
        <f t="shared" si="5"/>
        <v>0</v>
      </c>
      <c r="I10" s="21">
        <f t="shared" si="6"/>
        <v>0</v>
      </c>
      <c r="K10" s="1" t="s">
        <v>70</v>
      </c>
      <c r="L10" s="1" t="e">
        <f>#REF!</f>
        <v>#REF!</v>
      </c>
      <c r="O10" s="28" t="s">
        <v>66</v>
      </c>
      <c r="P10" s="26" t="e">
        <f>#REF!</f>
        <v>#REF!</v>
      </c>
      <c r="Q10" s="15"/>
      <c r="R10" s="15"/>
      <c r="S10" s="15"/>
      <c r="T10" s="15"/>
      <c r="U10" s="15"/>
      <c r="V10" s="29"/>
    </row>
    <row r="11" spans="2:24" x14ac:dyDescent="0.3">
      <c r="B11" s="27" t="s">
        <v>94</v>
      </c>
      <c r="C11" s="20" t="str">
        <f t="shared" si="0"/>
        <v>Gabriel</v>
      </c>
      <c r="D11" s="20" t="e">
        <f t="shared" si="1"/>
        <v>#REF!</v>
      </c>
      <c r="E11" s="20">
        <f t="shared" si="2"/>
        <v>0</v>
      </c>
      <c r="F11" s="20">
        <f t="shared" si="3"/>
        <v>0</v>
      </c>
      <c r="G11" s="20">
        <f t="shared" si="4"/>
        <v>0</v>
      </c>
      <c r="H11" s="20">
        <f t="shared" si="5"/>
        <v>0</v>
      </c>
      <c r="I11" s="21">
        <f t="shared" si="6"/>
        <v>0</v>
      </c>
      <c r="K11" s="1" t="s">
        <v>64</v>
      </c>
      <c r="L11" s="1" t="e">
        <f>#REF!</f>
        <v>#REF!</v>
      </c>
      <c r="O11" s="28" t="s">
        <v>67</v>
      </c>
      <c r="P11" s="26" t="e">
        <f>#REF!</f>
        <v>#REF!</v>
      </c>
      <c r="Q11" s="15"/>
      <c r="R11" s="15"/>
      <c r="S11" s="15"/>
      <c r="T11" s="15"/>
      <c r="U11" s="15"/>
      <c r="V11" s="29"/>
    </row>
    <row r="12" spans="2:24" x14ac:dyDescent="0.3">
      <c r="B12" s="27" t="s">
        <v>95</v>
      </c>
      <c r="C12" s="20" t="str">
        <f t="shared" si="0"/>
        <v>Ivan Alex_2</v>
      </c>
      <c r="D12" s="20" t="e">
        <f t="shared" si="1"/>
        <v>#N/A</v>
      </c>
      <c r="E12" s="20" t="e">
        <f t="shared" si="2"/>
        <v>#N/A</v>
      </c>
      <c r="F12" s="20" t="e">
        <f t="shared" si="3"/>
        <v>#N/A</v>
      </c>
      <c r="G12" s="20" t="e">
        <f t="shared" si="4"/>
        <v>#N/A</v>
      </c>
      <c r="H12" s="20" t="e">
        <f t="shared" si="5"/>
        <v>#N/A</v>
      </c>
      <c r="I12" s="21" t="e">
        <f t="shared" si="6"/>
        <v>#N/A</v>
      </c>
      <c r="K12" s="1" t="s">
        <v>61</v>
      </c>
      <c r="L12" s="1" t="e">
        <f>#REF!</f>
        <v>#REF!</v>
      </c>
      <c r="O12" s="28" t="s">
        <v>68</v>
      </c>
      <c r="P12" s="26" t="e">
        <f>#REF!</f>
        <v>#REF!</v>
      </c>
      <c r="Q12" s="15"/>
      <c r="R12" s="15"/>
      <c r="S12" s="15"/>
      <c r="T12" s="15"/>
      <c r="U12" s="15"/>
      <c r="V12" s="29"/>
    </row>
    <row r="13" spans="2:24" x14ac:dyDescent="0.3">
      <c r="B13" s="27" t="s">
        <v>96</v>
      </c>
      <c r="C13" s="20" t="str">
        <f t="shared" si="0"/>
        <v>Julio</v>
      </c>
      <c r="D13" s="20" t="e">
        <f t="shared" si="1"/>
        <v>#REF!</v>
      </c>
      <c r="E13" s="20">
        <f t="shared" si="2"/>
        <v>0</v>
      </c>
      <c r="F13" s="20">
        <f t="shared" si="3"/>
        <v>0</v>
      </c>
      <c r="G13" s="20">
        <f t="shared" si="4"/>
        <v>0</v>
      </c>
      <c r="H13" s="20">
        <f t="shared" si="5"/>
        <v>0</v>
      </c>
      <c r="I13" s="21">
        <f t="shared" si="6"/>
        <v>0</v>
      </c>
      <c r="K13" s="1" t="s">
        <v>78</v>
      </c>
      <c r="L13" s="1" t="e">
        <f>#REF!</f>
        <v>#REF!</v>
      </c>
      <c r="O13" s="28" t="s">
        <v>69</v>
      </c>
      <c r="P13" s="26" t="e">
        <f>#REF!</f>
        <v>#REF!</v>
      </c>
      <c r="Q13" s="15"/>
      <c r="R13" s="15"/>
      <c r="S13" s="15"/>
      <c r="T13" s="15"/>
      <c r="U13" s="15"/>
      <c r="V13" s="29"/>
    </row>
    <row r="14" spans="2:24" x14ac:dyDescent="0.3">
      <c r="B14" s="27" t="s">
        <v>97</v>
      </c>
      <c r="C14" s="20" t="str">
        <f t="shared" si="0"/>
        <v>Anderson</v>
      </c>
      <c r="D14" s="20" t="e">
        <f t="shared" si="1"/>
        <v>#REF!</v>
      </c>
      <c r="E14" s="20">
        <f t="shared" si="2"/>
        <v>0</v>
      </c>
      <c r="F14" s="20">
        <f t="shared" si="3"/>
        <v>0</v>
      </c>
      <c r="G14" s="20">
        <f t="shared" si="4"/>
        <v>0</v>
      </c>
      <c r="H14" s="20">
        <f t="shared" si="5"/>
        <v>0</v>
      </c>
      <c r="I14" s="21">
        <f t="shared" si="6"/>
        <v>0</v>
      </c>
      <c r="K14" s="1" t="s">
        <v>80</v>
      </c>
      <c r="L14" s="1" t="e">
        <f>#REF!</f>
        <v>#REF!</v>
      </c>
      <c r="O14" s="28" t="s">
        <v>70</v>
      </c>
      <c r="P14" s="26" t="e">
        <f>#REF!</f>
        <v>#REF!</v>
      </c>
      <c r="Q14" s="15"/>
      <c r="R14" s="15"/>
      <c r="S14" s="15"/>
      <c r="T14" s="15"/>
      <c r="U14" s="15"/>
      <c r="V14" s="29"/>
    </row>
    <row r="15" spans="2:24" x14ac:dyDescent="0.3">
      <c r="B15" s="27" t="s">
        <v>98</v>
      </c>
      <c r="C15" s="20" t="str">
        <f t="shared" si="0"/>
        <v>Talita</v>
      </c>
      <c r="D15" s="20" t="e">
        <f t="shared" si="1"/>
        <v>#REF!</v>
      </c>
      <c r="E15" s="20">
        <f t="shared" si="2"/>
        <v>0</v>
      </c>
      <c r="F15" s="20">
        <f t="shared" si="3"/>
        <v>0</v>
      </c>
      <c r="G15" s="20">
        <f t="shared" si="4"/>
        <v>0</v>
      </c>
      <c r="H15" s="20">
        <f t="shared" si="5"/>
        <v>0</v>
      </c>
      <c r="I15" s="21">
        <f t="shared" si="6"/>
        <v>0</v>
      </c>
      <c r="K15" s="1" t="s">
        <v>79</v>
      </c>
      <c r="L15" s="1" t="e">
        <f>#REF!</f>
        <v>#REF!</v>
      </c>
      <c r="O15" s="28" t="s">
        <v>71</v>
      </c>
      <c r="P15" s="26" t="e">
        <f>#REF!</f>
        <v>#REF!</v>
      </c>
      <c r="Q15" s="15"/>
      <c r="R15" s="15"/>
      <c r="S15" s="15"/>
      <c r="T15" s="15"/>
      <c r="U15" s="15"/>
      <c r="V15" s="29"/>
    </row>
    <row r="16" spans="2:24" x14ac:dyDescent="0.3">
      <c r="B16" s="27" t="s">
        <v>99</v>
      </c>
      <c r="C16" s="20" t="str">
        <f t="shared" si="0"/>
        <v>Joseir_2</v>
      </c>
      <c r="D16" s="20" t="e">
        <f t="shared" si="1"/>
        <v>#REF!</v>
      </c>
      <c r="E16" s="20">
        <f t="shared" si="2"/>
        <v>0</v>
      </c>
      <c r="F16" s="20">
        <f t="shared" si="3"/>
        <v>0</v>
      </c>
      <c r="G16" s="20">
        <f t="shared" si="4"/>
        <v>0</v>
      </c>
      <c r="H16" s="20">
        <f t="shared" si="5"/>
        <v>0</v>
      </c>
      <c r="I16" s="21">
        <f t="shared" si="6"/>
        <v>0</v>
      </c>
      <c r="K16" s="1" t="s">
        <v>75</v>
      </c>
      <c r="L16" s="1" t="e">
        <f>#REF!</f>
        <v>#REF!</v>
      </c>
      <c r="O16" s="28" t="s">
        <v>72</v>
      </c>
      <c r="P16" s="26" t="e">
        <f>#REF!</f>
        <v>#REF!</v>
      </c>
      <c r="Q16" s="15"/>
      <c r="R16" s="15"/>
      <c r="S16" s="15"/>
      <c r="T16" s="15"/>
      <c r="U16" s="15"/>
      <c r="V16" s="29"/>
    </row>
    <row r="17" spans="2:22" x14ac:dyDescent="0.3">
      <c r="B17" s="27" t="s">
        <v>100</v>
      </c>
      <c r="C17" s="20" t="str">
        <f t="shared" si="0"/>
        <v>Juninho_2</v>
      </c>
      <c r="D17" s="20" t="e">
        <f t="shared" si="1"/>
        <v>#REF!</v>
      </c>
      <c r="E17" s="20">
        <f t="shared" si="2"/>
        <v>0</v>
      </c>
      <c r="F17" s="20">
        <f t="shared" si="3"/>
        <v>0</v>
      </c>
      <c r="G17" s="20">
        <f t="shared" si="4"/>
        <v>0</v>
      </c>
      <c r="H17" s="20">
        <f t="shared" si="5"/>
        <v>0</v>
      </c>
      <c r="I17" s="21">
        <f t="shared" si="6"/>
        <v>0</v>
      </c>
      <c r="K17" s="1" t="s">
        <v>66</v>
      </c>
      <c r="L17" s="1" t="e">
        <f>#REF!</f>
        <v>#REF!</v>
      </c>
      <c r="O17" s="28" t="s">
        <v>73</v>
      </c>
      <c r="P17" s="26" t="e">
        <f>#REF!</f>
        <v>#REF!</v>
      </c>
      <c r="Q17" s="15"/>
      <c r="R17" s="15"/>
      <c r="S17" s="15"/>
      <c r="T17" s="15"/>
      <c r="U17" s="15"/>
      <c r="V17" s="29"/>
    </row>
    <row r="18" spans="2:22" x14ac:dyDescent="0.3">
      <c r="B18" s="27" t="s">
        <v>101</v>
      </c>
      <c r="C18" s="20" t="str">
        <f t="shared" si="0"/>
        <v>Cléofaz</v>
      </c>
      <c r="D18" s="20" t="e">
        <f t="shared" si="1"/>
        <v>#REF!</v>
      </c>
      <c r="E18" s="20">
        <f t="shared" si="2"/>
        <v>0</v>
      </c>
      <c r="F18" s="20">
        <f t="shared" si="3"/>
        <v>0</v>
      </c>
      <c r="G18" s="20">
        <f t="shared" si="4"/>
        <v>0</v>
      </c>
      <c r="H18" s="20">
        <f t="shared" si="5"/>
        <v>0</v>
      </c>
      <c r="I18" s="21">
        <f t="shared" si="6"/>
        <v>0</v>
      </c>
      <c r="K18" s="1" t="s">
        <v>81</v>
      </c>
      <c r="L18" s="1" t="e">
        <f>#REF!</f>
        <v>#REF!</v>
      </c>
      <c r="O18" s="28" t="s">
        <v>74</v>
      </c>
      <c r="P18" s="26" t="e">
        <f>#REF!</f>
        <v>#REF!</v>
      </c>
      <c r="Q18" s="15"/>
      <c r="R18" s="15"/>
      <c r="S18" s="15"/>
      <c r="T18" s="15"/>
      <c r="U18" s="15"/>
      <c r="V18" s="29"/>
    </row>
    <row r="19" spans="2:22" x14ac:dyDescent="0.3">
      <c r="B19" s="27" t="s">
        <v>102</v>
      </c>
      <c r="C19" s="20" t="str">
        <f t="shared" si="0"/>
        <v>Juninho_1</v>
      </c>
      <c r="D19" s="20" t="e">
        <f t="shared" si="1"/>
        <v>#REF!</v>
      </c>
      <c r="E19" s="20">
        <f t="shared" si="2"/>
        <v>0</v>
      </c>
      <c r="F19" s="20">
        <f t="shared" si="3"/>
        <v>0</v>
      </c>
      <c r="G19" s="20">
        <f t="shared" si="4"/>
        <v>0</v>
      </c>
      <c r="H19" s="20">
        <f t="shared" si="5"/>
        <v>0</v>
      </c>
      <c r="I19" s="21">
        <f t="shared" si="6"/>
        <v>0</v>
      </c>
      <c r="K19" s="1" t="s">
        <v>65</v>
      </c>
      <c r="L19" s="1" t="e">
        <f>#REF!</f>
        <v>#REF!</v>
      </c>
      <c r="O19" s="28" t="s">
        <v>75</v>
      </c>
      <c r="P19" s="26" t="e">
        <f>#REF!</f>
        <v>#REF!</v>
      </c>
      <c r="Q19" s="15"/>
      <c r="R19" s="15"/>
      <c r="S19" s="15"/>
      <c r="T19" s="15"/>
      <c r="U19" s="15"/>
      <c r="V19" s="29"/>
    </row>
    <row r="20" spans="2:22" x14ac:dyDescent="0.3">
      <c r="B20" s="27" t="s">
        <v>103</v>
      </c>
      <c r="C20" s="20" t="str">
        <f t="shared" si="0"/>
        <v>Roberto</v>
      </c>
      <c r="D20" s="20" t="e">
        <f t="shared" si="1"/>
        <v>#REF!</v>
      </c>
      <c r="E20" s="20">
        <f t="shared" si="2"/>
        <v>0</v>
      </c>
      <c r="F20" s="20">
        <f t="shared" si="3"/>
        <v>0</v>
      </c>
      <c r="G20" s="20">
        <f t="shared" si="4"/>
        <v>0</v>
      </c>
      <c r="H20" s="20">
        <f t="shared" si="5"/>
        <v>0</v>
      </c>
      <c r="I20" s="21">
        <f t="shared" si="6"/>
        <v>0</v>
      </c>
      <c r="K20" s="1" t="s">
        <v>72</v>
      </c>
      <c r="L20" s="1" t="e">
        <f>#REF!</f>
        <v>#REF!</v>
      </c>
      <c r="O20" s="28" t="s">
        <v>76</v>
      </c>
      <c r="P20" s="26" t="e">
        <f>#REF!</f>
        <v>#REF!</v>
      </c>
      <c r="Q20" s="15"/>
      <c r="R20" s="15"/>
      <c r="S20" s="15"/>
      <c r="T20" s="15"/>
      <c r="U20" s="15"/>
      <c r="V20" s="29"/>
    </row>
    <row r="21" spans="2:22" x14ac:dyDescent="0.3">
      <c r="B21" s="27" t="s">
        <v>104</v>
      </c>
      <c r="C21" s="20" t="str">
        <f t="shared" si="0"/>
        <v>Alex</v>
      </c>
      <c r="D21" s="20" t="e">
        <f t="shared" si="1"/>
        <v>#REF!</v>
      </c>
      <c r="E21" s="20">
        <f t="shared" si="2"/>
        <v>0</v>
      </c>
      <c r="F21" s="20">
        <f t="shared" si="3"/>
        <v>0</v>
      </c>
      <c r="G21" s="20">
        <f t="shared" si="4"/>
        <v>0</v>
      </c>
      <c r="H21" s="20">
        <f t="shared" si="5"/>
        <v>0</v>
      </c>
      <c r="I21" s="21">
        <f t="shared" si="6"/>
        <v>0</v>
      </c>
      <c r="K21" s="1" t="s">
        <v>69</v>
      </c>
      <c r="L21" s="1" t="e">
        <f>#REF!</f>
        <v>#REF!</v>
      </c>
      <c r="O21" s="28" t="s">
        <v>77</v>
      </c>
      <c r="P21" s="26" t="e">
        <f>#REF!</f>
        <v>#REF!</v>
      </c>
      <c r="Q21" s="15"/>
      <c r="R21" s="15"/>
      <c r="S21" s="15"/>
      <c r="T21" s="15"/>
      <c r="U21" s="15"/>
      <c r="V21" s="29"/>
    </row>
    <row r="22" spans="2:22" x14ac:dyDescent="0.3">
      <c r="B22" s="27" t="s">
        <v>105</v>
      </c>
      <c r="C22" s="20" t="str">
        <f t="shared" si="0"/>
        <v>Ivani</v>
      </c>
      <c r="D22" s="20" t="e">
        <f t="shared" si="1"/>
        <v>#REF!</v>
      </c>
      <c r="E22" s="20">
        <f t="shared" si="2"/>
        <v>0</v>
      </c>
      <c r="F22" s="20">
        <f t="shared" si="3"/>
        <v>0</v>
      </c>
      <c r="G22" s="20">
        <f t="shared" si="4"/>
        <v>0</v>
      </c>
      <c r="H22" s="20">
        <f t="shared" si="5"/>
        <v>0</v>
      </c>
      <c r="I22" s="21">
        <f t="shared" si="6"/>
        <v>0</v>
      </c>
      <c r="K22" s="1" t="s">
        <v>76</v>
      </c>
      <c r="L22" s="1" t="e">
        <f>#REF!</f>
        <v>#REF!</v>
      </c>
      <c r="O22" s="28" t="s">
        <v>78</v>
      </c>
      <c r="P22" s="26" t="e">
        <f>#REF!</f>
        <v>#REF!</v>
      </c>
      <c r="Q22" s="15"/>
      <c r="R22" s="15"/>
      <c r="S22" s="15"/>
      <c r="T22" s="15"/>
      <c r="U22" s="15"/>
      <c r="V22" s="29"/>
    </row>
    <row r="23" spans="2:22" x14ac:dyDescent="0.3">
      <c r="B23" s="27" t="s">
        <v>106</v>
      </c>
      <c r="C23" s="20" t="str">
        <f t="shared" si="0"/>
        <v>Andréia</v>
      </c>
      <c r="D23" s="20" t="e">
        <f t="shared" si="1"/>
        <v>#REF!</v>
      </c>
      <c r="E23" s="20">
        <f t="shared" si="2"/>
        <v>0</v>
      </c>
      <c r="F23" s="20">
        <f t="shared" si="3"/>
        <v>0</v>
      </c>
      <c r="G23" s="20">
        <f t="shared" si="4"/>
        <v>0</v>
      </c>
      <c r="H23" s="20">
        <f t="shared" si="5"/>
        <v>0</v>
      </c>
      <c r="I23" s="21">
        <f t="shared" si="6"/>
        <v>0</v>
      </c>
      <c r="K23" s="1" t="s">
        <v>73</v>
      </c>
      <c r="L23" s="1" t="e">
        <f>#REF!</f>
        <v>#REF!</v>
      </c>
      <c r="O23" s="28" t="s">
        <v>79</v>
      </c>
      <c r="P23" s="26" t="e">
        <f>#REF!</f>
        <v>#REF!</v>
      </c>
      <c r="Q23" s="15"/>
      <c r="R23" s="15"/>
      <c r="S23" s="15"/>
      <c r="T23" s="15"/>
      <c r="U23" s="15"/>
      <c r="V23" s="29"/>
    </row>
    <row r="24" spans="2:22" x14ac:dyDescent="0.3">
      <c r="B24" s="27" t="s">
        <v>107</v>
      </c>
      <c r="C24" s="20" t="str">
        <f t="shared" si="0"/>
        <v>Joseir_1</v>
      </c>
      <c r="D24" s="20" t="e">
        <f t="shared" si="1"/>
        <v>#REF!</v>
      </c>
      <c r="E24" s="20">
        <f t="shared" si="2"/>
        <v>0</v>
      </c>
      <c r="F24" s="20">
        <f t="shared" si="3"/>
        <v>0</v>
      </c>
      <c r="G24" s="20">
        <f t="shared" si="4"/>
        <v>0</v>
      </c>
      <c r="H24" s="20">
        <f t="shared" si="5"/>
        <v>0</v>
      </c>
      <c r="I24" s="21">
        <f t="shared" si="6"/>
        <v>0</v>
      </c>
      <c r="K24" s="1" t="s">
        <v>74</v>
      </c>
      <c r="L24" s="1" t="e">
        <f>#REF!</f>
        <v>#REF!</v>
      </c>
      <c r="O24" s="28" t="s">
        <v>80</v>
      </c>
      <c r="P24" s="26" t="e">
        <f>#REF!</f>
        <v>#REF!</v>
      </c>
      <c r="Q24" s="15"/>
      <c r="R24" s="15"/>
      <c r="S24" s="15"/>
      <c r="T24" s="15"/>
      <c r="U24" s="15"/>
      <c r="V24" s="29"/>
    </row>
    <row r="25" spans="2:22" ht="15" thickBot="1" x14ac:dyDescent="0.35">
      <c r="B25" s="30" t="s">
        <v>108</v>
      </c>
      <c r="C25" s="22" t="str">
        <f t="shared" si="0"/>
        <v>Josimar</v>
      </c>
      <c r="D25" s="22" t="e">
        <f t="shared" si="1"/>
        <v>#REF!</v>
      </c>
      <c r="E25" s="22">
        <f t="shared" si="2"/>
        <v>0</v>
      </c>
      <c r="F25" s="22">
        <f t="shared" si="3"/>
        <v>0</v>
      </c>
      <c r="G25" s="22">
        <f t="shared" si="4"/>
        <v>0</v>
      </c>
      <c r="H25" s="22">
        <f t="shared" si="5"/>
        <v>0</v>
      </c>
      <c r="I25" s="23">
        <f t="shared" si="6"/>
        <v>0</v>
      </c>
      <c r="K25" s="1" t="s">
        <v>77</v>
      </c>
      <c r="L25" s="1" t="e">
        <f>#REF!</f>
        <v>#REF!</v>
      </c>
      <c r="O25" s="28" t="s">
        <v>81</v>
      </c>
      <c r="P25" s="26" t="e">
        <f>#REF!</f>
        <v>#REF!</v>
      </c>
      <c r="Q25" s="15"/>
      <c r="R25" s="15"/>
      <c r="S25" s="15"/>
      <c r="T25" s="15"/>
      <c r="U25" s="15"/>
      <c r="V25" s="29"/>
    </row>
    <row r="26" spans="2:22" ht="15" thickTop="1" x14ac:dyDescent="0.3">
      <c r="P26" s="26"/>
    </row>
    <row r="28" spans="2:22" ht="15.6" x14ac:dyDescent="0.3">
      <c r="B28" s="10"/>
      <c r="C28" s="47" t="s">
        <v>5</v>
      </c>
      <c r="D28" s="6">
        <v>1</v>
      </c>
      <c r="E28" s="6" t="s">
        <v>47</v>
      </c>
      <c r="F28" s="6">
        <v>0</v>
      </c>
      <c r="G28" s="46" t="s">
        <v>17</v>
      </c>
      <c r="H28" s="4"/>
      <c r="I28" s="48"/>
    </row>
    <row r="29" spans="2:22" x14ac:dyDescent="0.3">
      <c r="B29" s="31"/>
    </row>
    <row r="30" spans="2:22" x14ac:dyDescent="0.3">
      <c r="B30" s="31"/>
    </row>
    <row r="31" spans="2:22" ht="15.6" x14ac:dyDescent="0.3">
      <c r="E31" s="10"/>
      <c r="F31" s="4"/>
      <c r="G31" s="50" t="s">
        <v>170</v>
      </c>
      <c r="H31" s="4"/>
      <c r="I31" s="48"/>
    </row>
    <row r="32" spans="2:22" ht="15.6" x14ac:dyDescent="0.3">
      <c r="E32" s="10"/>
      <c r="F32" s="4"/>
      <c r="G32" s="4"/>
      <c r="H32" s="4"/>
      <c r="I32" s="48"/>
    </row>
    <row r="33" spans="5:9" ht="15.6" x14ac:dyDescent="0.3">
      <c r="E33" s="10"/>
      <c r="F33" s="4"/>
      <c r="G33" s="4"/>
      <c r="H33" s="4"/>
      <c r="I33" s="48"/>
    </row>
    <row r="34" spans="5:9" ht="15.6" x14ac:dyDescent="0.3">
      <c r="E34" s="10"/>
      <c r="F34" s="4"/>
      <c r="G34" s="4"/>
      <c r="H34" s="4"/>
      <c r="I34" s="48"/>
    </row>
    <row r="35" spans="5:9" ht="15.6" x14ac:dyDescent="0.3">
      <c r="E35" s="10"/>
      <c r="F35" s="4"/>
      <c r="G35" s="4"/>
      <c r="H35" s="4"/>
      <c r="I35" s="48"/>
    </row>
    <row r="36" spans="5:9" ht="15.6" x14ac:dyDescent="0.3">
      <c r="E36" s="10"/>
      <c r="F36" s="4"/>
      <c r="G36" s="4"/>
      <c r="H36" s="4"/>
      <c r="I36" s="48"/>
    </row>
    <row r="37" spans="5:9" ht="15.6" x14ac:dyDescent="0.3">
      <c r="E37" s="10"/>
      <c r="F37" s="4"/>
      <c r="G37" s="4"/>
      <c r="H37" s="4"/>
      <c r="I37" s="48"/>
    </row>
    <row r="38" spans="5:9" ht="15.6" x14ac:dyDescent="0.3">
      <c r="E38" s="10"/>
      <c r="F38" s="4"/>
      <c r="G38" s="4"/>
      <c r="H38" s="4"/>
      <c r="I38" s="48"/>
    </row>
    <row r="39" spans="5:9" ht="15.6" x14ac:dyDescent="0.3">
      <c r="E39" s="10"/>
      <c r="F39" s="4"/>
      <c r="G39" s="4"/>
      <c r="H39" s="4"/>
      <c r="I39" s="48"/>
    </row>
    <row r="40" spans="5:9" ht="15.6" x14ac:dyDescent="0.3">
      <c r="E40" s="10"/>
      <c r="F40" s="4"/>
      <c r="G40" s="4"/>
      <c r="H40" s="4"/>
      <c r="I40" s="48"/>
    </row>
    <row r="41" spans="5:9" ht="15.6" x14ac:dyDescent="0.3">
      <c r="E41" s="10"/>
      <c r="F41" s="4"/>
      <c r="G41" s="4"/>
      <c r="H41" s="4"/>
      <c r="I41" s="48"/>
    </row>
    <row r="42" spans="5:9" ht="15.6" x14ac:dyDescent="0.3">
      <c r="E42" s="10"/>
      <c r="F42" s="4"/>
      <c r="G42" s="4"/>
      <c r="H42" s="4"/>
      <c r="I42" s="48"/>
    </row>
    <row r="43" spans="5:9" ht="15.6" x14ac:dyDescent="0.3">
      <c r="E43" s="10"/>
      <c r="F43" s="4"/>
      <c r="G43" s="4"/>
      <c r="H43" s="4"/>
      <c r="I43" s="48"/>
    </row>
    <row r="44" spans="5:9" ht="15.6" x14ac:dyDescent="0.3">
      <c r="E44" s="10"/>
      <c r="F44" s="4"/>
      <c r="G44" s="4"/>
      <c r="H44" s="4"/>
      <c r="I44" s="48"/>
    </row>
    <row r="45" spans="5:9" ht="15.6" x14ac:dyDescent="0.3">
      <c r="E45" s="10"/>
      <c r="F45" s="4"/>
      <c r="G45" s="4"/>
      <c r="H45" s="4"/>
      <c r="I45" s="48"/>
    </row>
    <row r="46" spans="5:9" ht="15.6" x14ac:dyDescent="0.3">
      <c r="E46" s="10"/>
      <c r="F46" s="4"/>
      <c r="G46" s="4"/>
      <c r="H46" s="4"/>
      <c r="I46" s="48"/>
    </row>
    <row r="47" spans="5:9" ht="15.6" x14ac:dyDescent="0.3">
      <c r="E47" s="10"/>
      <c r="F47" s="4"/>
      <c r="G47" s="4"/>
      <c r="H47" s="4"/>
      <c r="I47" s="48"/>
    </row>
    <row r="48" spans="5:9" ht="15.6" x14ac:dyDescent="0.3">
      <c r="E48" s="10"/>
      <c r="F48" s="4"/>
      <c r="G48" s="4"/>
      <c r="H48" s="4"/>
      <c r="I48" s="48"/>
    </row>
    <row r="49" spans="5:9" ht="15.6" x14ac:dyDescent="0.3">
      <c r="E49" s="10"/>
      <c r="F49" s="4"/>
      <c r="G49" s="4"/>
      <c r="H49" s="4"/>
      <c r="I49" s="48"/>
    </row>
    <row r="50" spans="5:9" ht="15.6" x14ac:dyDescent="0.3">
      <c r="E50" s="10"/>
      <c r="F50" s="4"/>
      <c r="G50" s="4"/>
      <c r="H50" s="4"/>
      <c r="I50" s="48"/>
    </row>
    <row r="51" spans="5:9" ht="15.6" x14ac:dyDescent="0.3">
      <c r="E51" s="10"/>
      <c r="F51" s="4"/>
      <c r="G51" s="4"/>
      <c r="H51" s="4"/>
      <c r="I51" s="48"/>
    </row>
    <row r="52" spans="5:9" ht="15.6" x14ac:dyDescent="0.3">
      <c r="E52" s="10"/>
      <c r="F52" s="4"/>
      <c r="G52" s="4"/>
      <c r="H52" s="4"/>
      <c r="I52" s="48"/>
    </row>
    <row r="53" spans="5:9" ht="15.6" x14ac:dyDescent="0.3">
      <c r="E53" s="10"/>
      <c r="F53" s="4"/>
      <c r="G53" s="4"/>
      <c r="H53" s="4"/>
      <c r="I53" s="48"/>
    </row>
    <row r="54" spans="5:9" ht="15.6" x14ac:dyDescent="0.3">
      <c r="E54" s="10"/>
      <c r="F54" s="4"/>
      <c r="G54" s="4"/>
      <c r="H54" s="4"/>
      <c r="I54" s="48"/>
    </row>
    <row r="55" spans="5:9" ht="15.6" x14ac:dyDescent="0.3">
      <c r="E55" s="10"/>
      <c r="F55" s="4"/>
      <c r="G55" s="4"/>
      <c r="H55" s="4"/>
      <c r="I55" s="48"/>
    </row>
    <row r="56" spans="5:9" ht="15.6" x14ac:dyDescent="0.3">
      <c r="E56" s="10"/>
      <c r="F56" s="4"/>
      <c r="G56" s="4"/>
      <c r="H56" s="4"/>
      <c r="I56" s="48"/>
    </row>
    <row r="57" spans="5:9" ht="15.6" x14ac:dyDescent="0.3">
      <c r="E57" s="10"/>
      <c r="F57" s="4"/>
      <c r="G57" s="4"/>
      <c r="H57" s="4"/>
      <c r="I57" s="48"/>
    </row>
    <row r="58" spans="5:9" ht="15.6" x14ac:dyDescent="0.3">
      <c r="E58" s="10"/>
      <c r="F58" s="4"/>
      <c r="G58" s="4"/>
      <c r="H58" s="4"/>
      <c r="I58" s="48"/>
    </row>
    <row r="59" spans="5:9" ht="15.6" x14ac:dyDescent="0.3">
      <c r="E59" s="10"/>
      <c r="F59" s="4"/>
      <c r="G59" s="4"/>
      <c r="H59" s="4"/>
      <c r="I59" s="48"/>
    </row>
    <row r="60" spans="5:9" ht="15.6" x14ac:dyDescent="0.3">
      <c r="E60" s="10"/>
      <c r="F60" s="4"/>
      <c r="G60" s="4"/>
      <c r="H60" s="4"/>
      <c r="I60" s="48"/>
    </row>
    <row r="61" spans="5:9" ht="15.6" x14ac:dyDescent="0.3">
      <c r="E61" s="10"/>
      <c r="F61" s="4"/>
      <c r="G61" s="4"/>
      <c r="H61" s="4"/>
      <c r="I61" s="48"/>
    </row>
    <row r="66" spans="2:10" x14ac:dyDescent="0.3">
      <c r="B66" s="73"/>
      <c r="C66" s="73"/>
      <c r="D66" s="73"/>
      <c r="E66" s="2"/>
      <c r="F66" s="2"/>
      <c r="G66" s="2"/>
      <c r="H66" s="73"/>
      <c r="I66" s="73"/>
      <c r="J66" s="73"/>
    </row>
    <row r="72" spans="2:10" x14ac:dyDescent="0.3">
      <c r="B72" s="73"/>
      <c r="C72" s="73"/>
      <c r="D72" s="73"/>
      <c r="E72" s="2"/>
      <c r="F72" s="2"/>
      <c r="G72" s="2"/>
      <c r="H72" s="73"/>
      <c r="I72" s="73"/>
      <c r="J72" s="73"/>
    </row>
    <row r="78" spans="2:10" x14ac:dyDescent="0.3">
      <c r="B78" s="73"/>
      <c r="C78" s="73"/>
      <c r="D78" s="73"/>
      <c r="E78" s="2"/>
      <c r="F78" s="2"/>
      <c r="G78" s="2"/>
      <c r="H78" s="73"/>
      <c r="I78" s="73"/>
      <c r="J78" s="73"/>
    </row>
    <row r="84" spans="2:10" x14ac:dyDescent="0.3">
      <c r="B84" s="73"/>
      <c r="C84" s="73"/>
      <c r="D84" s="73"/>
      <c r="E84" s="2"/>
      <c r="F84" s="2"/>
      <c r="G84" s="2"/>
      <c r="H84" s="73"/>
      <c r="I84" s="73"/>
      <c r="J84" s="73"/>
    </row>
    <row r="85" spans="2:10" x14ac:dyDescent="0.3">
      <c r="B85" s="73"/>
      <c r="C85" s="73"/>
      <c r="D85" s="73"/>
      <c r="E85" s="2"/>
      <c r="F85" s="2"/>
      <c r="G85" s="2"/>
      <c r="H85" s="73"/>
      <c r="I85" s="73"/>
      <c r="J85" s="73"/>
    </row>
    <row r="90" spans="2:10" x14ac:dyDescent="0.3">
      <c r="B90" s="73"/>
      <c r="C90" s="73"/>
      <c r="D90" s="73"/>
      <c r="E90" s="2"/>
      <c r="F90" s="2"/>
      <c r="G90" s="2"/>
      <c r="H90" s="73"/>
      <c r="I90" s="73"/>
      <c r="J90" s="73"/>
    </row>
    <row r="91" spans="2:10" x14ac:dyDescent="0.3">
      <c r="B91" s="73"/>
      <c r="C91" s="73"/>
      <c r="D91" s="73"/>
      <c r="E91" s="2"/>
      <c r="F91" s="2"/>
      <c r="G91" s="2"/>
      <c r="H91" s="73"/>
      <c r="I91" s="73"/>
      <c r="J91" s="73"/>
    </row>
    <row r="96" spans="2:10" x14ac:dyDescent="0.3">
      <c r="B96" s="73"/>
      <c r="C96" s="73"/>
      <c r="D96" s="73"/>
      <c r="E96" s="2"/>
      <c r="F96" s="2"/>
      <c r="G96" s="2"/>
      <c r="H96" s="73"/>
      <c r="I96" s="73"/>
      <c r="J96" s="73"/>
    </row>
    <row r="102" spans="2:10" x14ac:dyDescent="0.3">
      <c r="B102" s="73"/>
      <c r="C102" s="73"/>
      <c r="D102" s="73"/>
      <c r="E102" s="2"/>
      <c r="F102" s="2"/>
      <c r="G102" s="2"/>
      <c r="H102" s="73"/>
      <c r="I102" s="73"/>
      <c r="J102" s="73"/>
    </row>
    <row r="108" spans="2:10" x14ac:dyDescent="0.3">
      <c r="B108" s="73"/>
      <c r="C108" s="73"/>
      <c r="D108" s="73"/>
      <c r="E108" s="2"/>
      <c r="F108" s="2"/>
      <c r="G108" s="2"/>
      <c r="H108" s="73"/>
      <c r="I108" s="73"/>
      <c r="J108" s="73"/>
    </row>
    <row r="109" spans="2:10" x14ac:dyDescent="0.3">
      <c r="B109" s="73"/>
      <c r="C109" s="73"/>
      <c r="D109" s="73"/>
      <c r="E109" s="2"/>
      <c r="F109" s="2"/>
      <c r="G109" s="2"/>
      <c r="H109" s="73"/>
      <c r="I109" s="73"/>
      <c r="J109" s="73"/>
    </row>
    <row r="114" spans="2:10" x14ac:dyDescent="0.3">
      <c r="B114" s="73"/>
      <c r="C114" s="73"/>
      <c r="D114" s="73"/>
      <c r="E114" s="2"/>
      <c r="F114" s="2"/>
      <c r="G114" s="2"/>
      <c r="H114" s="73"/>
      <c r="I114" s="73"/>
      <c r="J114" s="73"/>
    </row>
    <row r="115" spans="2:10" x14ac:dyDescent="0.3">
      <c r="B115" s="73"/>
      <c r="C115" s="73"/>
      <c r="D115" s="73"/>
      <c r="E115" s="2"/>
      <c r="F115" s="2"/>
      <c r="G115" s="2"/>
      <c r="H115" s="73"/>
      <c r="I115" s="73"/>
      <c r="J115" s="73"/>
    </row>
    <row r="116" spans="2:10" x14ac:dyDescent="0.3">
      <c r="B116" s="73"/>
      <c r="C116" s="73"/>
      <c r="D116" s="73"/>
      <c r="E116" s="2"/>
      <c r="F116" s="2"/>
      <c r="G116" s="2"/>
      <c r="H116" s="73"/>
      <c r="I116" s="73"/>
      <c r="J116" s="73"/>
    </row>
    <row r="120" spans="2:10" x14ac:dyDescent="0.3">
      <c r="B120" s="73"/>
      <c r="C120" s="73"/>
      <c r="D120" s="73"/>
      <c r="E120" s="2"/>
      <c r="F120" s="2"/>
      <c r="G120" s="2"/>
      <c r="H120" s="73"/>
      <c r="I120" s="73"/>
      <c r="J120" s="73"/>
    </row>
    <row r="121" spans="2:10" x14ac:dyDescent="0.3">
      <c r="B121" s="73"/>
      <c r="C121" s="73"/>
      <c r="D121" s="73"/>
      <c r="E121" s="2"/>
      <c r="F121" s="2"/>
      <c r="G121" s="2"/>
      <c r="H121" s="73"/>
      <c r="I121" s="73"/>
      <c r="J121" s="73"/>
    </row>
    <row r="126" spans="2:10" x14ac:dyDescent="0.3">
      <c r="B126" s="73"/>
      <c r="C126" s="73"/>
      <c r="D126" s="73"/>
      <c r="E126" s="2"/>
      <c r="F126" s="2"/>
      <c r="G126" s="2"/>
      <c r="H126" s="73"/>
      <c r="I126" s="73"/>
      <c r="J126" s="73"/>
    </row>
    <row r="132" spans="2:10" x14ac:dyDescent="0.3">
      <c r="B132" s="73"/>
      <c r="C132" s="73"/>
      <c r="D132" s="73"/>
      <c r="E132" s="2"/>
      <c r="F132" s="2"/>
      <c r="G132" s="2"/>
      <c r="H132" s="73"/>
      <c r="I132" s="73"/>
      <c r="J132" s="73"/>
    </row>
    <row r="133" spans="2:10" x14ac:dyDescent="0.3">
      <c r="B133" s="73"/>
      <c r="C133" s="73"/>
      <c r="D133" s="73"/>
      <c r="E133" s="2"/>
      <c r="F133" s="2"/>
      <c r="G133" s="2"/>
      <c r="H133" s="73"/>
      <c r="I133" s="73"/>
      <c r="J133" s="73"/>
    </row>
    <row r="134" spans="2:10" x14ac:dyDescent="0.3">
      <c r="B134" s="73"/>
      <c r="C134" s="73"/>
      <c r="D134" s="73"/>
      <c r="E134" s="2"/>
      <c r="F134" s="2"/>
      <c r="G134" s="2"/>
      <c r="H134" s="73"/>
      <c r="I134" s="73"/>
      <c r="J134" s="73"/>
    </row>
    <row r="138" spans="2:10" x14ac:dyDescent="0.3">
      <c r="B138" s="73"/>
      <c r="C138" s="73"/>
      <c r="D138" s="73"/>
      <c r="E138" s="2"/>
      <c r="F138" s="2"/>
      <c r="G138" s="2"/>
      <c r="H138" s="73"/>
      <c r="I138" s="73"/>
      <c r="J138" s="73"/>
    </row>
    <row r="139" spans="2:10" x14ac:dyDescent="0.3">
      <c r="B139" s="73"/>
      <c r="C139" s="73"/>
      <c r="D139" s="73"/>
      <c r="E139" s="2"/>
      <c r="F139" s="2"/>
      <c r="G139" s="2"/>
      <c r="H139" s="73"/>
      <c r="I139" s="73"/>
      <c r="J139" s="73"/>
    </row>
    <row r="144" spans="2:10" x14ac:dyDescent="0.3">
      <c r="B144" s="73"/>
      <c r="C144" s="73"/>
      <c r="D144" s="73"/>
      <c r="E144" s="2"/>
      <c r="F144" s="2"/>
      <c r="G144" s="2"/>
      <c r="H144" s="73"/>
      <c r="I144" s="73"/>
      <c r="J144" s="73"/>
    </row>
    <row r="150" spans="2:10" x14ac:dyDescent="0.3">
      <c r="B150" s="73"/>
      <c r="C150" s="73"/>
      <c r="D150" s="73"/>
      <c r="E150" s="2"/>
      <c r="F150" s="2"/>
      <c r="G150" s="2"/>
      <c r="H150" s="73"/>
      <c r="I150" s="73"/>
      <c r="J150" s="73"/>
    </row>
    <row r="151" spans="2:10" x14ac:dyDescent="0.3">
      <c r="B151" s="73"/>
      <c r="C151" s="73"/>
      <c r="D151" s="73"/>
      <c r="E151" s="2"/>
      <c r="F151" s="2"/>
      <c r="G151" s="2"/>
      <c r="H151" s="73"/>
      <c r="I151" s="73"/>
      <c r="J151" s="73"/>
    </row>
    <row r="152" spans="2:10" x14ac:dyDescent="0.3">
      <c r="B152" s="73"/>
      <c r="C152" s="73"/>
      <c r="D152" s="73"/>
      <c r="E152" s="2"/>
      <c r="F152" s="2"/>
      <c r="G152" s="2"/>
      <c r="H152" s="73"/>
      <c r="I152" s="73"/>
      <c r="J152" s="73"/>
    </row>
    <row r="153" spans="2:10" x14ac:dyDescent="0.3">
      <c r="B153" s="73"/>
      <c r="C153" s="73"/>
      <c r="D153" s="73"/>
      <c r="E153" s="2"/>
      <c r="F153" s="2"/>
      <c r="G153" s="2"/>
      <c r="H153" s="73"/>
      <c r="I153" s="73"/>
      <c r="J153" s="73"/>
    </row>
    <row r="156" spans="2:10" x14ac:dyDescent="0.3">
      <c r="B156" s="73"/>
      <c r="C156" s="73"/>
      <c r="D156" s="73"/>
      <c r="E156" s="2"/>
      <c r="F156" s="2"/>
      <c r="G156" s="2"/>
      <c r="H156" s="73"/>
      <c r="I156" s="73"/>
      <c r="J156" s="73"/>
    </row>
    <row r="162" spans="2:10" x14ac:dyDescent="0.3">
      <c r="B162" s="73"/>
      <c r="C162" s="73"/>
      <c r="D162" s="73"/>
      <c r="E162" s="2"/>
      <c r="F162" s="2"/>
      <c r="G162" s="2"/>
      <c r="H162" s="73"/>
      <c r="I162" s="73"/>
      <c r="J162" s="73"/>
    </row>
    <row r="163" spans="2:10" x14ac:dyDescent="0.3">
      <c r="B163" s="73"/>
      <c r="C163" s="73"/>
      <c r="D163" s="73"/>
      <c r="E163" s="2"/>
      <c r="F163" s="2"/>
      <c r="G163" s="2"/>
      <c r="H163" s="73"/>
      <c r="I163" s="73"/>
      <c r="J163" s="73"/>
    </row>
    <row r="166" spans="2:10" x14ac:dyDescent="0.3">
      <c r="B166" s="73"/>
      <c r="C166" s="73"/>
      <c r="D166" s="73"/>
      <c r="E166" s="2"/>
      <c r="F166" s="2"/>
      <c r="G166" s="2"/>
      <c r="H166" s="73"/>
      <c r="I166" s="73"/>
      <c r="J166" s="73"/>
    </row>
    <row r="172" spans="2:10" x14ac:dyDescent="0.3">
      <c r="B172" s="73"/>
      <c r="C172" s="73"/>
      <c r="D172" s="73"/>
      <c r="E172" s="2"/>
      <c r="F172" s="2"/>
      <c r="G172" s="2"/>
      <c r="H172" s="73"/>
      <c r="I172" s="73"/>
      <c r="J172" s="73"/>
    </row>
    <row r="178" spans="2:10" x14ac:dyDescent="0.3">
      <c r="B178" s="73"/>
      <c r="C178" s="73"/>
      <c r="D178" s="73"/>
      <c r="E178" s="2"/>
      <c r="F178" s="2"/>
      <c r="G178" s="2"/>
      <c r="H178" s="73"/>
      <c r="I178" s="73"/>
      <c r="J178" s="73"/>
    </row>
    <row r="184" spans="2:10" x14ac:dyDescent="0.3">
      <c r="B184" s="73"/>
      <c r="C184" s="73"/>
      <c r="D184" s="73"/>
      <c r="E184" s="2"/>
      <c r="F184" s="2"/>
      <c r="G184" s="2"/>
      <c r="H184" s="73"/>
      <c r="I184" s="73"/>
      <c r="J184" s="73"/>
    </row>
    <row r="190" spans="2:10" x14ac:dyDescent="0.3">
      <c r="B190" s="73"/>
      <c r="C190" s="73"/>
      <c r="D190" s="73"/>
      <c r="E190" s="2"/>
      <c r="F190" s="2"/>
      <c r="G190" s="2"/>
      <c r="H190" s="73"/>
      <c r="I190" s="73"/>
      <c r="J190" s="73"/>
    </row>
    <row r="191" spans="2:10" x14ac:dyDescent="0.3">
      <c r="B191" s="73"/>
      <c r="C191" s="73"/>
      <c r="D191" s="73"/>
      <c r="E191" s="2"/>
      <c r="F191" s="2"/>
      <c r="G191" s="2"/>
      <c r="H191" s="73"/>
      <c r="I191" s="73"/>
      <c r="J191" s="73"/>
    </row>
    <row r="196" spans="2:10" x14ac:dyDescent="0.3">
      <c r="B196" s="73"/>
      <c r="C196" s="73"/>
      <c r="D196" s="73"/>
      <c r="E196" s="2"/>
      <c r="F196" s="2"/>
      <c r="G196" s="2"/>
      <c r="H196" s="73"/>
      <c r="I196" s="73"/>
      <c r="J196" s="73"/>
    </row>
    <row r="197" spans="2:10" x14ac:dyDescent="0.3">
      <c r="B197" s="73"/>
      <c r="C197" s="73"/>
      <c r="D197" s="73"/>
      <c r="E197" s="2"/>
      <c r="F197" s="2"/>
      <c r="G197" s="2"/>
      <c r="H197" s="73"/>
      <c r="I197" s="73"/>
      <c r="J197" s="73"/>
    </row>
    <row r="202" spans="2:10" x14ac:dyDescent="0.3">
      <c r="B202" s="73"/>
      <c r="C202" s="73"/>
      <c r="D202" s="73"/>
      <c r="E202" s="2"/>
      <c r="F202" s="2"/>
      <c r="G202" s="2"/>
      <c r="H202" s="73"/>
      <c r="I202" s="73"/>
      <c r="J202" s="73"/>
    </row>
    <row r="208" spans="2:10" x14ac:dyDescent="0.3">
      <c r="B208" s="73"/>
      <c r="C208" s="73"/>
      <c r="D208" s="73"/>
      <c r="E208" s="2"/>
      <c r="F208" s="2"/>
      <c r="G208" s="2"/>
      <c r="H208" s="73"/>
      <c r="I208" s="73"/>
      <c r="J208" s="73"/>
    </row>
    <row r="214" spans="2:10" x14ac:dyDescent="0.3">
      <c r="B214" s="73"/>
      <c r="C214" s="73"/>
      <c r="D214" s="73"/>
      <c r="E214" s="2"/>
      <c r="F214" s="2"/>
      <c r="G214" s="2"/>
      <c r="H214" s="73"/>
      <c r="I214" s="73"/>
      <c r="J214" s="73"/>
    </row>
    <row r="215" spans="2:10" x14ac:dyDescent="0.3">
      <c r="B215" s="73"/>
      <c r="C215" s="73"/>
      <c r="D215" s="73"/>
      <c r="E215" s="2"/>
      <c r="F215" s="2"/>
      <c r="G215" s="2"/>
      <c r="H215" s="73"/>
      <c r="I215" s="73"/>
      <c r="J215" s="73"/>
    </row>
    <row r="220" spans="2:10" x14ac:dyDescent="0.3">
      <c r="B220" s="73"/>
      <c r="C220" s="73"/>
      <c r="D220" s="73"/>
      <c r="E220" s="2"/>
      <c r="F220" s="2"/>
      <c r="G220" s="2"/>
      <c r="H220" s="73"/>
      <c r="I220" s="73"/>
      <c r="J220" s="73"/>
    </row>
    <row r="221" spans="2:10" x14ac:dyDescent="0.3">
      <c r="B221" s="73"/>
      <c r="C221" s="73"/>
      <c r="D221" s="73"/>
      <c r="E221" s="2"/>
      <c r="F221" s="2"/>
      <c r="G221" s="2"/>
      <c r="H221" s="73"/>
      <c r="I221" s="73"/>
      <c r="J221" s="73"/>
    </row>
    <row r="222" spans="2:10" x14ac:dyDescent="0.3">
      <c r="B222" s="73"/>
      <c r="C222" s="73"/>
      <c r="D222" s="73"/>
      <c r="E222" s="2"/>
      <c r="F222" s="2"/>
      <c r="G222" s="2"/>
      <c r="H222" s="73"/>
      <c r="I222" s="73"/>
      <c r="J222" s="73"/>
    </row>
    <row r="226" spans="2:10" x14ac:dyDescent="0.3">
      <c r="B226" s="73"/>
      <c r="C226" s="73"/>
      <c r="D226" s="73"/>
      <c r="E226" s="2"/>
      <c r="F226" s="2"/>
      <c r="G226" s="2"/>
      <c r="H226" s="73"/>
      <c r="I226" s="73"/>
      <c r="J226" s="73"/>
    </row>
    <row r="227" spans="2:10" x14ac:dyDescent="0.3">
      <c r="B227" s="73"/>
      <c r="C227" s="73"/>
      <c r="D227" s="73"/>
      <c r="E227" s="2"/>
      <c r="F227" s="2"/>
      <c r="G227" s="2"/>
      <c r="H227" s="73"/>
      <c r="I227" s="73"/>
      <c r="J227" s="73"/>
    </row>
    <row r="232" spans="2:10" x14ac:dyDescent="0.3">
      <c r="B232" s="73"/>
      <c r="C232" s="73"/>
      <c r="D232" s="73"/>
      <c r="E232" s="2"/>
      <c r="F232" s="2"/>
      <c r="G232" s="2"/>
      <c r="H232" s="73"/>
      <c r="I232" s="73"/>
      <c r="J232" s="73"/>
    </row>
    <row r="238" spans="2:10" x14ac:dyDescent="0.3">
      <c r="B238" s="73"/>
      <c r="C238" s="73"/>
      <c r="D238" s="73"/>
      <c r="E238" s="2"/>
      <c r="F238" s="2"/>
      <c r="G238" s="2"/>
      <c r="H238" s="73"/>
      <c r="I238" s="73"/>
      <c r="J238" s="73"/>
    </row>
    <row r="239" spans="2:10" x14ac:dyDescent="0.3">
      <c r="B239" s="73"/>
      <c r="C239" s="73"/>
      <c r="D239" s="73"/>
      <c r="E239" s="2"/>
      <c r="F239" s="2"/>
      <c r="G239" s="2"/>
      <c r="H239" s="73"/>
      <c r="I239" s="73"/>
      <c r="J239" s="73"/>
    </row>
    <row r="240" spans="2:10" x14ac:dyDescent="0.3">
      <c r="B240" s="73"/>
      <c r="C240" s="73"/>
      <c r="D240" s="73"/>
      <c r="E240" s="2"/>
      <c r="F240" s="2"/>
      <c r="G240" s="2"/>
      <c r="H240" s="73"/>
      <c r="I240" s="73"/>
      <c r="J240" s="73"/>
    </row>
    <row r="244" spans="2:10" x14ac:dyDescent="0.3">
      <c r="B244" s="73"/>
      <c r="C244" s="73"/>
      <c r="D244" s="73"/>
      <c r="E244" s="2"/>
      <c r="F244" s="2"/>
      <c r="G244" s="2"/>
      <c r="H244" s="73"/>
      <c r="I244" s="73"/>
      <c r="J244" s="73"/>
    </row>
    <row r="245" spans="2:10" x14ac:dyDescent="0.3">
      <c r="B245" s="73"/>
      <c r="C245" s="73"/>
      <c r="D245" s="73"/>
      <c r="E245" s="2"/>
      <c r="F245" s="2"/>
      <c r="G245" s="2"/>
      <c r="H245" s="73"/>
      <c r="I245" s="73"/>
      <c r="J245" s="73"/>
    </row>
    <row r="250" spans="2:10" x14ac:dyDescent="0.3">
      <c r="B250" s="73"/>
      <c r="C250" s="73"/>
      <c r="D250" s="73"/>
      <c r="E250" s="2"/>
      <c r="F250" s="2"/>
      <c r="G250" s="2"/>
      <c r="H250" s="73"/>
      <c r="I250" s="73"/>
      <c r="J250" s="73"/>
    </row>
    <row r="256" spans="2:10" x14ac:dyDescent="0.3">
      <c r="B256" s="73"/>
      <c r="C256" s="73"/>
      <c r="D256" s="73"/>
      <c r="E256" s="2"/>
      <c r="F256" s="2"/>
      <c r="G256" s="2"/>
      <c r="H256" s="73"/>
      <c r="I256" s="73"/>
      <c r="J256" s="73"/>
    </row>
    <row r="257" spans="2:10" x14ac:dyDescent="0.3">
      <c r="B257" s="73"/>
      <c r="C257" s="73"/>
      <c r="D257" s="73"/>
      <c r="E257" s="2"/>
      <c r="F257" s="2"/>
      <c r="G257" s="2"/>
      <c r="H257" s="73"/>
      <c r="I257" s="73"/>
      <c r="J257" s="73"/>
    </row>
    <row r="258" spans="2:10" x14ac:dyDescent="0.3">
      <c r="B258" s="73"/>
      <c r="C258" s="73"/>
      <c r="D258" s="73"/>
      <c r="E258" s="2"/>
      <c r="F258" s="2"/>
      <c r="G258" s="2"/>
      <c r="H258" s="73"/>
      <c r="I258" s="73"/>
      <c r="J258" s="73"/>
    </row>
    <row r="259" spans="2:10" x14ac:dyDescent="0.3">
      <c r="B259" s="73"/>
      <c r="C259" s="73"/>
      <c r="D259" s="73"/>
      <c r="E259" s="2"/>
      <c r="F259" s="2"/>
      <c r="G259" s="2"/>
      <c r="H259" s="73"/>
      <c r="I259" s="73"/>
      <c r="J259" s="73"/>
    </row>
    <row r="262" spans="2:10" x14ac:dyDescent="0.3">
      <c r="B262" s="73"/>
      <c r="C262" s="73"/>
      <c r="D262" s="73"/>
      <c r="E262" s="2"/>
      <c r="F262" s="2"/>
      <c r="G262" s="2"/>
      <c r="H262" s="73"/>
      <c r="I262" s="73"/>
      <c r="J262" s="73"/>
    </row>
    <row r="268" spans="2:10" x14ac:dyDescent="0.3">
      <c r="B268" s="73"/>
      <c r="C268" s="73"/>
      <c r="D268" s="73"/>
      <c r="E268" s="2"/>
      <c r="F268" s="2"/>
      <c r="G268" s="2"/>
      <c r="H268" s="73"/>
      <c r="I268" s="73"/>
      <c r="J268" s="73"/>
    </row>
    <row r="269" spans="2:10" x14ac:dyDescent="0.3">
      <c r="B269" s="73"/>
      <c r="C269" s="73"/>
      <c r="D269" s="73"/>
      <c r="E269" s="2"/>
      <c r="F269" s="2"/>
      <c r="G269" s="2"/>
      <c r="H269" s="73"/>
      <c r="I269" s="73"/>
      <c r="J269" s="73"/>
    </row>
    <row r="274" spans="2:10" x14ac:dyDescent="0.3">
      <c r="B274" s="73"/>
      <c r="C274" s="73"/>
      <c r="D274" s="73"/>
      <c r="E274" s="2"/>
      <c r="F274" s="2"/>
      <c r="G274" s="2"/>
      <c r="H274" s="73"/>
      <c r="I274" s="73"/>
      <c r="J274" s="73"/>
    </row>
    <row r="275" spans="2:10" x14ac:dyDescent="0.3">
      <c r="B275" s="73"/>
      <c r="C275" s="73"/>
      <c r="D275" s="73"/>
      <c r="E275" s="2"/>
      <c r="F275" s="2"/>
      <c r="G275" s="2"/>
      <c r="H275" s="73"/>
      <c r="I275" s="73"/>
      <c r="J275" s="73"/>
    </row>
    <row r="276" spans="2:10" x14ac:dyDescent="0.3">
      <c r="B276" s="73"/>
      <c r="C276" s="73"/>
      <c r="D276" s="73"/>
      <c r="E276" s="2"/>
      <c r="F276" s="2"/>
      <c r="G276" s="2"/>
      <c r="H276" s="73"/>
      <c r="I276" s="73"/>
      <c r="J276" s="73"/>
    </row>
    <row r="277" spans="2:10" x14ac:dyDescent="0.3">
      <c r="B277" s="73"/>
      <c r="C277" s="73"/>
      <c r="D277" s="73"/>
      <c r="E277" s="2"/>
      <c r="F277" s="2"/>
      <c r="G277" s="2"/>
      <c r="H277" s="73"/>
      <c r="I277" s="73"/>
      <c r="J277" s="73"/>
    </row>
    <row r="280" spans="2:10" x14ac:dyDescent="0.3">
      <c r="B280" s="73"/>
      <c r="C280" s="73"/>
      <c r="D280" s="73"/>
      <c r="E280" s="2"/>
      <c r="F280" s="2"/>
      <c r="G280" s="2"/>
      <c r="H280" s="73"/>
      <c r="I280" s="73"/>
      <c r="J280" s="73"/>
    </row>
    <row r="286" spans="2:10" x14ac:dyDescent="0.3">
      <c r="B286" s="73"/>
      <c r="C286" s="73"/>
      <c r="D286" s="73"/>
      <c r="E286" s="2"/>
      <c r="F286" s="2"/>
      <c r="G286" s="2"/>
      <c r="H286" s="73"/>
      <c r="I286" s="73"/>
      <c r="J286" s="73"/>
    </row>
    <row r="292" spans="2:10" x14ac:dyDescent="0.3">
      <c r="B292" s="73"/>
      <c r="C292" s="73"/>
      <c r="D292" s="73"/>
      <c r="E292" s="2"/>
      <c r="F292" s="2"/>
      <c r="G292" s="2"/>
      <c r="H292" s="73"/>
      <c r="I292" s="73"/>
      <c r="J292" s="73"/>
    </row>
    <row r="298" spans="2:10" x14ac:dyDescent="0.3">
      <c r="B298" s="73"/>
      <c r="C298" s="73"/>
      <c r="D298" s="73"/>
      <c r="E298" s="2"/>
      <c r="F298" s="2"/>
      <c r="G298" s="2"/>
      <c r="H298" s="73"/>
      <c r="I298" s="73"/>
      <c r="J298" s="73"/>
    </row>
    <row r="304" spans="2:10" x14ac:dyDescent="0.3">
      <c r="B304" s="73"/>
      <c r="C304" s="73"/>
      <c r="D304" s="73"/>
      <c r="E304" s="2"/>
      <c r="F304" s="2"/>
      <c r="G304" s="2"/>
      <c r="H304" s="73"/>
      <c r="I304" s="73"/>
      <c r="J304" s="73"/>
    </row>
    <row r="305" spans="2:10" x14ac:dyDescent="0.3">
      <c r="B305" s="73"/>
      <c r="C305" s="73"/>
      <c r="D305" s="73"/>
      <c r="E305" s="2"/>
      <c r="F305" s="2"/>
      <c r="G305" s="2"/>
      <c r="H305" s="73"/>
      <c r="I305" s="73"/>
      <c r="J305" s="73"/>
    </row>
    <row r="310" spans="2:10" x14ac:dyDescent="0.3">
      <c r="B310" s="73"/>
      <c r="C310" s="73"/>
      <c r="D310" s="73"/>
      <c r="E310" s="2"/>
      <c r="F310" s="2"/>
      <c r="G310" s="2"/>
      <c r="H310" s="73"/>
      <c r="I310" s="73"/>
      <c r="J310" s="73"/>
    </row>
    <row r="311" spans="2:10" x14ac:dyDescent="0.3">
      <c r="B311" s="73"/>
      <c r="C311" s="73"/>
      <c r="D311" s="73"/>
      <c r="E311" s="2"/>
      <c r="F311" s="2"/>
      <c r="G311" s="2"/>
      <c r="H311" s="73"/>
      <c r="I311" s="73"/>
      <c r="J311" s="73"/>
    </row>
    <row r="316" spans="2:10" x14ac:dyDescent="0.3">
      <c r="B316" s="73"/>
      <c r="C316" s="73"/>
      <c r="D316" s="73"/>
      <c r="E316" s="2"/>
      <c r="F316" s="2"/>
      <c r="G316" s="2"/>
      <c r="H316" s="73"/>
      <c r="I316" s="73"/>
      <c r="J316" s="73"/>
    </row>
    <row r="322" spans="2:10" x14ac:dyDescent="0.3">
      <c r="B322" s="73"/>
      <c r="C322" s="73"/>
      <c r="D322" s="73"/>
      <c r="E322" s="2"/>
      <c r="F322" s="2"/>
      <c r="G322" s="2"/>
      <c r="H322" s="73"/>
      <c r="I322" s="73"/>
      <c r="J322" s="73"/>
    </row>
    <row r="328" spans="2:10" x14ac:dyDescent="0.3">
      <c r="B328" s="73"/>
      <c r="C328" s="73"/>
      <c r="D328" s="73"/>
      <c r="E328" s="2"/>
      <c r="F328" s="2"/>
      <c r="G328" s="2"/>
      <c r="H328" s="73"/>
      <c r="I328" s="73"/>
      <c r="J328" s="73"/>
    </row>
    <row r="329" spans="2:10" x14ac:dyDescent="0.3">
      <c r="B329" s="73"/>
      <c r="C329" s="73"/>
      <c r="D329" s="73"/>
      <c r="E329" s="2"/>
      <c r="F329" s="2"/>
      <c r="G329" s="2"/>
      <c r="H329" s="73"/>
      <c r="I329" s="73"/>
      <c r="J329" s="73"/>
    </row>
    <row r="334" spans="2:10" x14ac:dyDescent="0.3">
      <c r="B334" s="73"/>
      <c r="C334" s="73"/>
      <c r="D334" s="73"/>
      <c r="E334" s="2"/>
      <c r="F334" s="2"/>
      <c r="G334" s="2"/>
      <c r="H334" s="73"/>
      <c r="I334" s="73"/>
      <c r="J334" s="73"/>
    </row>
    <row r="335" spans="2:10" x14ac:dyDescent="0.3">
      <c r="B335" s="73"/>
      <c r="C335" s="73"/>
      <c r="D335" s="73"/>
      <c r="E335" s="2"/>
      <c r="F335" s="2"/>
      <c r="G335" s="2"/>
      <c r="H335" s="73"/>
      <c r="I335" s="73"/>
      <c r="J335" s="73"/>
    </row>
    <row r="336" spans="2:10" x14ac:dyDescent="0.3">
      <c r="B336" s="73"/>
      <c r="C336" s="73"/>
      <c r="D336" s="73"/>
      <c r="E336" s="2"/>
      <c r="F336" s="2"/>
      <c r="G336" s="2"/>
      <c r="H336" s="73"/>
      <c r="I336" s="73"/>
      <c r="J336" s="73"/>
    </row>
    <row r="340" spans="2:10" x14ac:dyDescent="0.3">
      <c r="B340" s="73"/>
      <c r="C340" s="73"/>
      <c r="D340" s="73"/>
      <c r="E340" s="2"/>
      <c r="F340" s="2"/>
      <c r="G340" s="2"/>
      <c r="H340" s="73"/>
      <c r="I340" s="73"/>
      <c r="J340" s="73"/>
    </row>
    <row r="341" spans="2:10" x14ac:dyDescent="0.3">
      <c r="B341" s="73"/>
      <c r="C341" s="73"/>
      <c r="D341" s="73"/>
      <c r="E341" s="2"/>
      <c r="F341" s="2"/>
      <c r="G341" s="2"/>
      <c r="H341" s="73"/>
      <c r="I341" s="73"/>
      <c r="J341" s="73"/>
    </row>
    <row r="346" spans="2:10" x14ac:dyDescent="0.3">
      <c r="B346" s="73"/>
      <c r="C346" s="73"/>
      <c r="D346" s="73"/>
      <c r="E346" s="2"/>
      <c r="F346" s="2"/>
      <c r="G346" s="2"/>
      <c r="H346" s="73"/>
      <c r="I346" s="73"/>
      <c r="J346" s="73"/>
    </row>
    <row r="352" spans="2:10" x14ac:dyDescent="0.3">
      <c r="B352" s="73"/>
      <c r="C352" s="73"/>
      <c r="D352" s="73"/>
      <c r="E352" s="2"/>
      <c r="F352" s="2"/>
      <c r="G352" s="2"/>
      <c r="H352" s="73"/>
      <c r="I352" s="73"/>
      <c r="J352" s="73"/>
    </row>
    <row r="353" spans="2:10" x14ac:dyDescent="0.3">
      <c r="B353" s="73"/>
      <c r="C353" s="73"/>
      <c r="D353" s="73"/>
      <c r="E353" s="2"/>
      <c r="F353" s="2"/>
      <c r="G353" s="2"/>
      <c r="H353" s="73"/>
      <c r="I353" s="73"/>
      <c r="J353" s="73"/>
    </row>
    <row r="354" spans="2:10" x14ac:dyDescent="0.3">
      <c r="B354" s="73"/>
      <c r="C354" s="73"/>
      <c r="D354" s="73"/>
      <c r="E354" s="2"/>
      <c r="F354" s="2"/>
      <c r="G354" s="2"/>
      <c r="H354" s="73"/>
      <c r="I354" s="73"/>
      <c r="J354" s="73"/>
    </row>
    <row r="358" spans="2:10" x14ac:dyDescent="0.3">
      <c r="B358" s="73"/>
      <c r="C358" s="73"/>
      <c r="D358" s="73"/>
      <c r="E358" s="2"/>
      <c r="F358" s="2"/>
      <c r="G358" s="2"/>
      <c r="H358" s="73"/>
      <c r="I358" s="73"/>
      <c r="J358" s="73"/>
    </row>
    <row r="359" spans="2:10" x14ac:dyDescent="0.3">
      <c r="B359" s="73"/>
      <c r="C359" s="73"/>
      <c r="D359" s="73"/>
      <c r="E359" s="2"/>
      <c r="F359" s="2"/>
      <c r="G359" s="2"/>
      <c r="H359" s="73"/>
      <c r="I359" s="73"/>
      <c r="J359" s="73"/>
    </row>
    <row r="364" spans="2:10" x14ac:dyDescent="0.3">
      <c r="B364" s="73"/>
      <c r="C364" s="73"/>
      <c r="D364" s="73"/>
      <c r="E364" s="2"/>
      <c r="F364" s="2"/>
      <c r="G364" s="2"/>
      <c r="H364" s="73"/>
      <c r="I364" s="73"/>
      <c r="J364" s="73"/>
    </row>
    <row r="370" spans="2:10" x14ac:dyDescent="0.3">
      <c r="B370" s="73"/>
      <c r="C370" s="73"/>
      <c r="D370" s="73"/>
      <c r="E370" s="2"/>
      <c r="F370" s="2"/>
      <c r="G370" s="2"/>
      <c r="H370" s="73"/>
      <c r="I370" s="73"/>
      <c r="J370" s="73"/>
    </row>
    <row r="371" spans="2:10" x14ac:dyDescent="0.3">
      <c r="B371" s="73"/>
      <c r="C371" s="73"/>
      <c r="D371" s="73"/>
      <c r="E371" s="2"/>
      <c r="F371" s="2"/>
      <c r="G371" s="2"/>
      <c r="H371" s="73"/>
      <c r="I371" s="73"/>
      <c r="J371" s="73"/>
    </row>
    <row r="372" spans="2:10" x14ac:dyDescent="0.3">
      <c r="B372" s="73"/>
      <c r="C372" s="73"/>
      <c r="D372" s="73"/>
      <c r="E372" s="2"/>
      <c r="F372" s="2"/>
      <c r="G372" s="2"/>
      <c r="H372" s="73"/>
      <c r="I372" s="73"/>
      <c r="J372" s="73"/>
    </row>
    <row r="373" spans="2:10" x14ac:dyDescent="0.3">
      <c r="B373" s="73"/>
      <c r="C373" s="73"/>
      <c r="D373" s="73"/>
      <c r="E373" s="2"/>
      <c r="F373" s="2"/>
      <c r="G373" s="2"/>
      <c r="H373" s="73"/>
      <c r="I373" s="73"/>
      <c r="J373" s="73"/>
    </row>
    <row r="376" spans="2:10" x14ac:dyDescent="0.3">
      <c r="B376" s="73"/>
      <c r="C376" s="73"/>
      <c r="D376" s="73"/>
      <c r="E376" s="2"/>
      <c r="F376" s="2"/>
      <c r="G376" s="2"/>
      <c r="H376" s="73"/>
      <c r="I376" s="73"/>
      <c r="J376" s="73"/>
    </row>
    <row r="382" spans="2:10" x14ac:dyDescent="0.3">
      <c r="B382" s="73"/>
      <c r="C382" s="73"/>
      <c r="D382" s="73"/>
      <c r="E382" s="2"/>
      <c r="F382" s="2"/>
      <c r="G382" s="2"/>
      <c r="H382" s="73"/>
      <c r="I382" s="73"/>
      <c r="J382" s="73"/>
    </row>
    <row r="383" spans="2:10" x14ac:dyDescent="0.3">
      <c r="B383" s="73"/>
      <c r="C383" s="73"/>
      <c r="D383" s="73"/>
      <c r="E383" s="2"/>
      <c r="F383" s="2"/>
      <c r="G383" s="2"/>
      <c r="H383" s="73"/>
      <c r="I383" s="73"/>
      <c r="J383" s="73"/>
    </row>
    <row r="385" spans="2:10" x14ac:dyDescent="0.3">
      <c r="B385" s="73"/>
      <c r="C385" s="73"/>
      <c r="D385" s="73"/>
      <c r="E385" s="2"/>
      <c r="F385" s="2"/>
      <c r="G385" s="2"/>
      <c r="H385" s="73"/>
      <c r="I385" s="73"/>
      <c r="J385" s="73"/>
    </row>
    <row r="391" spans="2:10" x14ac:dyDescent="0.3">
      <c r="B391" s="73"/>
      <c r="C391" s="73"/>
      <c r="D391" s="73"/>
      <c r="E391" s="2"/>
      <c r="F391" s="2"/>
      <c r="G391" s="2"/>
      <c r="H391" s="73"/>
      <c r="I391" s="73"/>
      <c r="J391" s="73"/>
    </row>
    <row r="392" spans="2:10" x14ac:dyDescent="0.3">
      <c r="B392" s="73"/>
      <c r="C392" s="73"/>
      <c r="D392" s="73"/>
      <c r="E392" s="2"/>
      <c r="F392" s="2"/>
      <c r="G392" s="2"/>
      <c r="H392" s="73"/>
      <c r="I392" s="73"/>
      <c r="J392" s="73"/>
    </row>
    <row r="397" spans="2:10" x14ac:dyDescent="0.3">
      <c r="B397" s="73"/>
      <c r="C397" s="73"/>
      <c r="D397" s="73"/>
      <c r="E397" s="2"/>
      <c r="F397" s="2"/>
      <c r="G397" s="2"/>
      <c r="H397" s="73"/>
      <c r="I397" s="73"/>
      <c r="J397" s="73"/>
    </row>
    <row r="398" spans="2:10" x14ac:dyDescent="0.3">
      <c r="B398" s="73"/>
      <c r="C398" s="73"/>
      <c r="D398" s="73"/>
      <c r="E398" s="2"/>
      <c r="F398" s="2"/>
      <c r="G398" s="2"/>
      <c r="H398" s="73"/>
      <c r="I398" s="73"/>
      <c r="J398" s="73"/>
    </row>
    <row r="399" spans="2:10" x14ac:dyDescent="0.3">
      <c r="B399" s="73"/>
      <c r="C399" s="73"/>
      <c r="D399" s="73"/>
      <c r="E399" s="2"/>
      <c r="F399" s="2"/>
      <c r="G399" s="2"/>
      <c r="H399" s="73"/>
      <c r="I399" s="73"/>
      <c r="J399" s="73"/>
    </row>
    <row r="400" spans="2:10" x14ac:dyDescent="0.3">
      <c r="B400" s="73"/>
      <c r="C400" s="73"/>
      <c r="D400" s="73"/>
      <c r="E400" s="2"/>
      <c r="F400" s="2"/>
      <c r="G400" s="2"/>
      <c r="H400" s="73"/>
      <c r="I400" s="73"/>
      <c r="J400" s="73"/>
    </row>
    <row r="401" spans="2:10" x14ac:dyDescent="0.3">
      <c r="B401" s="73"/>
      <c r="C401" s="73"/>
      <c r="D401" s="73"/>
      <c r="E401" s="2"/>
      <c r="F401" s="2"/>
      <c r="G401" s="2"/>
      <c r="H401" s="73"/>
      <c r="I401" s="73"/>
      <c r="J401" s="73"/>
    </row>
    <row r="402" spans="2:10" x14ac:dyDescent="0.3">
      <c r="B402" s="73"/>
      <c r="C402" s="73"/>
      <c r="D402" s="73"/>
      <c r="E402" s="2"/>
      <c r="F402" s="2"/>
      <c r="G402" s="2"/>
      <c r="H402" s="73"/>
      <c r="I402" s="73"/>
      <c r="J402" s="73"/>
    </row>
    <row r="403" spans="2:10" x14ac:dyDescent="0.3">
      <c r="B403" s="73"/>
      <c r="C403" s="73"/>
      <c r="D403" s="73"/>
      <c r="E403" s="2"/>
      <c r="F403" s="2"/>
      <c r="G403" s="2"/>
      <c r="H403" s="73"/>
      <c r="I403" s="73"/>
      <c r="J403" s="73"/>
    </row>
    <row r="404" spans="2:10" x14ac:dyDescent="0.3">
      <c r="B404" s="73"/>
      <c r="C404" s="73"/>
      <c r="D404" s="73"/>
      <c r="E404" s="2"/>
      <c r="F404" s="2"/>
      <c r="G404" s="2"/>
      <c r="H404" s="73"/>
      <c r="I404" s="73"/>
      <c r="J404" s="73"/>
    </row>
  </sheetData>
  <sortState xmlns:xlrd2="http://schemas.microsoft.com/office/spreadsheetml/2017/richdata2" ref="K3:L25">
    <sortCondition descending="1" ref="L3:L25"/>
  </sortState>
  <mergeCells count="219">
    <mergeCell ref="B280:D280"/>
    <mergeCell ref="H280:J280"/>
    <mergeCell ref="B304:D304"/>
    <mergeCell ref="H304:J304"/>
    <mergeCell ref="B305:D305"/>
    <mergeCell ref="H305:J305"/>
    <mergeCell ref="B298:D298"/>
    <mergeCell ref="H298:J298"/>
    <mergeCell ref="B292:D292"/>
    <mergeCell ref="H292:J292"/>
    <mergeCell ref="B286:D286"/>
    <mergeCell ref="H286:J286"/>
    <mergeCell ref="B328:D328"/>
    <mergeCell ref="H328:J328"/>
    <mergeCell ref="B329:D329"/>
    <mergeCell ref="H329:J329"/>
    <mergeCell ref="B322:D322"/>
    <mergeCell ref="H322:J322"/>
    <mergeCell ref="B316:D316"/>
    <mergeCell ref="H316:J316"/>
    <mergeCell ref="B310:D310"/>
    <mergeCell ref="H310:J310"/>
    <mergeCell ref="B311:D311"/>
    <mergeCell ref="H311:J311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64:D364"/>
    <mergeCell ref="H364:J364"/>
    <mergeCell ref="B358:D358"/>
    <mergeCell ref="H358:J358"/>
    <mergeCell ref="B359:D359"/>
    <mergeCell ref="H359:J359"/>
    <mergeCell ref="B352:D352"/>
    <mergeCell ref="H352:J352"/>
    <mergeCell ref="B353:D353"/>
    <mergeCell ref="H353:J353"/>
    <mergeCell ref="B354:D354"/>
    <mergeCell ref="H354:J354"/>
    <mergeCell ref="B404:D404"/>
    <mergeCell ref="H404:J404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401:D401"/>
    <mergeCell ref="H401:J401"/>
    <mergeCell ref="B402:D402"/>
    <mergeCell ref="H402:J402"/>
    <mergeCell ref="B370:D370"/>
    <mergeCell ref="H370:J370"/>
    <mergeCell ref="B371:D371"/>
    <mergeCell ref="H371:J371"/>
    <mergeCell ref="B372:D372"/>
    <mergeCell ref="H372:J372"/>
    <mergeCell ref="B373:D373"/>
    <mergeCell ref="H373:J373"/>
    <mergeCell ref="B403:D403"/>
    <mergeCell ref="H403:J403"/>
    <mergeCell ref="B391:D391"/>
    <mergeCell ref="H391:J391"/>
    <mergeCell ref="B392:D392"/>
    <mergeCell ref="H392:J392"/>
    <mergeCell ref="B385:D385"/>
    <mergeCell ref="H385:J385"/>
    <mergeCell ref="B382:D382"/>
    <mergeCell ref="H382:J382"/>
    <mergeCell ref="B383:D383"/>
    <mergeCell ref="H383:J383"/>
    <mergeCell ref="B376:D376"/>
    <mergeCell ref="H376:J376"/>
    <mergeCell ref="B277:D277"/>
    <mergeCell ref="H277:J277"/>
    <mergeCell ref="B268:D268"/>
    <mergeCell ref="H268:J268"/>
    <mergeCell ref="B269:D269"/>
    <mergeCell ref="H269:J269"/>
    <mergeCell ref="B274:D274"/>
    <mergeCell ref="H274:J274"/>
    <mergeCell ref="B275:D275"/>
    <mergeCell ref="H275:J275"/>
    <mergeCell ref="B276:D276"/>
    <mergeCell ref="H276:J276"/>
    <mergeCell ref="B262:D262"/>
    <mergeCell ref="H262:J262"/>
    <mergeCell ref="B256:D256"/>
    <mergeCell ref="H256:J256"/>
    <mergeCell ref="B257:D257"/>
    <mergeCell ref="H257:J257"/>
    <mergeCell ref="B258:D258"/>
    <mergeCell ref="H258:J258"/>
    <mergeCell ref="B259:D259"/>
    <mergeCell ref="H259:J259"/>
    <mergeCell ref="B239:D239"/>
    <mergeCell ref="H239:J239"/>
    <mergeCell ref="B240:D240"/>
    <mergeCell ref="H240:J240"/>
    <mergeCell ref="B250:D250"/>
    <mergeCell ref="H250:J250"/>
    <mergeCell ref="B244:D244"/>
    <mergeCell ref="H244:J244"/>
    <mergeCell ref="B245:D245"/>
    <mergeCell ref="H245:J245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38:D238"/>
    <mergeCell ref="H238:J238"/>
    <mergeCell ref="B214:D214"/>
    <mergeCell ref="H214:J214"/>
    <mergeCell ref="B215:D215"/>
    <mergeCell ref="H215:J215"/>
    <mergeCell ref="B208:D208"/>
    <mergeCell ref="H208:J208"/>
    <mergeCell ref="B220:D220"/>
    <mergeCell ref="H220:J220"/>
    <mergeCell ref="B221:D221"/>
    <mergeCell ref="H221:J221"/>
    <mergeCell ref="B190:D190"/>
    <mergeCell ref="H190:J190"/>
    <mergeCell ref="B191:D191"/>
    <mergeCell ref="H191:J191"/>
    <mergeCell ref="B184:D184"/>
    <mergeCell ref="H184:J184"/>
    <mergeCell ref="B202:D202"/>
    <mergeCell ref="H202:J202"/>
    <mergeCell ref="B196:D196"/>
    <mergeCell ref="H196:J196"/>
    <mergeCell ref="B197:D197"/>
    <mergeCell ref="H197:J197"/>
    <mergeCell ref="B162:D162"/>
    <mergeCell ref="H162:J162"/>
    <mergeCell ref="B163:D163"/>
    <mergeCell ref="H163:J163"/>
    <mergeCell ref="B156:D156"/>
    <mergeCell ref="H156:J156"/>
    <mergeCell ref="B178:D178"/>
    <mergeCell ref="H178:J178"/>
    <mergeCell ref="B172:D172"/>
    <mergeCell ref="H172:J172"/>
    <mergeCell ref="B166:D166"/>
    <mergeCell ref="H166:J166"/>
    <mergeCell ref="B133:D133"/>
    <mergeCell ref="H133:J133"/>
    <mergeCell ref="B134:D134"/>
    <mergeCell ref="H134:J134"/>
    <mergeCell ref="B153:D153"/>
    <mergeCell ref="H153:J153"/>
    <mergeCell ref="B144:D144"/>
    <mergeCell ref="H144:J144"/>
    <mergeCell ref="B138:D138"/>
    <mergeCell ref="H138:J138"/>
    <mergeCell ref="B139:D139"/>
    <mergeCell ref="H139:J139"/>
    <mergeCell ref="B150:D150"/>
    <mergeCell ref="H150:J150"/>
    <mergeCell ref="B151:D151"/>
    <mergeCell ref="H151:J151"/>
    <mergeCell ref="B152:D152"/>
    <mergeCell ref="H152:J152"/>
    <mergeCell ref="B116:D116"/>
    <mergeCell ref="H116:J116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08:D108"/>
    <mergeCell ref="H108:J108"/>
    <mergeCell ref="B109:D109"/>
    <mergeCell ref="H109:J109"/>
    <mergeCell ref="B102:D102"/>
    <mergeCell ref="H102:J102"/>
    <mergeCell ref="B114:D114"/>
    <mergeCell ref="H114:J114"/>
    <mergeCell ref="B115:D115"/>
    <mergeCell ref="H115:J115"/>
    <mergeCell ref="B85:D85"/>
    <mergeCell ref="H85:J85"/>
    <mergeCell ref="B78:D78"/>
    <mergeCell ref="H78:J78"/>
    <mergeCell ref="B96:D96"/>
    <mergeCell ref="H96:J96"/>
    <mergeCell ref="B90:D90"/>
    <mergeCell ref="H90:J90"/>
    <mergeCell ref="B91:D91"/>
    <mergeCell ref="H91:J91"/>
    <mergeCell ref="M1:O1"/>
    <mergeCell ref="P1:R1"/>
    <mergeCell ref="S1:U1"/>
    <mergeCell ref="V1:X1"/>
    <mergeCell ref="B72:D72"/>
    <mergeCell ref="H72:J72"/>
    <mergeCell ref="B66:D66"/>
    <mergeCell ref="H66:J66"/>
    <mergeCell ref="B84:D84"/>
    <mergeCell ref="H84:J84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3" customWidth="1"/>
    <col min="2" max="4" width="6.33203125" style="2" customWidth="1"/>
    <col min="5" max="5" width="15.33203125" style="14" customWidth="1"/>
  </cols>
  <sheetData>
    <row r="1" spans="1:5" x14ac:dyDescent="0.3">
      <c r="A1" s="13" t="s">
        <v>134</v>
      </c>
    </row>
    <row r="2" spans="1:5" x14ac:dyDescent="0.3">
      <c r="A2" s="13" t="s">
        <v>19</v>
      </c>
      <c r="B2" s="2">
        <v>2</v>
      </c>
      <c r="C2" s="2" t="s">
        <v>47</v>
      </c>
      <c r="D2" s="2">
        <v>1</v>
      </c>
      <c r="E2" s="14" t="s">
        <v>157</v>
      </c>
    </row>
    <row r="3" spans="1:5" x14ac:dyDescent="0.3">
      <c r="A3" s="13" t="s">
        <v>5</v>
      </c>
      <c r="B3" s="2">
        <v>2</v>
      </c>
      <c r="C3" s="2" t="s">
        <v>47</v>
      </c>
      <c r="D3" s="2">
        <v>1</v>
      </c>
      <c r="E3" s="14" t="s">
        <v>6</v>
      </c>
    </row>
    <row r="4" spans="1:5" x14ac:dyDescent="0.3">
      <c r="A4" s="13" t="s">
        <v>22</v>
      </c>
      <c r="B4" s="2">
        <v>1</v>
      </c>
      <c r="C4" s="2" t="s">
        <v>47</v>
      </c>
      <c r="D4" s="2">
        <v>2</v>
      </c>
      <c r="E4" s="14" t="s">
        <v>12</v>
      </c>
    </row>
    <row r="5" spans="1:5" x14ac:dyDescent="0.3">
      <c r="A5" s="13" t="s">
        <v>8</v>
      </c>
      <c r="B5" s="2">
        <v>2</v>
      </c>
      <c r="C5" s="2" t="s">
        <v>47</v>
      </c>
      <c r="D5" s="2">
        <v>0</v>
      </c>
      <c r="E5" s="14" t="s">
        <v>158</v>
      </c>
    </row>
    <row r="6" spans="1:5" x14ac:dyDescent="0.3">
      <c r="A6" s="13" t="s">
        <v>20</v>
      </c>
      <c r="B6" s="2">
        <v>2</v>
      </c>
      <c r="C6" s="2" t="s">
        <v>47</v>
      </c>
      <c r="D6" s="2">
        <v>0</v>
      </c>
      <c r="E6" s="14" t="s">
        <v>27</v>
      </c>
    </row>
    <row r="7" spans="1:5" x14ac:dyDescent="0.3">
      <c r="A7" s="13" t="s">
        <v>17</v>
      </c>
      <c r="B7" s="2">
        <v>2</v>
      </c>
      <c r="C7" s="2" t="s">
        <v>47</v>
      </c>
      <c r="D7" s="2">
        <v>1</v>
      </c>
      <c r="E7" s="14" t="s">
        <v>25</v>
      </c>
    </row>
    <row r="8" spans="1:5" x14ac:dyDescent="0.3">
      <c r="A8" s="13" t="s">
        <v>23</v>
      </c>
      <c r="B8" s="2">
        <v>2</v>
      </c>
      <c r="C8" s="2" t="s">
        <v>47</v>
      </c>
      <c r="D8" s="2">
        <v>1</v>
      </c>
      <c r="E8" s="14" t="s">
        <v>15</v>
      </c>
    </row>
    <row r="9" spans="1:5" x14ac:dyDescent="0.3">
      <c r="A9" s="13" t="s">
        <v>26</v>
      </c>
      <c r="B9" s="2">
        <v>2</v>
      </c>
      <c r="C9" s="2" t="s">
        <v>47</v>
      </c>
      <c r="D9" s="2">
        <v>2</v>
      </c>
      <c r="E9" s="14" t="s">
        <v>29</v>
      </c>
    </row>
    <row r="11" spans="1:5" x14ac:dyDescent="0.3">
      <c r="A11" s="13" t="s">
        <v>135</v>
      </c>
    </row>
    <row r="12" spans="1:5" x14ac:dyDescent="0.3">
      <c r="A12" s="13" t="s">
        <v>19</v>
      </c>
      <c r="B12" s="2">
        <v>1</v>
      </c>
      <c r="C12" s="2" t="s">
        <v>47</v>
      </c>
      <c r="D12" s="2">
        <v>1</v>
      </c>
      <c r="E12" s="14" t="s">
        <v>157</v>
      </c>
    </row>
    <row r="13" spans="1:5" x14ac:dyDescent="0.3">
      <c r="A13" s="13" t="s">
        <v>5</v>
      </c>
      <c r="B13" s="2">
        <v>1</v>
      </c>
      <c r="C13" s="2" t="s">
        <v>47</v>
      </c>
      <c r="D13" s="2">
        <v>1</v>
      </c>
      <c r="E13" s="14" t="s">
        <v>6</v>
      </c>
    </row>
    <row r="14" spans="1:5" x14ac:dyDescent="0.3">
      <c r="A14" s="13" t="s">
        <v>22</v>
      </c>
      <c r="B14" s="2">
        <v>1</v>
      </c>
      <c r="C14" s="2" t="s">
        <v>47</v>
      </c>
      <c r="D14" s="2">
        <v>1</v>
      </c>
      <c r="E14" s="14" t="s">
        <v>12</v>
      </c>
    </row>
    <row r="15" spans="1:5" x14ac:dyDescent="0.3">
      <c r="A15" s="13" t="s">
        <v>8</v>
      </c>
      <c r="B15" s="2">
        <v>1</v>
      </c>
      <c r="C15" s="2" t="s">
        <v>47</v>
      </c>
      <c r="D15" s="2">
        <v>1</v>
      </c>
      <c r="E15" s="14" t="s">
        <v>158</v>
      </c>
    </row>
    <row r="16" spans="1:5" x14ac:dyDescent="0.3">
      <c r="A16" s="13" t="s">
        <v>20</v>
      </c>
      <c r="B16" s="2">
        <v>1</v>
      </c>
      <c r="C16" s="2" t="s">
        <v>47</v>
      </c>
      <c r="D16" s="2">
        <v>1</v>
      </c>
      <c r="E16" s="14" t="s">
        <v>27</v>
      </c>
    </row>
    <row r="17" spans="1:5" x14ac:dyDescent="0.3">
      <c r="A17" s="13" t="s">
        <v>17</v>
      </c>
      <c r="B17" s="2">
        <v>1</v>
      </c>
      <c r="C17" s="2" t="s">
        <v>47</v>
      </c>
      <c r="D17" s="2">
        <v>1</v>
      </c>
      <c r="E17" s="14" t="s">
        <v>25</v>
      </c>
    </row>
    <row r="18" spans="1:5" x14ac:dyDescent="0.3">
      <c r="A18" s="13" t="s">
        <v>23</v>
      </c>
      <c r="B18" s="2">
        <v>1</v>
      </c>
      <c r="C18" s="2" t="s">
        <v>47</v>
      </c>
      <c r="D18" s="2">
        <v>1</v>
      </c>
      <c r="E18" s="14" t="s">
        <v>15</v>
      </c>
    </row>
    <row r="19" spans="1:5" x14ac:dyDescent="0.3">
      <c r="A19" s="13" t="s">
        <v>26</v>
      </c>
      <c r="B19" s="2">
        <v>1</v>
      </c>
      <c r="C19" s="2" t="s">
        <v>47</v>
      </c>
      <c r="D19" s="2">
        <v>1</v>
      </c>
      <c r="E19" s="14" t="s">
        <v>29</v>
      </c>
    </row>
    <row r="21" spans="1:5" x14ac:dyDescent="0.3">
      <c r="A21" s="13" t="s">
        <v>136</v>
      </c>
    </row>
    <row r="22" spans="1:5" x14ac:dyDescent="0.3">
      <c r="A22" s="13" t="s">
        <v>19</v>
      </c>
      <c r="B22" s="2">
        <v>2</v>
      </c>
      <c r="C22" s="2" t="s">
        <v>47</v>
      </c>
      <c r="D22" s="2">
        <v>1</v>
      </c>
      <c r="E22" s="14" t="s">
        <v>157</v>
      </c>
    </row>
    <row r="23" spans="1:5" x14ac:dyDescent="0.3">
      <c r="A23" s="13" t="s">
        <v>5</v>
      </c>
      <c r="B23" s="2">
        <v>2</v>
      </c>
      <c r="C23" s="2" t="s">
        <v>47</v>
      </c>
      <c r="D23" s="2">
        <v>0</v>
      </c>
      <c r="E23" s="14" t="s">
        <v>6</v>
      </c>
    </row>
    <row r="24" spans="1:5" x14ac:dyDescent="0.3">
      <c r="A24" s="13" t="s">
        <v>22</v>
      </c>
      <c r="B24" s="2">
        <v>1</v>
      </c>
      <c r="C24" s="2" t="s">
        <v>47</v>
      </c>
      <c r="D24" s="2">
        <v>2</v>
      </c>
      <c r="E24" s="14" t="s">
        <v>12</v>
      </c>
    </row>
    <row r="25" spans="1:5" x14ac:dyDescent="0.3">
      <c r="A25" s="13" t="s">
        <v>8</v>
      </c>
      <c r="B25" s="2">
        <v>2</v>
      </c>
      <c r="C25" s="2" t="s">
        <v>47</v>
      </c>
      <c r="D25" s="2">
        <v>0</v>
      </c>
      <c r="E25" s="14" t="s">
        <v>158</v>
      </c>
    </row>
    <row r="26" spans="1:5" x14ac:dyDescent="0.3">
      <c r="A26" s="13" t="s">
        <v>20</v>
      </c>
      <c r="B26" s="2">
        <v>1</v>
      </c>
      <c r="C26" s="2" t="s">
        <v>47</v>
      </c>
      <c r="D26" s="2">
        <v>2</v>
      </c>
      <c r="E26" s="14" t="s">
        <v>27</v>
      </c>
    </row>
    <row r="27" spans="1:5" x14ac:dyDescent="0.3">
      <c r="A27" s="13" t="s">
        <v>17</v>
      </c>
      <c r="B27" s="2">
        <v>2</v>
      </c>
      <c r="C27" s="2" t="s">
        <v>47</v>
      </c>
      <c r="D27" s="2">
        <v>0</v>
      </c>
      <c r="E27" s="14" t="s">
        <v>25</v>
      </c>
    </row>
    <row r="28" spans="1:5" x14ac:dyDescent="0.3">
      <c r="A28" s="13" t="s">
        <v>23</v>
      </c>
      <c r="B28" s="2">
        <v>1</v>
      </c>
      <c r="C28" s="2" t="s">
        <v>47</v>
      </c>
      <c r="D28" s="2">
        <v>3</v>
      </c>
      <c r="E28" s="14" t="s">
        <v>15</v>
      </c>
    </row>
    <row r="29" spans="1:5" x14ac:dyDescent="0.3">
      <c r="A29" s="13" t="s">
        <v>26</v>
      </c>
      <c r="B29" s="2">
        <v>1</v>
      </c>
      <c r="C29" s="2" t="s">
        <v>47</v>
      </c>
      <c r="D29" s="2">
        <v>0</v>
      </c>
      <c r="E29" s="14" t="s">
        <v>29</v>
      </c>
    </row>
    <row r="31" spans="1:5" x14ac:dyDescent="0.3">
      <c r="A31" s="13" t="s">
        <v>137</v>
      </c>
    </row>
    <row r="32" spans="1:5" x14ac:dyDescent="0.3">
      <c r="A32" s="13" t="s">
        <v>19</v>
      </c>
      <c r="B32" s="2">
        <v>3</v>
      </c>
      <c r="C32" s="2" t="s">
        <v>47</v>
      </c>
      <c r="D32" s="2">
        <v>2</v>
      </c>
      <c r="E32" s="14" t="s">
        <v>157</v>
      </c>
    </row>
    <row r="33" spans="1:5" x14ac:dyDescent="0.3">
      <c r="A33" s="13" t="s">
        <v>5</v>
      </c>
      <c r="B33" s="2">
        <v>3</v>
      </c>
      <c r="C33" s="2" t="s">
        <v>47</v>
      </c>
      <c r="D33" s="2">
        <v>1</v>
      </c>
      <c r="E33" s="14" t="s">
        <v>6</v>
      </c>
    </row>
    <row r="34" spans="1:5" x14ac:dyDescent="0.3">
      <c r="A34" s="13" t="s">
        <v>22</v>
      </c>
      <c r="B34" s="2">
        <v>2</v>
      </c>
      <c r="C34" s="2" t="s">
        <v>47</v>
      </c>
      <c r="D34" s="2">
        <v>3</v>
      </c>
      <c r="E34" s="14" t="s">
        <v>12</v>
      </c>
    </row>
    <row r="35" spans="1:5" x14ac:dyDescent="0.3">
      <c r="A35" s="13" t="s">
        <v>8</v>
      </c>
      <c r="B35" s="2">
        <v>3</v>
      </c>
      <c r="C35" s="2" t="s">
        <v>47</v>
      </c>
      <c r="D35" s="2">
        <v>2</v>
      </c>
      <c r="E35" s="14" t="s">
        <v>158</v>
      </c>
    </row>
    <row r="36" spans="1:5" x14ac:dyDescent="0.3">
      <c r="A36" s="13" t="s">
        <v>20</v>
      </c>
      <c r="B36" s="2">
        <v>3</v>
      </c>
      <c r="C36" s="2" t="s">
        <v>47</v>
      </c>
      <c r="D36" s="2">
        <v>2</v>
      </c>
      <c r="E36" s="14" t="s">
        <v>27</v>
      </c>
    </row>
    <row r="37" spans="1:5" x14ac:dyDescent="0.3">
      <c r="A37" s="13" t="s">
        <v>17</v>
      </c>
      <c r="B37" s="2">
        <v>3</v>
      </c>
      <c r="C37" s="2" t="s">
        <v>47</v>
      </c>
      <c r="D37" s="2">
        <v>2</v>
      </c>
      <c r="E37" s="14" t="s">
        <v>25</v>
      </c>
    </row>
    <row r="38" spans="1:5" x14ac:dyDescent="0.3">
      <c r="A38" s="13" t="s">
        <v>23</v>
      </c>
      <c r="B38" s="2">
        <v>1</v>
      </c>
      <c r="C38" s="2" t="s">
        <v>47</v>
      </c>
      <c r="D38" s="2">
        <v>3</v>
      </c>
      <c r="E38" s="14" t="s">
        <v>15</v>
      </c>
    </row>
    <row r="39" spans="1:5" x14ac:dyDescent="0.3">
      <c r="A39" s="13" t="s">
        <v>26</v>
      </c>
      <c r="B39" s="2">
        <v>3</v>
      </c>
      <c r="C39" s="2" t="s">
        <v>47</v>
      </c>
      <c r="D39" s="2">
        <v>1</v>
      </c>
      <c r="E39" s="14" t="s">
        <v>29</v>
      </c>
    </row>
    <row r="41" spans="1:5" x14ac:dyDescent="0.3">
      <c r="A41" s="13" t="s">
        <v>138</v>
      </c>
    </row>
    <row r="42" spans="1:5" x14ac:dyDescent="0.3">
      <c r="A42" s="13" t="s">
        <v>19</v>
      </c>
      <c r="B42" s="2">
        <v>1</v>
      </c>
      <c r="C42" s="2" t="s">
        <v>47</v>
      </c>
      <c r="D42" s="2">
        <v>0</v>
      </c>
      <c r="E42" s="14" t="s">
        <v>157</v>
      </c>
    </row>
    <row r="43" spans="1:5" x14ac:dyDescent="0.3">
      <c r="A43" s="13" t="s">
        <v>5</v>
      </c>
      <c r="B43" s="2">
        <v>2</v>
      </c>
      <c r="C43" s="2" t="s">
        <v>47</v>
      </c>
      <c r="D43" s="2">
        <v>0</v>
      </c>
      <c r="E43" s="14" t="s">
        <v>6</v>
      </c>
    </row>
    <row r="44" spans="1:5" x14ac:dyDescent="0.3">
      <c r="A44" s="13" t="s">
        <v>22</v>
      </c>
      <c r="B44" s="2">
        <v>2</v>
      </c>
      <c r="C44" s="2" t="s">
        <v>47</v>
      </c>
      <c r="D44" s="2">
        <v>1</v>
      </c>
      <c r="E44" s="14" t="s">
        <v>12</v>
      </c>
    </row>
    <row r="45" spans="1:5" x14ac:dyDescent="0.3">
      <c r="A45" s="13" t="s">
        <v>8</v>
      </c>
      <c r="B45" s="2">
        <v>2</v>
      </c>
      <c r="C45" s="2" t="s">
        <v>47</v>
      </c>
      <c r="D45" s="2">
        <v>1</v>
      </c>
      <c r="E45" s="14" t="s">
        <v>158</v>
      </c>
    </row>
    <row r="46" spans="1:5" x14ac:dyDescent="0.3">
      <c r="A46" s="13" t="s">
        <v>20</v>
      </c>
      <c r="B46" s="2">
        <v>1</v>
      </c>
      <c r="C46" s="2" t="s">
        <v>47</v>
      </c>
      <c r="D46" s="2">
        <v>1</v>
      </c>
      <c r="E46" s="14" t="s">
        <v>27</v>
      </c>
    </row>
    <row r="47" spans="1:5" x14ac:dyDescent="0.3">
      <c r="A47" s="13" t="s">
        <v>17</v>
      </c>
      <c r="B47" s="2">
        <v>1</v>
      </c>
      <c r="C47" s="2" t="s">
        <v>47</v>
      </c>
      <c r="D47" s="2">
        <v>0</v>
      </c>
      <c r="E47" s="14" t="s">
        <v>25</v>
      </c>
    </row>
    <row r="48" spans="1:5" x14ac:dyDescent="0.3">
      <c r="A48" s="13" t="s">
        <v>23</v>
      </c>
      <c r="B48" s="2">
        <v>1</v>
      </c>
      <c r="C48" s="2" t="s">
        <v>47</v>
      </c>
      <c r="D48" s="2">
        <v>1</v>
      </c>
      <c r="E48" s="14" t="s">
        <v>15</v>
      </c>
    </row>
    <row r="49" spans="1:5" x14ac:dyDescent="0.3">
      <c r="A49" s="13" t="s">
        <v>26</v>
      </c>
      <c r="B49" s="2">
        <v>2</v>
      </c>
      <c r="C49" s="2" t="s">
        <v>47</v>
      </c>
      <c r="D49" s="2">
        <v>2</v>
      </c>
      <c r="E49" s="14" t="s">
        <v>29</v>
      </c>
    </row>
    <row r="51" spans="1:5" x14ac:dyDescent="0.3">
      <c r="A51" s="13" t="s">
        <v>139</v>
      </c>
    </row>
    <row r="52" spans="1:5" x14ac:dyDescent="0.3">
      <c r="A52" s="13" t="s">
        <v>19</v>
      </c>
      <c r="B52" s="2">
        <v>2</v>
      </c>
      <c r="C52" s="2" t="s">
        <v>47</v>
      </c>
      <c r="D52" s="2">
        <v>0</v>
      </c>
      <c r="E52" s="14" t="s">
        <v>157</v>
      </c>
    </row>
    <row r="53" spans="1:5" x14ac:dyDescent="0.3">
      <c r="A53" s="13" t="s">
        <v>5</v>
      </c>
      <c r="B53" s="2">
        <v>2</v>
      </c>
      <c r="C53" s="2" t="s">
        <v>47</v>
      </c>
      <c r="D53" s="2">
        <v>1</v>
      </c>
      <c r="E53" s="14" t="s">
        <v>6</v>
      </c>
    </row>
    <row r="54" spans="1:5" x14ac:dyDescent="0.3">
      <c r="A54" s="13" t="s">
        <v>22</v>
      </c>
      <c r="B54" s="2">
        <v>1</v>
      </c>
      <c r="C54" s="2" t="s">
        <v>47</v>
      </c>
      <c r="D54" s="2">
        <v>0</v>
      </c>
      <c r="E54" s="14" t="s">
        <v>12</v>
      </c>
    </row>
    <row r="55" spans="1:5" x14ac:dyDescent="0.3">
      <c r="A55" s="13" t="s">
        <v>8</v>
      </c>
      <c r="B55" s="2">
        <v>2</v>
      </c>
      <c r="C55" s="2" t="s">
        <v>47</v>
      </c>
      <c r="D55" s="2">
        <v>0</v>
      </c>
      <c r="E55" s="14" t="s">
        <v>158</v>
      </c>
    </row>
    <row r="56" spans="1:5" x14ac:dyDescent="0.3">
      <c r="A56" s="13" t="s">
        <v>20</v>
      </c>
      <c r="B56" s="2">
        <v>3</v>
      </c>
      <c r="C56" s="2" t="s">
        <v>47</v>
      </c>
      <c r="D56" s="2">
        <v>1</v>
      </c>
      <c r="E56" s="14" t="s">
        <v>27</v>
      </c>
    </row>
    <row r="57" spans="1:5" x14ac:dyDescent="0.3">
      <c r="A57" s="13" t="s">
        <v>17</v>
      </c>
      <c r="B57" s="2">
        <v>2</v>
      </c>
      <c r="C57" s="2" t="s">
        <v>47</v>
      </c>
      <c r="D57" s="2">
        <v>0</v>
      </c>
      <c r="E57" s="14" t="s">
        <v>25</v>
      </c>
    </row>
    <row r="58" spans="1:5" x14ac:dyDescent="0.3">
      <c r="A58" s="13" t="s">
        <v>23</v>
      </c>
      <c r="B58" s="2">
        <v>1</v>
      </c>
      <c r="C58" s="2" t="s">
        <v>47</v>
      </c>
      <c r="D58" s="2">
        <v>2</v>
      </c>
      <c r="E58" s="14" t="s">
        <v>15</v>
      </c>
    </row>
    <row r="59" spans="1:5" x14ac:dyDescent="0.3">
      <c r="A59" s="13" t="s">
        <v>26</v>
      </c>
      <c r="B59" s="2">
        <v>1</v>
      </c>
      <c r="C59" s="2" t="s">
        <v>47</v>
      </c>
      <c r="D59" s="2">
        <v>0</v>
      </c>
      <c r="E59" s="14" t="s">
        <v>29</v>
      </c>
    </row>
    <row r="61" spans="1:5" x14ac:dyDescent="0.3">
      <c r="A61" s="13" t="s">
        <v>140</v>
      </c>
    </row>
    <row r="62" spans="1:5" x14ac:dyDescent="0.3">
      <c r="A62" s="13" t="s">
        <v>19</v>
      </c>
      <c r="B62" s="2">
        <v>2</v>
      </c>
      <c r="C62" s="2" t="s">
        <v>47</v>
      </c>
      <c r="D62" s="2">
        <v>0</v>
      </c>
      <c r="E62" s="14" t="s">
        <v>157</v>
      </c>
    </row>
    <row r="63" spans="1:5" x14ac:dyDescent="0.3">
      <c r="A63" s="13" t="s">
        <v>5</v>
      </c>
      <c r="B63" s="2">
        <v>1</v>
      </c>
      <c r="C63" s="2" t="s">
        <v>47</v>
      </c>
      <c r="D63" s="2">
        <v>0</v>
      </c>
      <c r="E63" s="14" t="s">
        <v>6</v>
      </c>
    </row>
    <row r="64" spans="1:5" x14ac:dyDescent="0.3">
      <c r="A64" s="13" t="s">
        <v>22</v>
      </c>
      <c r="B64" s="2">
        <v>1</v>
      </c>
      <c r="C64" s="2" t="s">
        <v>47</v>
      </c>
      <c r="D64" s="2">
        <v>2</v>
      </c>
      <c r="E64" s="14" t="s">
        <v>12</v>
      </c>
    </row>
    <row r="65" spans="1:5" x14ac:dyDescent="0.3">
      <c r="A65" s="13" t="s">
        <v>8</v>
      </c>
      <c r="B65" s="2">
        <v>1</v>
      </c>
      <c r="C65" s="2" t="s">
        <v>47</v>
      </c>
      <c r="D65" s="2">
        <v>0</v>
      </c>
      <c r="E65" s="14" t="s">
        <v>158</v>
      </c>
    </row>
    <row r="66" spans="1:5" x14ac:dyDescent="0.3">
      <c r="A66" s="13" t="s">
        <v>20</v>
      </c>
      <c r="B66" s="2">
        <v>2</v>
      </c>
      <c r="C66" s="2" t="s">
        <v>47</v>
      </c>
      <c r="D66" s="2">
        <v>0</v>
      </c>
      <c r="E66" s="14" t="s">
        <v>27</v>
      </c>
    </row>
    <row r="67" spans="1:5" x14ac:dyDescent="0.3">
      <c r="A67" s="13" t="s">
        <v>17</v>
      </c>
      <c r="B67" s="2">
        <v>3</v>
      </c>
      <c r="C67" s="2" t="s">
        <v>47</v>
      </c>
      <c r="D67" s="2">
        <v>0</v>
      </c>
      <c r="E67" s="14" t="s">
        <v>25</v>
      </c>
    </row>
    <row r="68" spans="1:5" x14ac:dyDescent="0.3">
      <c r="A68" s="13" t="s">
        <v>23</v>
      </c>
      <c r="B68" s="2">
        <v>0</v>
      </c>
      <c r="C68" s="2" t="s">
        <v>47</v>
      </c>
      <c r="D68" s="2">
        <v>2</v>
      </c>
      <c r="E68" s="14" t="s">
        <v>15</v>
      </c>
    </row>
    <row r="69" spans="1:5" x14ac:dyDescent="0.3">
      <c r="A69" s="13" t="s">
        <v>26</v>
      </c>
      <c r="B69" s="2">
        <v>2</v>
      </c>
      <c r="C69" s="2" t="s">
        <v>47</v>
      </c>
      <c r="D69" s="2">
        <v>1</v>
      </c>
      <c r="E69" s="14" t="s">
        <v>29</v>
      </c>
    </row>
    <row r="71" spans="1:5" x14ac:dyDescent="0.3">
      <c r="A71" s="13" t="s">
        <v>141</v>
      </c>
    </row>
    <row r="72" spans="1:5" x14ac:dyDescent="0.3">
      <c r="A72" s="13" t="s">
        <v>19</v>
      </c>
      <c r="B72" s="2">
        <v>2</v>
      </c>
      <c r="C72" s="2" t="s">
        <v>47</v>
      </c>
      <c r="D72" s="2">
        <v>0</v>
      </c>
      <c r="E72" s="14" t="s">
        <v>157</v>
      </c>
    </row>
    <row r="73" spans="1:5" x14ac:dyDescent="0.3">
      <c r="A73" s="13" t="s">
        <v>5</v>
      </c>
      <c r="B73" s="2">
        <v>2</v>
      </c>
      <c r="C73" s="2" t="s">
        <v>47</v>
      </c>
      <c r="D73" s="2">
        <v>1</v>
      </c>
      <c r="E73" s="14" t="s">
        <v>6</v>
      </c>
    </row>
    <row r="74" spans="1:5" x14ac:dyDescent="0.3">
      <c r="A74" s="13" t="s">
        <v>22</v>
      </c>
      <c r="B74" s="2">
        <v>2</v>
      </c>
      <c r="C74" s="2" t="s">
        <v>47</v>
      </c>
      <c r="D74" s="2">
        <v>2</v>
      </c>
      <c r="E74" s="14" t="s">
        <v>12</v>
      </c>
    </row>
    <row r="75" spans="1:5" x14ac:dyDescent="0.3">
      <c r="A75" s="13" t="s">
        <v>8</v>
      </c>
      <c r="B75" s="2">
        <v>2</v>
      </c>
      <c r="C75" s="2" t="s">
        <v>47</v>
      </c>
      <c r="D75" s="2">
        <v>1</v>
      </c>
      <c r="E75" s="14" t="s">
        <v>158</v>
      </c>
    </row>
    <row r="76" spans="1:5" x14ac:dyDescent="0.3">
      <c r="A76" s="13" t="s">
        <v>20</v>
      </c>
      <c r="B76" s="2">
        <v>2</v>
      </c>
      <c r="C76" s="2" t="s">
        <v>47</v>
      </c>
      <c r="D76" s="2">
        <v>0</v>
      </c>
      <c r="E76" s="14" t="s">
        <v>27</v>
      </c>
    </row>
    <row r="77" spans="1:5" x14ac:dyDescent="0.3">
      <c r="A77" s="13" t="s">
        <v>17</v>
      </c>
      <c r="B77" s="2">
        <v>2</v>
      </c>
      <c r="C77" s="2" t="s">
        <v>47</v>
      </c>
      <c r="D77" s="2">
        <v>0</v>
      </c>
      <c r="E77" s="14" t="s">
        <v>25</v>
      </c>
    </row>
    <row r="78" spans="1:5" x14ac:dyDescent="0.3">
      <c r="A78" s="13" t="s">
        <v>23</v>
      </c>
      <c r="B78" s="2">
        <v>1</v>
      </c>
      <c r="C78" s="2" t="s">
        <v>47</v>
      </c>
      <c r="D78" s="2">
        <v>0</v>
      </c>
      <c r="E78" s="14" t="s">
        <v>15</v>
      </c>
    </row>
    <row r="79" spans="1:5" x14ac:dyDescent="0.3">
      <c r="A79" s="13" t="s">
        <v>26</v>
      </c>
      <c r="B79" s="2">
        <v>0</v>
      </c>
      <c r="C79" s="2" t="s">
        <v>47</v>
      </c>
      <c r="D79" s="2">
        <v>0</v>
      </c>
      <c r="E79" s="14" t="s">
        <v>29</v>
      </c>
    </row>
    <row r="81" spans="1:5" x14ac:dyDescent="0.3">
      <c r="A81" s="13" t="s">
        <v>142</v>
      </c>
    </row>
    <row r="82" spans="1:5" x14ac:dyDescent="0.3">
      <c r="A82" s="13" t="s">
        <v>19</v>
      </c>
      <c r="B82" s="2">
        <v>1</v>
      </c>
      <c r="C82" s="2" t="s">
        <v>47</v>
      </c>
      <c r="D82" s="2">
        <v>0</v>
      </c>
      <c r="E82" s="14" t="s">
        <v>157</v>
      </c>
    </row>
    <row r="83" spans="1:5" x14ac:dyDescent="0.3">
      <c r="A83" s="13" t="s">
        <v>5</v>
      </c>
      <c r="B83" s="2">
        <v>2</v>
      </c>
      <c r="C83" s="2" t="s">
        <v>47</v>
      </c>
      <c r="D83" s="2">
        <v>0</v>
      </c>
      <c r="E83" s="14" t="s">
        <v>6</v>
      </c>
    </row>
    <row r="84" spans="1:5" x14ac:dyDescent="0.3">
      <c r="A84" s="13" t="s">
        <v>22</v>
      </c>
      <c r="B84" s="2">
        <v>1</v>
      </c>
      <c r="C84" s="2" t="s">
        <v>47</v>
      </c>
      <c r="D84" s="2">
        <v>1</v>
      </c>
      <c r="E84" s="14" t="s">
        <v>12</v>
      </c>
    </row>
    <row r="85" spans="1:5" x14ac:dyDescent="0.3">
      <c r="A85" s="13" t="s">
        <v>8</v>
      </c>
      <c r="B85" s="2">
        <v>2</v>
      </c>
      <c r="C85" s="2" t="s">
        <v>47</v>
      </c>
      <c r="D85" s="2">
        <v>0</v>
      </c>
      <c r="E85" s="14" t="s">
        <v>158</v>
      </c>
    </row>
    <row r="86" spans="1:5" x14ac:dyDescent="0.3">
      <c r="A86" s="13" t="s">
        <v>20</v>
      </c>
      <c r="B86" s="2">
        <v>1</v>
      </c>
      <c r="C86" s="2" t="s">
        <v>47</v>
      </c>
      <c r="D86" s="2">
        <v>0</v>
      </c>
      <c r="E86" s="14" t="s">
        <v>27</v>
      </c>
    </row>
    <row r="87" spans="1:5" x14ac:dyDescent="0.3">
      <c r="A87" s="13" t="s">
        <v>17</v>
      </c>
      <c r="B87" s="2">
        <v>3</v>
      </c>
      <c r="C87" s="2" t="s">
        <v>47</v>
      </c>
      <c r="D87" s="2">
        <v>0</v>
      </c>
      <c r="E87" s="14" t="s">
        <v>25</v>
      </c>
    </row>
    <row r="88" spans="1:5" x14ac:dyDescent="0.3">
      <c r="A88" s="13" t="s">
        <v>23</v>
      </c>
      <c r="B88" s="2">
        <v>0</v>
      </c>
      <c r="C88" s="2" t="s">
        <v>47</v>
      </c>
      <c r="D88" s="2">
        <v>1</v>
      </c>
      <c r="E88" s="14" t="s">
        <v>15</v>
      </c>
    </row>
    <row r="89" spans="1:5" x14ac:dyDescent="0.3">
      <c r="A89" s="13" t="s">
        <v>26</v>
      </c>
      <c r="B89" s="2">
        <v>1</v>
      </c>
      <c r="C89" s="2" t="s">
        <v>47</v>
      </c>
      <c r="D89" s="2">
        <v>1</v>
      </c>
      <c r="E89" s="14" t="s">
        <v>29</v>
      </c>
    </row>
    <row r="91" spans="1:5" x14ac:dyDescent="0.3">
      <c r="A91" s="13" t="s">
        <v>143</v>
      </c>
    </row>
    <row r="92" spans="1:5" x14ac:dyDescent="0.3">
      <c r="A92" s="13" t="s">
        <v>19</v>
      </c>
      <c r="B92" s="2">
        <v>1</v>
      </c>
      <c r="C92" s="2" t="s">
        <v>47</v>
      </c>
      <c r="D92" s="2">
        <v>2</v>
      </c>
      <c r="E92" s="14" t="s">
        <v>157</v>
      </c>
    </row>
    <row r="93" spans="1:5" x14ac:dyDescent="0.3">
      <c r="A93" s="13" t="s">
        <v>5</v>
      </c>
      <c r="B93" s="2">
        <v>1</v>
      </c>
      <c r="C93" s="2" t="s">
        <v>47</v>
      </c>
      <c r="D93" s="2">
        <v>0</v>
      </c>
      <c r="E93" s="14" t="s">
        <v>6</v>
      </c>
    </row>
    <row r="94" spans="1:5" x14ac:dyDescent="0.3">
      <c r="A94" s="13" t="s">
        <v>22</v>
      </c>
      <c r="B94" s="2">
        <v>2</v>
      </c>
      <c r="C94" s="2" t="s">
        <v>47</v>
      </c>
      <c r="D94" s="2">
        <v>1</v>
      </c>
      <c r="E94" s="14" t="s">
        <v>12</v>
      </c>
    </row>
    <row r="95" spans="1:5" x14ac:dyDescent="0.3">
      <c r="A95" s="13" t="s">
        <v>8</v>
      </c>
      <c r="B95" s="2">
        <v>2</v>
      </c>
      <c r="C95" s="2" t="s">
        <v>47</v>
      </c>
      <c r="D95" s="2">
        <v>1</v>
      </c>
      <c r="E95" s="14" t="s">
        <v>158</v>
      </c>
    </row>
    <row r="96" spans="1:5" x14ac:dyDescent="0.3">
      <c r="A96" s="13" t="s">
        <v>20</v>
      </c>
      <c r="B96" s="2">
        <v>2</v>
      </c>
      <c r="C96" s="2" t="s">
        <v>47</v>
      </c>
      <c r="D96" s="2">
        <v>0</v>
      </c>
      <c r="E96" s="14" t="s">
        <v>27</v>
      </c>
    </row>
    <row r="97" spans="1:5" x14ac:dyDescent="0.3">
      <c r="A97" s="13" t="s">
        <v>17</v>
      </c>
      <c r="B97" s="2">
        <v>3</v>
      </c>
      <c r="C97" s="2" t="s">
        <v>47</v>
      </c>
      <c r="D97" s="2">
        <v>1</v>
      </c>
      <c r="E97" s="14" t="s">
        <v>25</v>
      </c>
    </row>
    <row r="98" spans="1:5" x14ac:dyDescent="0.3">
      <c r="A98" s="13" t="s">
        <v>23</v>
      </c>
      <c r="B98" s="2">
        <v>0</v>
      </c>
      <c r="C98" s="2" t="s">
        <v>47</v>
      </c>
      <c r="D98" s="2">
        <v>1</v>
      </c>
      <c r="E98" s="14" t="s">
        <v>15</v>
      </c>
    </row>
    <row r="99" spans="1:5" x14ac:dyDescent="0.3">
      <c r="A99" s="13" t="s">
        <v>26</v>
      </c>
      <c r="B99" s="2">
        <v>2</v>
      </c>
      <c r="C99" s="2" t="s">
        <v>47</v>
      </c>
      <c r="D99" s="2">
        <v>2</v>
      </c>
      <c r="E99" s="14" t="s">
        <v>29</v>
      </c>
    </row>
    <row r="101" spans="1:5" x14ac:dyDescent="0.3">
      <c r="A101" s="13" t="s">
        <v>144</v>
      </c>
    </row>
    <row r="102" spans="1:5" x14ac:dyDescent="0.3">
      <c r="A102" s="13" t="s">
        <v>19</v>
      </c>
      <c r="B102" s="2">
        <v>2</v>
      </c>
      <c r="C102" s="2" t="s">
        <v>47</v>
      </c>
      <c r="D102" s="2">
        <v>1</v>
      </c>
      <c r="E102" s="14" t="s">
        <v>157</v>
      </c>
    </row>
    <row r="103" spans="1:5" x14ac:dyDescent="0.3">
      <c r="A103" s="13" t="s">
        <v>5</v>
      </c>
      <c r="B103" s="2">
        <v>2</v>
      </c>
      <c r="C103" s="2" t="s">
        <v>47</v>
      </c>
      <c r="D103" s="2">
        <v>0</v>
      </c>
      <c r="E103" s="14" t="s">
        <v>6</v>
      </c>
    </row>
    <row r="104" spans="1:5" x14ac:dyDescent="0.3">
      <c r="A104" s="13" t="s">
        <v>22</v>
      </c>
      <c r="B104" s="2">
        <v>1</v>
      </c>
      <c r="C104" s="2" t="s">
        <v>47</v>
      </c>
      <c r="D104" s="2">
        <v>2</v>
      </c>
      <c r="E104" s="14" t="s">
        <v>12</v>
      </c>
    </row>
    <row r="105" spans="1:5" x14ac:dyDescent="0.3">
      <c r="A105" s="13" t="s">
        <v>8</v>
      </c>
      <c r="B105" s="2">
        <v>2</v>
      </c>
      <c r="C105" s="2" t="s">
        <v>47</v>
      </c>
      <c r="D105" s="2">
        <v>0</v>
      </c>
      <c r="E105" s="14" t="s">
        <v>158</v>
      </c>
    </row>
    <row r="106" spans="1:5" x14ac:dyDescent="0.3">
      <c r="A106" s="13" t="s">
        <v>20</v>
      </c>
      <c r="B106" s="2">
        <v>1</v>
      </c>
      <c r="C106" s="2" t="s">
        <v>47</v>
      </c>
      <c r="D106" s="2">
        <v>0</v>
      </c>
      <c r="E106" s="14" t="s">
        <v>27</v>
      </c>
    </row>
    <row r="107" spans="1:5" x14ac:dyDescent="0.3">
      <c r="A107" s="13" t="s">
        <v>17</v>
      </c>
      <c r="B107" s="2">
        <v>1</v>
      </c>
      <c r="C107" s="2" t="s">
        <v>47</v>
      </c>
      <c r="D107" s="2">
        <v>0</v>
      </c>
      <c r="E107" s="14" t="s">
        <v>25</v>
      </c>
    </row>
    <row r="108" spans="1:5" x14ac:dyDescent="0.3">
      <c r="A108" s="13" t="s">
        <v>23</v>
      </c>
      <c r="B108" s="2">
        <v>1</v>
      </c>
      <c r="C108" s="2" t="s">
        <v>47</v>
      </c>
      <c r="D108" s="2">
        <v>2</v>
      </c>
      <c r="E108" s="14" t="s">
        <v>15</v>
      </c>
    </row>
    <row r="109" spans="1:5" x14ac:dyDescent="0.3">
      <c r="A109" s="13" t="s">
        <v>26</v>
      </c>
      <c r="B109" s="2">
        <v>1</v>
      </c>
      <c r="C109" s="2" t="s">
        <v>47</v>
      </c>
      <c r="D109" s="2">
        <v>0</v>
      </c>
      <c r="E109" s="14" t="s">
        <v>29</v>
      </c>
    </row>
    <row r="111" spans="1:5" x14ac:dyDescent="0.3">
      <c r="A111" s="13" t="s">
        <v>145</v>
      </c>
    </row>
    <row r="112" spans="1:5" x14ac:dyDescent="0.3">
      <c r="A112" s="13" t="s">
        <v>19</v>
      </c>
      <c r="B112" s="2">
        <v>1</v>
      </c>
      <c r="C112" s="2" t="s">
        <v>47</v>
      </c>
      <c r="D112" s="2">
        <v>2</v>
      </c>
      <c r="E112" s="14" t="s">
        <v>157</v>
      </c>
    </row>
    <row r="113" spans="1:5" x14ac:dyDescent="0.3">
      <c r="A113" s="13" t="s">
        <v>5</v>
      </c>
      <c r="B113" s="2">
        <v>1</v>
      </c>
      <c r="C113" s="2" t="s">
        <v>47</v>
      </c>
      <c r="D113" s="2">
        <v>1</v>
      </c>
      <c r="E113" s="14" t="s">
        <v>6</v>
      </c>
    </row>
    <row r="114" spans="1:5" x14ac:dyDescent="0.3">
      <c r="A114" s="13" t="s">
        <v>22</v>
      </c>
      <c r="B114" s="2">
        <v>0</v>
      </c>
      <c r="C114" s="2" t="s">
        <v>47</v>
      </c>
      <c r="D114" s="2">
        <v>2</v>
      </c>
      <c r="E114" s="14" t="s">
        <v>12</v>
      </c>
    </row>
    <row r="115" spans="1:5" x14ac:dyDescent="0.3">
      <c r="A115" s="13" t="s">
        <v>8</v>
      </c>
      <c r="B115" s="2">
        <v>2</v>
      </c>
      <c r="C115" s="2" t="s">
        <v>47</v>
      </c>
      <c r="D115" s="2">
        <v>0</v>
      </c>
      <c r="E115" s="14" t="s">
        <v>158</v>
      </c>
    </row>
    <row r="116" spans="1:5" x14ac:dyDescent="0.3">
      <c r="A116" s="13" t="s">
        <v>20</v>
      </c>
      <c r="B116" s="2">
        <v>3</v>
      </c>
      <c r="C116" s="2" t="s">
        <v>47</v>
      </c>
      <c r="D116" s="2">
        <v>1</v>
      </c>
      <c r="E116" s="14" t="s">
        <v>27</v>
      </c>
    </row>
    <row r="117" spans="1:5" x14ac:dyDescent="0.3">
      <c r="A117" s="13" t="s">
        <v>17</v>
      </c>
      <c r="B117" s="2">
        <v>2</v>
      </c>
      <c r="C117" s="2" t="s">
        <v>47</v>
      </c>
      <c r="D117" s="2">
        <v>0</v>
      </c>
      <c r="E117" s="14" t="s">
        <v>25</v>
      </c>
    </row>
    <row r="118" spans="1:5" x14ac:dyDescent="0.3">
      <c r="A118" s="13" t="s">
        <v>23</v>
      </c>
      <c r="B118" s="2">
        <v>1</v>
      </c>
      <c r="C118" s="2" t="s">
        <v>47</v>
      </c>
      <c r="D118" s="2">
        <v>2</v>
      </c>
      <c r="E118" s="14" t="s">
        <v>15</v>
      </c>
    </row>
    <row r="119" spans="1:5" x14ac:dyDescent="0.3">
      <c r="A119" s="13" t="s">
        <v>26</v>
      </c>
      <c r="B119" s="2">
        <v>0</v>
      </c>
      <c r="C119" s="2" t="s">
        <v>47</v>
      </c>
      <c r="D119" s="2">
        <v>1</v>
      </c>
      <c r="E119" s="14" t="s">
        <v>29</v>
      </c>
    </row>
    <row r="121" spans="1:5" x14ac:dyDescent="0.3">
      <c r="A121" s="13" t="s">
        <v>146</v>
      </c>
    </row>
    <row r="122" spans="1:5" x14ac:dyDescent="0.3">
      <c r="A122" s="13" t="s">
        <v>19</v>
      </c>
      <c r="B122" s="2">
        <v>1</v>
      </c>
      <c r="C122" s="2" t="s">
        <v>47</v>
      </c>
      <c r="D122" s="2">
        <v>1</v>
      </c>
      <c r="E122" s="14" t="s">
        <v>157</v>
      </c>
    </row>
    <row r="123" spans="1:5" x14ac:dyDescent="0.3">
      <c r="A123" s="13" t="s">
        <v>5</v>
      </c>
      <c r="B123" s="2">
        <v>2</v>
      </c>
      <c r="C123" s="2" t="s">
        <v>47</v>
      </c>
      <c r="D123" s="2">
        <v>1</v>
      </c>
      <c r="E123" s="14" t="s">
        <v>6</v>
      </c>
    </row>
    <row r="124" spans="1:5" x14ac:dyDescent="0.3">
      <c r="A124" s="13" t="s">
        <v>22</v>
      </c>
      <c r="B124" s="2">
        <v>2</v>
      </c>
      <c r="C124" s="2" t="s">
        <v>47</v>
      </c>
      <c r="D124" s="2">
        <v>0</v>
      </c>
      <c r="E124" s="14" t="s">
        <v>12</v>
      </c>
    </row>
    <row r="125" spans="1:5" x14ac:dyDescent="0.3">
      <c r="A125" s="13" t="s">
        <v>8</v>
      </c>
      <c r="B125" s="2">
        <v>2</v>
      </c>
      <c r="C125" s="2" t="s">
        <v>47</v>
      </c>
      <c r="D125" s="2">
        <v>0</v>
      </c>
      <c r="E125" s="14" t="s">
        <v>158</v>
      </c>
    </row>
    <row r="126" spans="1:5" x14ac:dyDescent="0.3">
      <c r="A126" s="13" t="s">
        <v>20</v>
      </c>
      <c r="B126" s="2">
        <v>4</v>
      </c>
      <c r="C126" s="2" t="s">
        <v>47</v>
      </c>
      <c r="D126" s="2">
        <v>0</v>
      </c>
      <c r="E126" s="14" t="s">
        <v>27</v>
      </c>
    </row>
    <row r="127" spans="1:5" x14ac:dyDescent="0.3">
      <c r="A127" s="13" t="s">
        <v>17</v>
      </c>
      <c r="B127" s="2">
        <v>2</v>
      </c>
      <c r="C127" s="2" t="s">
        <v>47</v>
      </c>
      <c r="D127" s="2">
        <v>1</v>
      </c>
      <c r="E127" s="14" t="s">
        <v>25</v>
      </c>
    </row>
    <row r="128" spans="1:5" x14ac:dyDescent="0.3">
      <c r="A128" s="13" t="s">
        <v>23</v>
      </c>
      <c r="B128" s="2">
        <v>1</v>
      </c>
      <c r="C128" s="2" t="s">
        <v>47</v>
      </c>
      <c r="D128" s="2">
        <v>3</v>
      </c>
      <c r="E128" s="14" t="s">
        <v>15</v>
      </c>
    </row>
    <row r="129" spans="1:6" x14ac:dyDescent="0.3">
      <c r="A129" s="13" t="s">
        <v>26</v>
      </c>
      <c r="B129" s="2">
        <v>1</v>
      </c>
      <c r="C129" s="2" t="s">
        <v>47</v>
      </c>
      <c r="D129" s="2">
        <v>0</v>
      </c>
      <c r="E129" s="14" t="s">
        <v>29</v>
      </c>
    </row>
    <row r="131" spans="1:6" x14ac:dyDescent="0.3">
      <c r="A131" s="13" t="s">
        <v>147</v>
      </c>
    </row>
    <row r="132" spans="1:6" x14ac:dyDescent="0.3">
      <c r="A132" s="13" t="s">
        <v>19</v>
      </c>
      <c r="B132" s="2">
        <v>1</v>
      </c>
      <c r="C132" s="2" t="s">
        <v>47</v>
      </c>
      <c r="D132" s="2">
        <v>0</v>
      </c>
      <c r="E132" s="14" t="s">
        <v>159</v>
      </c>
      <c r="F132" t="s">
        <v>160</v>
      </c>
    </row>
    <row r="133" spans="1:6" x14ac:dyDescent="0.3">
      <c r="A133" s="13" t="s">
        <v>5</v>
      </c>
      <c r="B133" s="2">
        <v>2</v>
      </c>
      <c r="C133" s="2" t="s">
        <v>47</v>
      </c>
      <c r="D133" s="2">
        <v>0</v>
      </c>
      <c r="E133" s="14" t="s">
        <v>6</v>
      </c>
    </row>
    <row r="134" spans="1:6" x14ac:dyDescent="0.3">
      <c r="A134" s="13" t="s">
        <v>22</v>
      </c>
      <c r="B134" s="2">
        <v>2</v>
      </c>
      <c r="C134" s="2" t="s">
        <v>47</v>
      </c>
      <c r="D134" s="2">
        <v>1</v>
      </c>
      <c r="E134" s="14" t="s">
        <v>12</v>
      </c>
    </row>
    <row r="135" spans="1:6" x14ac:dyDescent="0.3">
      <c r="A135" s="13" t="s">
        <v>8</v>
      </c>
      <c r="B135" s="2">
        <v>2</v>
      </c>
      <c r="C135" s="2" t="s">
        <v>47</v>
      </c>
      <c r="D135" s="2">
        <v>0</v>
      </c>
      <c r="E135" s="14" t="s">
        <v>158</v>
      </c>
    </row>
    <row r="136" spans="1:6" x14ac:dyDescent="0.3">
      <c r="A136" s="13" t="s">
        <v>20</v>
      </c>
      <c r="B136" s="2">
        <v>1</v>
      </c>
      <c r="C136" s="2" t="s">
        <v>47</v>
      </c>
      <c r="D136" s="2">
        <v>0</v>
      </c>
      <c r="E136" s="14" t="s">
        <v>27</v>
      </c>
    </row>
    <row r="137" spans="1:6" x14ac:dyDescent="0.3">
      <c r="A137" s="13" t="s">
        <v>17</v>
      </c>
      <c r="B137" s="2">
        <v>3</v>
      </c>
      <c r="C137" s="2" t="s">
        <v>47</v>
      </c>
      <c r="D137" s="2">
        <v>0</v>
      </c>
      <c r="E137" s="14" t="s">
        <v>25</v>
      </c>
    </row>
    <row r="138" spans="1:6" x14ac:dyDescent="0.3">
      <c r="A138" s="13" t="s">
        <v>23</v>
      </c>
      <c r="B138" s="2">
        <v>1</v>
      </c>
      <c r="C138" s="2" t="s">
        <v>47</v>
      </c>
      <c r="D138" s="2">
        <v>2</v>
      </c>
      <c r="E138" s="14" t="s">
        <v>15</v>
      </c>
    </row>
    <row r="139" spans="1:6" x14ac:dyDescent="0.3">
      <c r="A139" s="13" t="s">
        <v>26</v>
      </c>
      <c r="B139" s="2">
        <v>1</v>
      </c>
      <c r="C139" s="2" t="s">
        <v>47</v>
      </c>
      <c r="D139" s="2">
        <v>0</v>
      </c>
      <c r="E139" s="14" t="s">
        <v>29</v>
      </c>
    </row>
    <row r="141" spans="1:6" x14ac:dyDescent="0.3">
      <c r="A141" s="13" t="s">
        <v>148</v>
      </c>
    </row>
    <row r="142" spans="1:6" x14ac:dyDescent="0.3">
      <c r="A142" s="13" t="s">
        <v>19</v>
      </c>
      <c r="B142" s="2">
        <v>1</v>
      </c>
      <c r="C142" s="2" t="s">
        <v>47</v>
      </c>
      <c r="D142" s="2">
        <v>0</v>
      </c>
      <c r="E142" s="14" t="s">
        <v>157</v>
      </c>
    </row>
    <row r="143" spans="1:6" x14ac:dyDescent="0.3">
      <c r="A143" s="13" t="s">
        <v>5</v>
      </c>
      <c r="B143" s="2">
        <v>0</v>
      </c>
      <c r="C143" s="2" t="s">
        <v>47</v>
      </c>
      <c r="D143" s="2">
        <v>1</v>
      </c>
      <c r="E143" s="14" t="s">
        <v>6</v>
      </c>
    </row>
    <row r="144" spans="1:6" x14ac:dyDescent="0.3">
      <c r="A144" s="13" t="s">
        <v>22</v>
      </c>
      <c r="B144" s="2">
        <v>1</v>
      </c>
      <c r="C144" s="2" t="s">
        <v>47</v>
      </c>
      <c r="D144" s="2">
        <v>0</v>
      </c>
      <c r="E144" s="14" t="s">
        <v>12</v>
      </c>
    </row>
    <row r="145" spans="1:5" x14ac:dyDescent="0.3">
      <c r="A145" s="13" t="s">
        <v>8</v>
      </c>
      <c r="B145" s="2">
        <v>0</v>
      </c>
      <c r="C145" s="2" t="s">
        <v>47</v>
      </c>
      <c r="D145" s="2">
        <v>1</v>
      </c>
      <c r="E145" s="14" t="s">
        <v>158</v>
      </c>
    </row>
    <row r="146" spans="1:5" x14ac:dyDescent="0.3">
      <c r="A146" s="13" t="s">
        <v>20</v>
      </c>
      <c r="B146" s="2">
        <v>1</v>
      </c>
      <c r="C146" s="2" t="s">
        <v>47</v>
      </c>
      <c r="D146" s="2">
        <v>0</v>
      </c>
      <c r="E146" s="14" t="s">
        <v>27</v>
      </c>
    </row>
    <row r="147" spans="1:5" x14ac:dyDescent="0.3">
      <c r="A147" s="13" t="s">
        <v>17</v>
      </c>
      <c r="B147" s="2">
        <v>1</v>
      </c>
      <c r="C147" s="2" t="s">
        <v>47</v>
      </c>
      <c r="D147" s="2">
        <v>0</v>
      </c>
      <c r="E147" s="14" t="s">
        <v>25</v>
      </c>
    </row>
    <row r="148" spans="1:5" x14ac:dyDescent="0.3">
      <c r="A148" s="13" t="s">
        <v>23</v>
      </c>
      <c r="B148" s="2">
        <v>0</v>
      </c>
      <c r="C148" s="2" t="s">
        <v>47</v>
      </c>
      <c r="D148" s="2">
        <v>1</v>
      </c>
      <c r="E148" s="14" t="s">
        <v>15</v>
      </c>
    </row>
    <row r="149" spans="1:5" x14ac:dyDescent="0.3">
      <c r="A149" s="13" t="s">
        <v>26</v>
      </c>
      <c r="B149" s="2">
        <v>1</v>
      </c>
      <c r="C149" s="2" t="s">
        <v>47</v>
      </c>
      <c r="D149" s="2">
        <v>0</v>
      </c>
      <c r="E149" s="14" t="s">
        <v>29</v>
      </c>
    </row>
    <row r="151" spans="1:5" x14ac:dyDescent="0.3">
      <c r="A151" s="13" t="s">
        <v>149</v>
      </c>
    </row>
    <row r="152" spans="1:5" x14ac:dyDescent="0.3">
      <c r="A152" s="13" t="s">
        <v>19</v>
      </c>
      <c r="B152" s="2">
        <v>1</v>
      </c>
      <c r="C152" s="2" t="s">
        <v>47</v>
      </c>
      <c r="D152" s="2">
        <v>2</v>
      </c>
      <c r="E152" s="14" t="s">
        <v>157</v>
      </c>
    </row>
    <row r="153" spans="1:5" x14ac:dyDescent="0.3">
      <c r="A153" s="13" t="s">
        <v>5</v>
      </c>
      <c r="B153" s="2">
        <v>2</v>
      </c>
      <c r="C153" s="2" t="s">
        <v>47</v>
      </c>
      <c r="D153" s="2">
        <v>1</v>
      </c>
      <c r="E153" s="14" t="s">
        <v>6</v>
      </c>
    </row>
    <row r="154" spans="1:5" x14ac:dyDescent="0.3">
      <c r="A154" s="13" t="s">
        <v>22</v>
      </c>
      <c r="B154" s="2">
        <v>2</v>
      </c>
      <c r="C154" s="2" t="s">
        <v>47</v>
      </c>
      <c r="D154" s="2">
        <v>1</v>
      </c>
      <c r="E154" s="14" t="s">
        <v>12</v>
      </c>
    </row>
    <row r="155" spans="1:5" x14ac:dyDescent="0.3">
      <c r="A155" s="13" t="s">
        <v>8</v>
      </c>
      <c r="B155" s="2">
        <v>2</v>
      </c>
      <c r="C155" s="2" t="s">
        <v>47</v>
      </c>
      <c r="D155" s="2">
        <v>1</v>
      </c>
      <c r="E155" s="14" t="s">
        <v>158</v>
      </c>
    </row>
    <row r="156" spans="1:5" x14ac:dyDescent="0.3">
      <c r="A156" s="13" t="s">
        <v>20</v>
      </c>
      <c r="B156" s="2">
        <v>1</v>
      </c>
      <c r="C156" s="2" t="s">
        <v>47</v>
      </c>
      <c r="D156" s="2">
        <v>2</v>
      </c>
      <c r="E156" s="14" t="s">
        <v>27</v>
      </c>
    </row>
    <row r="157" spans="1:5" x14ac:dyDescent="0.3">
      <c r="A157" s="13" t="s">
        <v>17</v>
      </c>
      <c r="B157" s="2">
        <v>2</v>
      </c>
      <c r="C157" s="2" t="s">
        <v>47</v>
      </c>
      <c r="D157" s="2">
        <v>1</v>
      </c>
      <c r="E157" s="14" t="s">
        <v>25</v>
      </c>
    </row>
    <row r="158" spans="1:5" x14ac:dyDescent="0.3">
      <c r="A158" s="13" t="s">
        <v>23</v>
      </c>
      <c r="B158" s="2">
        <v>1</v>
      </c>
      <c r="C158" s="2" t="s">
        <v>47</v>
      </c>
      <c r="D158" s="2">
        <v>2</v>
      </c>
      <c r="E158" s="14" t="s">
        <v>15</v>
      </c>
    </row>
    <row r="159" spans="1:5" x14ac:dyDescent="0.3">
      <c r="A159" s="13" t="s">
        <v>26</v>
      </c>
      <c r="B159" s="2">
        <v>2</v>
      </c>
      <c r="C159" s="2" t="s">
        <v>47</v>
      </c>
      <c r="D159" s="2">
        <v>1</v>
      </c>
      <c r="E159" s="14" t="s">
        <v>29</v>
      </c>
    </row>
    <row r="161" spans="1:5" x14ac:dyDescent="0.3">
      <c r="A161" s="13" t="s">
        <v>150</v>
      </c>
    </row>
    <row r="162" spans="1:5" x14ac:dyDescent="0.3">
      <c r="A162" s="13" t="s">
        <v>19</v>
      </c>
      <c r="B162" s="2">
        <v>2</v>
      </c>
      <c r="C162" s="2" t="s">
        <v>47</v>
      </c>
      <c r="D162" s="2">
        <v>1</v>
      </c>
      <c r="E162" s="14" t="s">
        <v>157</v>
      </c>
    </row>
    <row r="163" spans="1:5" x14ac:dyDescent="0.3">
      <c r="A163" s="13" t="s">
        <v>5</v>
      </c>
      <c r="B163" s="2">
        <v>1</v>
      </c>
      <c r="C163" s="2" t="s">
        <v>47</v>
      </c>
      <c r="D163" s="2">
        <v>0</v>
      </c>
      <c r="E163" s="14" t="s">
        <v>6</v>
      </c>
    </row>
    <row r="164" spans="1:5" x14ac:dyDescent="0.3">
      <c r="A164" s="13" t="s">
        <v>22</v>
      </c>
      <c r="B164" s="2">
        <v>2</v>
      </c>
      <c r="C164" s="2" t="s">
        <v>47</v>
      </c>
      <c r="D164" s="2">
        <v>1</v>
      </c>
      <c r="E164" s="14" t="s">
        <v>12</v>
      </c>
    </row>
    <row r="165" spans="1:5" x14ac:dyDescent="0.3">
      <c r="A165" s="13" t="s">
        <v>8</v>
      </c>
      <c r="B165" s="2">
        <v>2</v>
      </c>
      <c r="C165" s="2" t="s">
        <v>47</v>
      </c>
      <c r="D165" s="2">
        <v>0</v>
      </c>
      <c r="E165" s="14" t="s">
        <v>158</v>
      </c>
    </row>
    <row r="166" spans="1:5" x14ac:dyDescent="0.3">
      <c r="A166" s="13" t="s">
        <v>20</v>
      </c>
      <c r="B166" s="2">
        <v>1</v>
      </c>
      <c r="C166" s="2" t="s">
        <v>47</v>
      </c>
      <c r="D166" s="2">
        <v>0</v>
      </c>
      <c r="E166" s="14" t="s">
        <v>27</v>
      </c>
    </row>
    <row r="167" spans="1:5" x14ac:dyDescent="0.3">
      <c r="A167" s="13" t="s">
        <v>17</v>
      </c>
      <c r="B167" s="2">
        <v>2</v>
      </c>
      <c r="C167" s="2" t="s">
        <v>47</v>
      </c>
      <c r="D167" s="2">
        <v>0</v>
      </c>
      <c r="E167" s="14" t="s">
        <v>25</v>
      </c>
    </row>
    <row r="168" spans="1:5" x14ac:dyDescent="0.3">
      <c r="A168" s="13" t="s">
        <v>23</v>
      </c>
      <c r="B168" s="2">
        <v>0</v>
      </c>
      <c r="C168" s="2" t="s">
        <v>47</v>
      </c>
      <c r="D168" s="2">
        <v>1</v>
      </c>
      <c r="E168" s="14" t="s">
        <v>15</v>
      </c>
    </row>
    <row r="169" spans="1:5" x14ac:dyDescent="0.3">
      <c r="A169" s="13" t="s">
        <v>26</v>
      </c>
      <c r="B169" s="2">
        <v>2</v>
      </c>
      <c r="C169" s="2" t="s">
        <v>47</v>
      </c>
      <c r="D169" s="2">
        <v>1</v>
      </c>
      <c r="E169" s="14" t="s">
        <v>29</v>
      </c>
    </row>
    <row r="171" spans="1:5" x14ac:dyDescent="0.3">
      <c r="A171" s="13" t="s">
        <v>151</v>
      </c>
    </row>
    <row r="172" spans="1:5" x14ac:dyDescent="0.3">
      <c r="A172" s="13" t="s">
        <v>19</v>
      </c>
      <c r="B172" s="2">
        <v>1</v>
      </c>
      <c r="C172" s="2" t="s">
        <v>47</v>
      </c>
      <c r="D172" s="2">
        <v>2</v>
      </c>
      <c r="E172" s="14" t="s">
        <v>157</v>
      </c>
    </row>
    <row r="173" spans="1:5" x14ac:dyDescent="0.3">
      <c r="A173" s="13" t="s">
        <v>5</v>
      </c>
      <c r="B173" s="2">
        <v>1</v>
      </c>
      <c r="C173" s="2" t="s">
        <v>47</v>
      </c>
      <c r="D173" s="2">
        <v>0</v>
      </c>
      <c r="E173" s="14" t="s">
        <v>6</v>
      </c>
    </row>
    <row r="174" spans="1:5" x14ac:dyDescent="0.3">
      <c r="A174" s="13" t="s">
        <v>22</v>
      </c>
      <c r="B174" s="2">
        <v>2</v>
      </c>
      <c r="C174" s="2" t="s">
        <v>47</v>
      </c>
      <c r="D174" s="2">
        <v>1</v>
      </c>
      <c r="E174" s="14" t="s">
        <v>12</v>
      </c>
    </row>
    <row r="175" spans="1:5" x14ac:dyDescent="0.3">
      <c r="A175" s="13" t="s">
        <v>8</v>
      </c>
      <c r="B175" s="2">
        <v>1</v>
      </c>
      <c r="C175" s="2" t="s">
        <v>47</v>
      </c>
      <c r="D175" s="2">
        <v>0</v>
      </c>
      <c r="E175" s="14" t="s">
        <v>158</v>
      </c>
    </row>
    <row r="176" spans="1:5" x14ac:dyDescent="0.3">
      <c r="A176" s="13" t="s">
        <v>20</v>
      </c>
      <c r="B176" s="2">
        <v>0</v>
      </c>
      <c r="C176" s="2" t="s">
        <v>47</v>
      </c>
      <c r="D176" s="2">
        <v>1</v>
      </c>
      <c r="E176" s="14" t="s">
        <v>27</v>
      </c>
    </row>
    <row r="177" spans="1:5" x14ac:dyDescent="0.3">
      <c r="A177" s="13" t="s">
        <v>17</v>
      </c>
      <c r="B177" s="2">
        <v>2</v>
      </c>
      <c r="C177" s="2" t="s">
        <v>47</v>
      </c>
      <c r="D177" s="2">
        <v>0</v>
      </c>
      <c r="E177" s="14" t="s">
        <v>25</v>
      </c>
    </row>
    <row r="178" spans="1:5" x14ac:dyDescent="0.3">
      <c r="A178" s="13" t="s">
        <v>23</v>
      </c>
      <c r="B178" s="2">
        <v>0</v>
      </c>
      <c r="C178" s="2" t="s">
        <v>47</v>
      </c>
      <c r="D178" s="2">
        <v>2</v>
      </c>
      <c r="E178" s="14" t="s">
        <v>15</v>
      </c>
    </row>
    <row r="179" spans="1:5" x14ac:dyDescent="0.3">
      <c r="A179" s="13" t="s">
        <v>26</v>
      </c>
      <c r="B179" s="2">
        <v>1</v>
      </c>
      <c r="C179" s="2" t="s">
        <v>47</v>
      </c>
      <c r="D179" s="2">
        <v>1</v>
      </c>
      <c r="E179" s="14" t="s">
        <v>29</v>
      </c>
    </row>
    <row r="181" spans="1:5" x14ac:dyDescent="0.3">
      <c r="A181" s="13" t="s">
        <v>152</v>
      </c>
    </row>
    <row r="182" spans="1:5" x14ac:dyDescent="0.3">
      <c r="A182" s="13" t="s">
        <v>19</v>
      </c>
      <c r="B182" s="2">
        <v>3</v>
      </c>
      <c r="C182" s="2" t="s">
        <v>47</v>
      </c>
      <c r="D182" s="2">
        <v>0</v>
      </c>
      <c r="E182" s="14" t="s">
        <v>157</v>
      </c>
    </row>
    <row r="183" spans="1:5" x14ac:dyDescent="0.3">
      <c r="A183" s="13" t="s">
        <v>5</v>
      </c>
      <c r="B183" s="2">
        <v>2</v>
      </c>
      <c r="C183" s="2" t="s">
        <v>47</v>
      </c>
      <c r="D183" s="2">
        <v>1</v>
      </c>
      <c r="E183" s="14" t="s">
        <v>6</v>
      </c>
    </row>
    <row r="184" spans="1:5" x14ac:dyDescent="0.3">
      <c r="A184" s="13" t="s">
        <v>22</v>
      </c>
      <c r="B184" s="2">
        <v>3</v>
      </c>
      <c r="C184" s="2" t="s">
        <v>47</v>
      </c>
      <c r="D184" s="2">
        <v>2</v>
      </c>
      <c r="E184" s="14" t="s">
        <v>12</v>
      </c>
    </row>
    <row r="185" spans="1:5" x14ac:dyDescent="0.3">
      <c r="A185" s="13" t="s">
        <v>8</v>
      </c>
      <c r="B185" s="2">
        <v>3</v>
      </c>
      <c r="C185" s="2" t="s">
        <v>47</v>
      </c>
      <c r="D185" s="2">
        <v>0</v>
      </c>
      <c r="E185" s="14" t="s">
        <v>158</v>
      </c>
    </row>
    <row r="186" spans="1:5" x14ac:dyDescent="0.3">
      <c r="A186" s="13" t="s">
        <v>20</v>
      </c>
      <c r="B186" s="2">
        <v>2</v>
      </c>
      <c r="C186" s="2" t="s">
        <v>47</v>
      </c>
      <c r="D186" s="2">
        <v>1</v>
      </c>
      <c r="E186" s="14" t="s">
        <v>27</v>
      </c>
    </row>
    <row r="187" spans="1:5" x14ac:dyDescent="0.3">
      <c r="A187" s="13" t="s">
        <v>17</v>
      </c>
      <c r="B187" s="2">
        <v>1</v>
      </c>
      <c r="C187" s="2" t="s">
        <v>47</v>
      </c>
      <c r="D187" s="2">
        <v>0</v>
      </c>
      <c r="E187" s="14" t="s">
        <v>25</v>
      </c>
    </row>
    <row r="188" spans="1:5" x14ac:dyDescent="0.3">
      <c r="A188" s="13" t="s">
        <v>23</v>
      </c>
      <c r="B188" s="2">
        <v>1</v>
      </c>
      <c r="C188" s="2" t="s">
        <v>47</v>
      </c>
      <c r="D188" s="2">
        <v>4</v>
      </c>
      <c r="E188" s="14" t="s">
        <v>15</v>
      </c>
    </row>
    <row r="189" spans="1:5" x14ac:dyDescent="0.3">
      <c r="A189" s="13" t="s">
        <v>26</v>
      </c>
      <c r="B189" s="2">
        <v>3</v>
      </c>
      <c r="C189" s="2" t="s">
        <v>47</v>
      </c>
      <c r="D189" s="2">
        <v>2</v>
      </c>
      <c r="E189" s="14" t="s">
        <v>29</v>
      </c>
    </row>
    <row r="191" spans="1:5" x14ac:dyDescent="0.3">
      <c r="A191" s="13" t="s">
        <v>153</v>
      </c>
    </row>
    <row r="192" spans="1:5" x14ac:dyDescent="0.3">
      <c r="A192" s="13" t="s">
        <v>19</v>
      </c>
      <c r="B192" s="2">
        <v>2</v>
      </c>
      <c r="C192" s="2" t="s">
        <v>47</v>
      </c>
      <c r="D192" s="2">
        <v>1</v>
      </c>
      <c r="E192" s="14" t="s">
        <v>157</v>
      </c>
    </row>
    <row r="193" spans="1:5" x14ac:dyDescent="0.3">
      <c r="A193" s="13" t="s">
        <v>5</v>
      </c>
      <c r="B193" s="2">
        <v>2</v>
      </c>
      <c r="C193" s="2" t="s">
        <v>47</v>
      </c>
      <c r="D193" s="2">
        <v>0</v>
      </c>
      <c r="E193" s="14" t="s">
        <v>6</v>
      </c>
    </row>
    <row r="194" spans="1:5" x14ac:dyDescent="0.3">
      <c r="A194" s="13" t="s">
        <v>22</v>
      </c>
      <c r="B194" s="2">
        <v>1</v>
      </c>
      <c r="C194" s="2" t="s">
        <v>47</v>
      </c>
      <c r="D194" s="2">
        <v>0</v>
      </c>
      <c r="E194" s="14" t="s">
        <v>12</v>
      </c>
    </row>
    <row r="195" spans="1:5" x14ac:dyDescent="0.3">
      <c r="A195" s="13" t="s">
        <v>8</v>
      </c>
      <c r="B195" s="2">
        <v>2</v>
      </c>
      <c r="C195" s="2" t="s">
        <v>47</v>
      </c>
      <c r="D195" s="2">
        <v>0</v>
      </c>
      <c r="E195" s="14" t="s">
        <v>158</v>
      </c>
    </row>
    <row r="196" spans="1:5" x14ac:dyDescent="0.3">
      <c r="A196" s="13" t="s">
        <v>20</v>
      </c>
      <c r="B196" s="2">
        <v>2</v>
      </c>
      <c r="C196" s="2" t="s">
        <v>47</v>
      </c>
      <c r="D196" s="2">
        <v>1</v>
      </c>
      <c r="E196" s="14" t="s">
        <v>27</v>
      </c>
    </row>
    <row r="197" spans="1:5" x14ac:dyDescent="0.3">
      <c r="A197" s="13" t="s">
        <v>17</v>
      </c>
      <c r="B197" s="2">
        <v>2</v>
      </c>
      <c r="C197" s="2" t="s">
        <v>47</v>
      </c>
      <c r="D197" s="2">
        <v>0</v>
      </c>
      <c r="E197" s="14" t="s">
        <v>25</v>
      </c>
    </row>
    <row r="198" spans="1:5" x14ac:dyDescent="0.3">
      <c r="A198" s="13" t="s">
        <v>23</v>
      </c>
      <c r="B198" s="2">
        <v>0</v>
      </c>
      <c r="C198" s="2" t="s">
        <v>47</v>
      </c>
      <c r="D198" s="2">
        <v>2</v>
      </c>
      <c r="E198" s="14" t="s">
        <v>15</v>
      </c>
    </row>
    <row r="199" spans="1:5" x14ac:dyDescent="0.3">
      <c r="A199" s="13" t="s">
        <v>26</v>
      </c>
      <c r="B199" s="2">
        <v>2</v>
      </c>
      <c r="C199" s="2" t="s">
        <v>47</v>
      </c>
      <c r="D199" s="2">
        <v>1</v>
      </c>
      <c r="E199" s="14" t="s">
        <v>29</v>
      </c>
    </row>
    <row r="201" spans="1:5" x14ac:dyDescent="0.3">
      <c r="A201" s="13" t="s">
        <v>154</v>
      </c>
    </row>
    <row r="202" spans="1:5" x14ac:dyDescent="0.3">
      <c r="A202" s="13" t="s">
        <v>19</v>
      </c>
      <c r="B202" s="2">
        <v>1</v>
      </c>
      <c r="C202" s="2" t="s">
        <v>47</v>
      </c>
      <c r="D202" s="2">
        <v>0</v>
      </c>
      <c r="E202" s="14" t="s">
        <v>157</v>
      </c>
    </row>
    <row r="203" spans="1:5" x14ac:dyDescent="0.3">
      <c r="A203" s="13" t="s">
        <v>5</v>
      </c>
      <c r="B203" s="2">
        <v>2</v>
      </c>
      <c r="C203" s="2" t="s">
        <v>47</v>
      </c>
      <c r="D203" s="2">
        <v>1</v>
      </c>
      <c r="E203" s="14" t="s">
        <v>6</v>
      </c>
    </row>
    <row r="204" spans="1:5" x14ac:dyDescent="0.3">
      <c r="A204" s="13" t="s">
        <v>22</v>
      </c>
      <c r="B204" s="2">
        <v>2</v>
      </c>
      <c r="C204" s="2" t="s">
        <v>47</v>
      </c>
      <c r="D204" s="2">
        <v>1</v>
      </c>
      <c r="E204" s="14" t="s">
        <v>12</v>
      </c>
    </row>
    <row r="205" spans="1:5" x14ac:dyDescent="0.3">
      <c r="A205" s="13" t="s">
        <v>8</v>
      </c>
      <c r="B205" s="2">
        <v>2</v>
      </c>
      <c r="C205" s="2" t="s">
        <v>47</v>
      </c>
      <c r="D205" s="2">
        <v>1</v>
      </c>
      <c r="E205" s="14" t="s">
        <v>158</v>
      </c>
    </row>
    <row r="206" spans="1:5" x14ac:dyDescent="0.3">
      <c r="A206" s="13" t="s">
        <v>20</v>
      </c>
      <c r="B206" s="2">
        <v>1</v>
      </c>
      <c r="C206" s="2" t="s">
        <v>47</v>
      </c>
      <c r="D206" s="2">
        <v>1</v>
      </c>
      <c r="E206" s="14" t="s">
        <v>27</v>
      </c>
    </row>
    <row r="207" spans="1:5" x14ac:dyDescent="0.3">
      <c r="A207" s="13" t="s">
        <v>17</v>
      </c>
      <c r="B207" s="2">
        <v>1</v>
      </c>
      <c r="C207" s="2" t="s">
        <v>47</v>
      </c>
      <c r="D207" s="2">
        <v>1</v>
      </c>
      <c r="E207" s="14" t="s">
        <v>25</v>
      </c>
    </row>
    <row r="208" spans="1:5" x14ac:dyDescent="0.3">
      <c r="A208" s="13" t="s">
        <v>23</v>
      </c>
      <c r="B208" s="2">
        <v>1</v>
      </c>
      <c r="C208" s="2" t="s">
        <v>47</v>
      </c>
      <c r="D208" s="2">
        <v>1</v>
      </c>
      <c r="E208" s="14" t="s">
        <v>15</v>
      </c>
    </row>
    <row r="209" spans="1:5" x14ac:dyDescent="0.3">
      <c r="A209" s="13" t="s">
        <v>26</v>
      </c>
      <c r="B209" s="2">
        <v>2</v>
      </c>
      <c r="C209" s="2" t="s">
        <v>47</v>
      </c>
      <c r="D209" s="2">
        <v>1</v>
      </c>
      <c r="E209" s="14" t="s">
        <v>29</v>
      </c>
    </row>
    <row r="211" spans="1:5" x14ac:dyDescent="0.3">
      <c r="A211" s="13" t="s">
        <v>155</v>
      </c>
    </row>
    <row r="212" spans="1:5" x14ac:dyDescent="0.3">
      <c r="A212" s="13" t="s">
        <v>19</v>
      </c>
      <c r="B212" s="2">
        <v>1</v>
      </c>
      <c r="C212" s="2" t="s">
        <v>47</v>
      </c>
      <c r="D212" s="2">
        <v>2</v>
      </c>
      <c r="E212" s="14" t="s">
        <v>157</v>
      </c>
    </row>
    <row r="213" spans="1:5" x14ac:dyDescent="0.3">
      <c r="A213" s="13" t="s">
        <v>5</v>
      </c>
      <c r="B213" s="2">
        <v>2</v>
      </c>
      <c r="C213" s="2" t="s">
        <v>47</v>
      </c>
      <c r="D213" s="2">
        <v>1</v>
      </c>
      <c r="E213" s="14" t="s">
        <v>6</v>
      </c>
    </row>
    <row r="214" spans="1:5" x14ac:dyDescent="0.3">
      <c r="A214" s="13" t="s">
        <v>22</v>
      </c>
      <c r="B214" s="2">
        <v>1</v>
      </c>
      <c r="C214" s="2" t="s">
        <v>47</v>
      </c>
      <c r="D214" s="2">
        <v>0</v>
      </c>
      <c r="E214" s="14" t="s">
        <v>12</v>
      </c>
    </row>
    <row r="215" spans="1:5" x14ac:dyDescent="0.3">
      <c r="A215" s="13" t="s">
        <v>8</v>
      </c>
      <c r="B215" s="2">
        <v>2</v>
      </c>
      <c r="C215" s="2" t="s">
        <v>47</v>
      </c>
      <c r="D215" s="2">
        <v>1</v>
      </c>
      <c r="E215" s="14" t="s">
        <v>158</v>
      </c>
    </row>
    <row r="216" spans="1:5" x14ac:dyDescent="0.3">
      <c r="A216" s="13" t="s">
        <v>20</v>
      </c>
      <c r="B216" s="2">
        <v>0</v>
      </c>
      <c r="C216" s="2" t="s">
        <v>47</v>
      </c>
      <c r="D216" s="2">
        <v>1</v>
      </c>
      <c r="E216" s="14" t="s">
        <v>27</v>
      </c>
    </row>
    <row r="217" spans="1:5" x14ac:dyDescent="0.3">
      <c r="A217" s="13" t="s">
        <v>17</v>
      </c>
      <c r="B217" s="2">
        <v>2</v>
      </c>
      <c r="C217" s="2" t="s">
        <v>47</v>
      </c>
      <c r="D217" s="2">
        <v>0</v>
      </c>
      <c r="E217" s="14" t="s">
        <v>25</v>
      </c>
    </row>
    <row r="218" spans="1:5" x14ac:dyDescent="0.3">
      <c r="A218" s="13" t="s">
        <v>23</v>
      </c>
      <c r="B218" s="2">
        <v>1</v>
      </c>
      <c r="C218" s="2" t="s">
        <v>47</v>
      </c>
      <c r="D218" s="2">
        <v>0</v>
      </c>
      <c r="E218" s="14" t="s">
        <v>15</v>
      </c>
    </row>
    <row r="219" spans="1:5" x14ac:dyDescent="0.3">
      <c r="A219" s="13" t="s">
        <v>26</v>
      </c>
      <c r="B219" s="2">
        <v>1</v>
      </c>
      <c r="C219" s="2" t="s">
        <v>47</v>
      </c>
      <c r="D219" s="2">
        <v>0</v>
      </c>
      <c r="E219" s="14" t="s">
        <v>29</v>
      </c>
    </row>
    <row r="221" spans="1:5" x14ac:dyDescent="0.3">
      <c r="A221" s="13" t="s">
        <v>156</v>
      </c>
    </row>
    <row r="222" spans="1:5" x14ac:dyDescent="0.3">
      <c r="A222" s="13" t="s">
        <v>19</v>
      </c>
      <c r="B222" s="2">
        <v>1</v>
      </c>
      <c r="C222" s="2" t="s">
        <v>47</v>
      </c>
      <c r="D222" s="2">
        <v>0</v>
      </c>
      <c r="E222" s="14" t="s">
        <v>157</v>
      </c>
    </row>
    <row r="223" spans="1:5" x14ac:dyDescent="0.3">
      <c r="A223" s="13" t="s">
        <v>5</v>
      </c>
      <c r="B223" s="2">
        <v>2</v>
      </c>
      <c r="C223" s="2" t="s">
        <v>47</v>
      </c>
      <c r="D223" s="2">
        <v>1</v>
      </c>
      <c r="E223" s="14" t="s">
        <v>6</v>
      </c>
    </row>
    <row r="224" spans="1:5" x14ac:dyDescent="0.3">
      <c r="A224" s="13" t="s">
        <v>22</v>
      </c>
      <c r="B224" s="2">
        <v>1</v>
      </c>
      <c r="C224" s="2" t="s">
        <v>47</v>
      </c>
      <c r="D224" s="2">
        <v>2</v>
      </c>
      <c r="E224" s="14" t="s">
        <v>12</v>
      </c>
    </row>
    <row r="225" spans="1:5" x14ac:dyDescent="0.3">
      <c r="A225" s="13" t="s">
        <v>8</v>
      </c>
      <c r="B225" s="2">
        <v>2</v>
      </c>
      <c r="C225" s="2" t="s">
        <v>47</v>
      </c>
      <c r="D225" s="2">
        <v>1</v>
      </c>
      <c r="E225" s="14" t="s">
        <v>158</v>
      </c>
    </row>
    <row r="226" spans="1:5" x14ac:dyDescent="0.3">
      <c r="A226" s="13" t="s">
        <v>20</v>
      </c>
      <c r="B226" s="2">
        <v>1</v>
      </c>
      <c r="C226" s="2" t="s">
        <v>47</v>
      </c>
      <c r="D226" s="2">
        <v>1</v>
      </c>
      <c r="E226" s="14" t="s">
        <v>27</v>
      </c>
    </row>
    <row r="227" spans="1:5" x14ac:dyDescent="0.3">
      <c r="A227" s="13" t="s">
        <v>17</v>
      </c>
      <c r="B227" s="2">
        <v>2</v>
      </c>
      <c r="C227" s="2" t="s">
        <v>47</v>
      </c>
      <c r="D227" s="2">
        <v>0</v>
      </c>
      <c r="E227" s="14" t="s">
        <v>25</v>
      </c>
    </row>
    <row r="228" spans="1:5" x14ac:dyDescent="0.3">
      <c r="A228" s="13" t="s">
        <v>23</v>
      </c>
      <c r="B228" s="2">
        <v>1</v>
      </c>
      <c r="C228" s="2" t="s">
        <v>47</v>
      </c>
      <c r="D228" s="2">
        <v>2</v>
      </c>
      <c r="E228" s="14" t="s">
        <v>15</v>
      </c>
    </row>
    <row r="229" spans="1:5" x14ac:dyDescent="0.3">
      <c r="A229" s="13" t="s">
        <v>26</v>
      </c>
      <c r="B229" s="2">
        <v>0</v>
      </c>
      <c r="C229" s="2" t="s">
        <v>47</v>
      </c>
      <c r="D229" s="2">
        <v>1</v>
      </c>
      <c r="E229" s="14" t="s">
        <v>29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31" zoomScale="85" zoomScaleNormal="85" workbookViewId="0">
      <selection activeCell="F5" sqref="F5"/>
    </sheetView>
  </sheetViews>
  <sheetFormatPr defaultColWidth="8.88671875" defaultRowHeight="18" x14ac:dyDescent="0.3"/>
  <cols>
    <col min="1" max="1" width="18" style="149" customWidth="1"/>
    <col min="2" max="2" width="4.44140625" style="159" customWidth="1"/>
    <col min="3" max="3" width="5.33203125" style="4" customWidth="1"/>
    <col min="4" max="4" width="4.44140625" style="159" customWidth="1"/>
    <col min="5" max="5" width="18" style="152" customWidth="1"/>
    <col min="6" max="6" width="1.6640625" style="16" customWidth="1"/>
    <col min="7" max="7" width="18" style="149" customWidth="1"/>
    <col min="8" max="8" width="4.44140625" style="160" customWidth="1"/>
    <col min="9" max="9" width="5.33203125" style="3" customWidth="1"/>
    <col min="10" max="10" width="4.44140625" style="160" customWidth="1"/>
    <col min="11" max="11" width="18" style="152" customWidth="1"/>
    <col min="12" max="12" width="1.88671875" style="16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86" t="s">
        <v>252</v>
      </c>
      <c r="B1" s="87"/>
      <c r="C1" s="87"/>
      <c r="D1" s="87"/>
      <c r="E1" s="87"/>
      <c r="F1" s="87"/>
      <c r="G1" s="87"/>
      <c r="H1" s="87"/>
      <c r="I1" s="87"/>
      <c r="J1" s="87"/>
      <c r="K1" s="88"/>
    </row>
    <row r="2" spans="1:24" ht="16.2" thickTop="1" x14ac:dyDescent="0.3">
      <c r="A2" s="91" t="s">
        <v>0</v>
      </c>
      <c r="B2" s="92"/>
      <c r="C2" s="92"/>
      <c r="D2" s="92"/>
      <c r="E2" s="92"/>
      <c r="F2" s="17"/>
      <c r="G2" s="92" t="s">
        <v>35</v>
      </c>
      <c r="H2" s="92"/>
      <c r="I2" s="92"/>
      <c r="J2" s="92"/>
      <c r="K2" s="93"/>
      <c r="O2" s="89" t="s">
        <v>34</v>
      </c>
      <c r="P2" s="90"/>
      <c r="R2" s="97" t="s">
        <v>250</v>
      </c>
      <c r="S2" s="98"/>
      <c r="T2" s="99"/>
      <c r="V2" s="94" t="s">
        <v>41</v>
      </c>
      <c r="W2" s="95"/>
      <c r="X2" s="96"/>
    </row>
    <row r="3" spans="1:24" ht="18" customHeight="1" x14ac:dyDescent="0.3">
      <c r="A3" s="174" t="s">
        <v>218</v>
      </c>
      <c r="B3" s="175">
        <v>1</v>
      </c>
      <c r="C3" s="176" t="s">
        <v>32</v>
      </c>
      <c r="D3" s="175">
        <v>1</v>
      </c>
      <c r="E3" s="177" t="s">
        <v>219</v>
      </c>
      <c r="F3" s="18"/>
      <c r="G3" s="155" t="s">
        <v>234</v>
      </c>
      <c r="H3" s="157"/>
      <c r="I3" s="6" t="s">
        <v>32</v>
      </c>
      <c r="J3" s="157"/>
      <c r="K3" s="153" t="s">
        <v>235</v>
      </c>
      <c r="O3" s="5" t="s">
        <v>218</v>
      </c>
      <c r="P3" s="9" t="s">
        <v>245</v>
      </c>
      <c r="R3" s="80">
        <f>V12*0.4</f>
        <v>80</v>
      </c>
      <c r="S3" s="81"/>
      <c r="T3" s="82"/>
      <c r="V3" s="106">
        <v>10</v>
      </c>
      <c r="W3" s="107"/>
      <c r="X3" s="108"/>
    </row>
    <row r="4" spans="1:24" ht="18" customHeight="1" x14ac:dyDescent="0.3">
      <c r="A4" s="174" t="s">
        <v>220</v>
      </c>
      <c r="B4" s="175">
        <v>2</v>
      </c>
      <c r="C4" s="176" t="s">
        <v>32</v>
      </c>
      <c r="D4" s="175">
        <v>2</v>
      </c>
      <c r="E4" s="177" t="s">
        <v>221</v>
      </c>
      <c r="F4" s="18"/>
      <c r="G4" s="155" t="s">
        <v>236</v>
      </c>
      <c r="H4" s="157"/>
      <c r="I4" s="6" t="s">
        <v>32</v>
      </c>
      <c r="J4" s="157"/>
      <c r="K4" s="153" t="s">
        <v>237</v>
      </c>
      <c r="O4" s="5" t="s">
        <v>244</v>
      </c>
      <c r="P4" s="9" t="s">
        <v>231</v>
      </c>
      <c r="R4" s="80"/>
      <c r="S4" s="81"/>
      <c r="T4" s="82"/>
      <c r="V4" s="106"/>
      <c r="W4" s="107"/>
      <c r="X4" s="108"/>
    </row>
    <row r="5" spans="1:24" ht="18" customHeight="1" x14ac:dyDescent="0.3">
      <c r="A5" s="174" t="s">
        <v>220</v>
      </c>
      <c r="B5" s="175">
        <v>3</v>
      </c>
      <c r="C5" s="176" t="s">
        <v>32</v>
      </c>
      <c r="D5" s="175">
        <v>3</v>
      </c>
      <c r="E5" s="177" t="s">
        <v>218</v>
      </c>
      <c r="F5" s="18"/>
      <c r="G5" s="155" t="s">
        <v>237</v>
      </c>
      <c r="H5" s="157"/>
      <c r="I5" s="6" t="s">
        <v>32</v>
      </c>
      <c r="J5" s="157"/>
      <c r="K5" s="153" t="s">
        <v>235</v>
      </c>
      <c r="O5" s="5" t="s">
        <v>247</v>
      </c>
      <c r="P5" s="9" t="s">
        <v>241</v>
      </c>
      <c r="R5" s="83"/>
      <c r="S5" s="84"/>
      <c r="T5" s="85"/>
      <c r="V5" s="109"/>
      <c r="W5" s="110"/>
      <c r="X5" s="111"/>
    </row>
    <row r="6" spans="1:24" x14ac:dyDescent="0.3">
      <c r="A6" s="174" t="s">
        <v>219</v>
      </c>
      <c r="B6" s="175">
        <v>1</v>
      </c>
      <c r="C6" s="176" t="s">
        <v>32</v>
      </c>
      <c r="D6" s="175">
        <v>1</v>
      </c>
      <c r="E6" s="177" t="s">
        <v>221</v>
      </c>
      <c r="F6" s="18"/>
      <c r="G6" s="155" t="s">
        <v>234</v>
      </c>
      <c r="H6" s="157"/>
      <c r="I6" s="6" t="s">
        <v>32</v>
      </c>
      <c r="J6" s="157"/>
      <c r="K6" s="153" t="s">
        <v>236</v>
      </c>
      <c r="O6" s="5" t="s">
        <v>223</v>
      </c>
      <c r="P6" s="9" t="s">
        <v>242</v>
      </c>
    </row>
    <row r="7" spans="1:24" x14ac:dyDescent="0.3">
      <c r="A7" s="174" t="s">
        <v>219</v>
      </c>
      <c r="B7" s="175">
        <v>2</v>
      </c>
      <c r="C7" s="176" t="s">
        <v>32</v>
      </c>
      <c r="D7" s="175">
        <v>2</v>
      </c>
      <c r="E7" s="177" t="s">
        <v>220</v>
      </c>
      <c r="F7" s="18"/>
      <c r="G7" s="155" t="s">
        <v>237</v>
      </c>
      <c r="H7" s="157"/>
      <c r="I7" s="6" t="s">
        <v>32</v>
      </c>
      <c r="J7" s="157"/>
      <c r="K7" s="153" t="s">
        <v>234</v>
      </c>
      <c r="O7" s="5" t="s">
        <v>227</v>
      </c>
      <c r="P7" s="9" t="s">
        <v>236</v>
      </c>
      <c r="R7" s="124" t="s">
        <v>44</v>
      </c>
      <c r="S7" s="125"/>
      <c r="T7" s="126"/>
      <c r="V7" s="94" t="s">
        <v>42</v>
      </c>
      <c r="W7" s="95"/>
      <c r="X7" s="96"/>
    </row>
    <row r="8" spans="1:24" x14ac:dyDescent="0.3">
      <c r="A8" s="174" t="s">
        <v>221</v>
      </c>
      <c r="B8" s="175">
        <v>3</v>
      </c>
      <c r="C8" s="176" t="s">
        <v>32</v>
      </c>
      <c r="D8" s="175">
        <v>3</v>
      </c>
      <c r="E8" s="177" t="s">
        <v>218</v>
      </c>
      <c r="F8" s="18"/>
      <c r="G8" s="155" t="s">
        <v>235</v>
      </c>
      <c r="H8" s="157"/>
      <c r="I8" s="6" t="s">
        <v>32</v>
      </c>
      <c r="J8" s="157"/>
      <c r="K8" s="153" t="s">
        <v>236</v>
      </c>
      <c r="O8" s="5" t="s">
        <v>226</v>
      </c>
      <c r="P8" s="9" t="s">
        <v>248</v>
      </c>
      <c r="R8" s="80">
        <f>V12*0.3</f>
        <v>60</v>
      </c>
      <c r="S8" s="81"/>
      <c r="T8" s="82"/>
      <c r="V8" s="112">
        <v>20</v>
      </c>
      <c r="W8" s="113"/>
      <c r="X8" s="114"/>
    </row>
    <row r="9" spans="1:24" ht="15.6" x14ac:dyDescent="0.3">
      <c r="A9" s="91" t="s">
        <v>1</v>
      </c>
      <c r="B9" s="92"/>
      <c r="C9" s="92"/>
      <c r="D9" s="92"/>
      <c r="E9" s="92"/>
      <c r="F9" s="18"/>
      <c r="G9" s="92" t="s">
        <v>36</v>
      </c>
      <c r="H9" s="92"/>
      <c r="I9" s="92"/>
      <c r="J9" s="92"/>
      <c r="K9" s="93"/>
      <c r="O9" s="5" t="s">
        <v>229</v>
      </c>
      <c r="P9" s="9" t="s">
        <v>220</v>
      </c>
      <c r="R9" s="83"/>
      <c r="S9" s="84"/>
      <c r="T9" s="85"/>
      <c r="V9" s="115"/>
      <c r="W9" s="116"/>
      <c r="X9" s="117"/>
    </row>
    <row r="10" spans="1:24" x14ac:dyDescent="0.3">
      <c r="A10" s="147" t="s">
        <v>222</v>
      </c>
      <c r="B10" s="157"/>
      <c r="C10" s="6" t="s">
        <v>32</v>
      </c>
      <c r="D10" s="157"/>
      <c r="E10" s="150" t="s">
        <v>223</v>
      </c>
      <c r="F10" s="18"/>
      <c r="G10" s="155" t="s">
        <v>238</v>
      </c>
      <c r="H10" s="157"/>
      <c r="I10" s="6" t="s">
        <v>32</v>
      </c>
      <c r="J10" s="157"/>
      <c r="K10" s="153" t="s">
        <v>253</v>
      </c>
      <c r="O10" s="5" t="s">
        <v>228</v>
      </c>
      <c r="P10" s="9" t="s">
        <v>221</v>
      </c>
    </row>
    <row r="11" spans="1:24" x14ac:dyDescent="0.3">
      <c r="A11" s="147" t="s">
        <v>224</v>
      </c>
      <c r="B11" s="157"/>
      <c r="C11" s="6" t="s">
        <v>32</v>
      </c>
      <c r="D11" s="157"/>
      <c r="E11" s="150" t="s">
        <v>225</v>
      </c>
      <c r="F11" s="18"/>
      <c r="G11" s="155" t="s">
        <v>240</v>
      </c>
      <c r="H11" s="157"/>
      <c r="I11" s="6" t="s">
        <v>32</v>
      </c>
      <c r="J11" s="157"/>
      <c r="K11" s="153" t="s">
        <v>241</v>
      </c>
      <c r="O11" s="5" t="s">
        <v>239</v>
      </c>
      <c r="P11" s="9" t="s">
        <v>222</v>
      </c>
      <c r="R11" s="121" t="s">
        <v>45</v>
      </c>
      <c r="S11" s="122"/>
      <c r="T11" s="123"/>
      <c r="V11" s="94" t="s">
        <v>43</v>
      </c>
      <c r="W11" s="95"/>
      <c r="X11" s="96"/>
    </row>
    <row r="12" spans="1:24" ht="15.75" customHeight="1" x14ac:dyDescent="0.3">
      <c r="A12" s="147" t="s">
        <v>225</v>
      </c>
      <c r="B12" s="157"/>
      <c r="C12" s="6" t="s">
        <v>32</v>
      </c>
      <c r="D12" s="157"/>
      <c r="E12" s="150" t="s">
        <v>223</v>
      </c>
      <c r="F12" s="18"/>
      <c r="G12" s="155" t="s">
        <v>241</v>
      </c>
      <c r="H12" s="157"/>
      <c r="I12" s="6" t="s">
        <v>32</v>
      </c>
      <c r="J12" s="157"/>
      <c r="K12" s="153" t="s">
        <v>253</v>
      </c>
      <c r="O12" s="5" t="s">
        <v>224</v>
      </c>
      <c r="P12" s="9" t="s">
        <v>249</v>
      </c>
      <c r="R12" s="80">
        <f>V12*0.2</f>
        <v>40</v>
      </c>
      <c r="S12" s="81"/>
      <c r="T12" s="82"/>
      <c r="V12" s="100">
        <f>V3*V8</f>
        <v>200</v>
      </c>
      <c r="W12" s="101"/>
      <c r="X12" s="102"/>
    </row>
    <row r="13" spans="1:24" ht="15.75" customHeight="1" x14ac:dyDescent="0.3">
      <c r="A13" s="147" t="s">
        <v>222</v>
      </c>
      <c r="B13" s="157"/>
      <c r="C13" s="6" t="s">
        <v>32</v>
      </c>
      <c r="D13" s="157"/>
      <c r="E13" s="150" t="s">
        <v>224</v>
      </c>
      <c r="F13" s="18"/>
      <c r="G13" s="155" t="s">
        <v>238</v>
      </c>
      <c r="H13" s="157"/>
      <c r="I13" s="6" t="s">
        <v>32</v>
      </c>
      <c r="J13" s="157"/>
      <c r="K13" s="153" t="s">
        <v>240</v>
      </c>
      <c r="O13" s="5" t="s">
        <v>230</v>
      </c>
      <c r="P13" s="9" t="s">
        <v>246</v>
      </c>
      <c r="R13" s="83"/>
      <c r="S13" s="84"/>
      <c r="T13" s="85"/>
      <c r="V13" s="103"/>
      <c r="W13" s="104"/>
      <c r="X13" s="105"/>
    </row>
    <row r="14" spans="1:24" ht="15.75" customHeight="1" x14ac:dyDescent="0.3">
      <c r="A14" s="147" t="s">
        <v>225</v>
      </c>
      <c r="B14" s="157"/>
      <c r="C14" s="6" t="s">
        <v>32</v>
      </c>
      <c r="D14" s="157"/>
      <c r="E14" s="150" t="s">
        <v>222</v>
      </c>
      <c r="F14" s="18"/>
      <c r="G14" s="155" t="s">
        <v>241</v>
      </c>
      <c r="H14" s="157"/>
      <c r="I14" s="6" t="s">
        <v>32</v>
      </c>
      <c r="J14" s="157"/>
      <c r="K14" s="153" t="s">
        <v>238</v>
      </c>
      <c r="O14" s="5" t="s">
        <v>233</v>
      </c>
      <c r="P14" s="9" t="s">
        <v>234</v>
      </c>
      <c r="V14" s="12"/>
      <c r="W14" s="12"/>
      <c r="X14" s="12"/>
    </row>
    <row r="15" spans="1:24" x14ac:dyDescent="0.3">
      <c r="A15" s="147" t="s">
        <v>223</v>
      </c>
      <c r="B15" s="157"/>
      <c r="C15" s="6" t="s">
        <v>32</v>
      </c>
      <c r="D15" s="157"/>
      <c r="E15" s="150" t="s">
        <v>224</v>
      </c>
      <c r="F15" s="18"/>
      <c r="G15" s="155" t="s">
        <v>239</v>
      </c>
      <c r="H15" s="157"/>
      <c r="I15" s="6" t="s">
        <v>32</v>
      </c>
      <c r="J15" s="157"/>
      <c r="K15" s="153" t="s">
        <v>240</v>
      </c>
      <c r="O15" s="5" t="s">
        <v>232</v>
      </c>
      <c r="P15" s="9" t="s">
        <v>225</v>
      </c>
      <c r="R15" s="118" t="s">
        <v>251</v>
      </c>
      <c r="S15" s="119"/>
      <c r="T15" s="120"/>
      <c r="V15" s="75"/>
      <c r="W15" s="75"/>
      <c r="X15" s="75"/>
    </row>
    <row r="16" spans="1:24" ht="21" customHeight="1" x14ac:dyDescent="0.3">
      <c r="A16" s="91" t="s">
        <v>2</v>
      </c>
      <c r="B16" s="92"/>
      <c r="C16" s="92"/>
      <c r="D16" s="92"/>
      <c r="E16" s="92"/>
      <c r="F16" s="18"/>
      <c r="G16" s="92" t="s">
        <v>37</v>
      </c>
      <c r="H16" s="92"/>
      <c r="I16" s="92"/>
      <c r="J16" s="92"/>
      <c r="K16" s="93"/>
      <c r="O16" s="5" t="s">
        <v>238</v>
      </c>
      <c r="P16" s="9" t="s">
        <v>240</v>
      </c>
      <c r="R16" s="80">
        <f>V12*0.1</f>
        <v>20</v>
      </c>
      <c r="S16" s="81"/>
      <c r="T16" s="82"/>
      <c r="V16" s="101"/>
      <c r="W16" s="101"/>
      <c r="X16" s="101"/>
    </row>
    <row r="17" spans="1:24" ht="21" customHeight="1" x14ac:dyDescent="0.3">
      <c r="A17" s="147" t="s">
        <v>226</v>
      </c>
      <c r="B17" s="157"/>
      <c r="C17" s="6" t="s">
        <v>32</v>
      </c>
      <c r="D17" s="157"/>
      <c r="E17" s="150" t="s">
        <v>227</v>
      </c>
      <c r="F17" s="18"/>
      <c r="G17" s="155" t="s">
        <v>242</v>
      </c>
      <c r="H17" s="157"/>
      <c r="I17" s="6" t="s">
        <v>32</v>
      </c>
      <c r="J17" s="157"/>
      <c r="K17" s="153" t="s">
        <v>243</v>
      </c>
      <c r="O17" s="5" t="s">
        <v>237</v>
      </c>
      <c r="P17" s="9" t="s">
        <v>235</v>
      </c>
      <c r="R17" s="83"/>
      <c r="S17" s="84"/>
      <c r="T17" s="85"/>
      <c r="V17" s="101"/>
      <c r="W17" s="101"/>
      <c r="X17" s="101"/>
    </row>
    <row r="18" spans="1:24" ht="18.600000000000001" thickBot="1" x14ac:dyDescent="0.35">
      <c r="A18" s="147" t="s">
        <v>228</v>
      </c>
      <c r="B18" s="157"/>
      <c r="C18" s="6" t="s">
        <v>32</v>
      </c>
      <c r="D18" s="157"/>
      <c r="E18" s="150" t="s">
        <v>229</v>
      </c>
      <c r="F18" s="18"/>
      <c r="G18" s="155" t="s">
        <v>244</v>
      </c>
      <c r="H18" s="157"/>
      <c r="I18" s="6" t="s">
        <v>32</v>
      </c>
      <c r="J18" s="157"/>
      <c r="K18" s="153" t="s">
        <v>245</v>
      </c>
      <c r="O18" s="7" t="s">
        <v>219</v>
      </c>
      <c r="P18" s="11" t="s">
        <v>243</v>
      </c>
    </row>
    <row r="19" spans="1:24" ht="18.600000000000001" thickTop="1" x14ac:dyDescent="0.3">
      <c r="A19" s="147" t="s">
        <v>229</v>
      </c>
      <c r="B19" s="157"/>
      <c r="C19" s="6" t="s">
        <v>32</v>
      </c>
      <c r="D19" s="157"/>
      <c r="E19" s="150" t="s">
        <v>227</v>
      </c>
      <c r="F19" s="18"/>
      <c r="G19" s="155" t="s">
        <v>245</v>
      </c>
      <c r="H19" s="157"/>
      <c r="I19" s="6" t="s">
        <v>32</v>
      </c>
      <c r="J19" s="157"/>
      <c r="K19" s="153" t="s">
        <v>243</v>
      </c>
    </row>
    <row r="20" spans="1:24" x14ac:dyDescent="0.3">
      <c r="A20" s="147" t="s">
        <v>226</v>
      </c>
      <c r="B20" s="157"/>
      <c r="C20" s="6" t="s">
        <v>32</v>
      </c>
      <c r="D20" s="157"/>
      <c r="E20" s="150" t="s">
        <v>228</v>
      </c>
      <c r="F20" s="18"/>
      <c r="G20" s="155" t="s">
        <v>242</v>
      </c>
      <c r="H20" s="157"/>
      <c r="I20" s="6" t="s">
        <v>32</v>
      </c>
      <c r="J20" s="157"/>
      <c r="K20" s="153" t="s">
        <v>244</v>
      </c>
      <c r="O20" s="133" t="s">
        <v>116</v>
      </c>
      <c r="P20" s="133"/>
      <c r="Q20" s="133"/>
      <c r="R20" s="132"/>
      <c r="S20" s="132"/>
      <c r="T20" s="132"/>
    </row>
    <row r="21" spans="1:24" x14ac:dyDescent="0.3">
      <c r="A21" s="147" t="s">
        <v>229</v>
      </c>
      <c r="B21" s="157"/>
      <c r="C21" s="6" t="s">
        <v>32</v>
      </c>
      <c r="D21" s="157"/>
      <c r="E21" s="150" t="s">
        <v>226</v>
      </c>
      <c r="F21" s="18"/>
      <c r="G21" s="155" t="s">
        <v>245</v>
      </c>
      <c r="H21" s="157"/>
      <c r="I21" s="6" t="s">
        <v>32</v>
      </c>
      <c r="J21" s="157"/>
      <c r="K21" s="153" t="s">
        <v>242</v>
      </c>
      <c r="O21" s="133" t="s">
        <v>117</v>
      </c>
      <c r="P21" s="133"/>
      <c r="Q21" s="133"/>
      <c r="R21" s="134"/>
      <c r="S21" s="134"/>
      <c r="T21" s="134"/>
    </row>
    <row r="22" spans="1:24" x14ac:dyDescent="0.3">
      <c r="A22" s="147" t="s">
        <v>227</v>
      </c>
      <c r="B22" s="157"/>
      <c r="C22" s="6" t="s">
        <v>32</v>
      </c>
      <c r="D22" s="157"/>
      <c r="E22" s="150" t="s">
        <v>228</v>
      </c>
      <c r="F22" s="18"/>
      <c r="G22" s="155" t="s">
        <v>243</v>
      </c>
      <c r="H22" s="157"/>
      <c r="I22" s="6" t="s">
        <v>32</v>
      </c>
      <c r="J22" s="157"/>
      <c r="K22" s="153" t="s">
        <v>244</v>
      </c>
    </row>
    <row r="23" spans="1:24" ht="15.6" x14ac:dyDescent="0.3">
      <c r="A23" s="91" t="s">
        <v>3</v>
      </c>
      <c r="B23" s="92"/>
      <c r="C23" s="92"/>
      <c r="D23" s="92"/>
      <c r="E23" s="92"/>
      <c r="F23" s="18"/>
      <c r="G23" s="92" t="s">
        <v>38</v>
      </c>
      <c r="H23" s="92"/>
      <c r="I23" s="92"/>
      <c r="J23" s="92"/>
      <c r="K23" s="93"/>
    </row>
    <row r="24" spans="1:24" x14ac:dyDescent="0.3">
      <c r="A24" s="147" t="s">
        <v>230</v>
      </c>
      <c r="B24" s="157"/>
      <c r="C24" s="6" t="s">
        <v>32</v>
      </c>
      <c r="D24" s="157"/>
      <c r="E24" s="150" t="s">
        <v>231</v>
      </c>
      <c r="F24" s="18"/>
      <c r="G24" s="155" t="s">
        <v>246</v>
      </c>
      <c r="H24" s="157"/>
      <c r="I24" s="6" t="s">
        <v>32</v>
      </c>
      <c r="J24" s="157"/>
      <c r="K24" s="153" t="s">
        <v>247</v>
      </c>
    </row>
    <row r="25" spans="1:24" x14ac:dyDescent="0.3">
      <c r="A25" s="147" t="s">
        <v>232</v>
      </c>
      <c r="B25" s="157"/>
      <c r="C25" s="6" t="s">
        <v>32</v>
      </c>
      <c r="D25" s="157"/>
      <c r="E25" s="150" t="s">
        <v>233</v>
      </c>
      <c r="F25" s="18"/>
      <c r="G25" s="155" t="s">
        <v>248</v>
      </c>
      <c r="H25" s="157"/>
      <c r="I25" s="6" t="s">
        <v>32</v>
      </c>
      <c r="J25" s="157"/>
      <c r="K25" s="153" t="s">
        <v>249</v>
      </c>
    </row>
    <row r="26" spans="1:24" x14ac:dyDescent="0.3">
      <c r="A26" s="147" t="s">
        <v>232</v>
      </c>
      <c r="B26" s="157"/>
      <c r="C26" s="6" t="s">
        <v>32</v>
      </c>
      <c r="D26" s="157"/>
      <c r="E26" s="150" t="s">
        <v>230</v>
      </c>
      <c r="F26" s="18"/>
      <c r="G26" s="155" t="s">
        <v>246</v>
      </c>
      <c r="H26" s="157"/>
      <c r="I26" s="6" t="s">
        <v>32</v>
      </c>
      <c r="J26" s="157"/>
      <c r="K26" s="153" t="s">
        <v>248</v>
      </c>
    </row>
    <row r="27" spans="1:24" x14ac:dyDescent="0.3">
      <c r="A27" s="147" t="s">
        <v>231</v>
      </c>
      <c r="B27" s="157"/>
      <c r="C27" s="6" t="s">
        <v>32</v>
      </c>
      <c r="D27" s="157"/>
      <c r="E27" s="150" t="s">
        <v>233</v>
      </c>
      <c r="F27" s="18"/>
      <c r="G27" s="155" t="s">
        <v>249</v>
      </c>
      <c r="H27" s="157"/>
      <c r="I27" s="6" t="s">
        <v>32</v>
      </c>
      <c r="J27" s="157"/>
      <c r="K27" s="153" t="s">
        <v>247</v>
      </c>
    </row>
    <row r="28" spans="1:24" x14ac:dyDescent="0.3">
      <c r="A28" s="147" t="s">
        <v>233</v>
      </c>
      <c r="B28" s="157"/>
      <c r="C28" s="6" t="s">
        <v>32</v>
      </c>
      <c r="D28" s="157"/>
      <c r="E28" s="150" t="s">
        <v>230</v>
      </c>
      <c r="F28" s="18"/>
      <c r="G28" s="155" t="s">
        <v>249</v>
      </c>
      <c r="H28" s="157"/>
      <c r="I28" s="6" t="s">
        <v>32</v>
      </c>
      <c r="J28" s="157"/>
      <c r="K28" s="153" t="s">
        <v>246</v>
      </c>
    </row>
    <row r="29" spans="1:24" ht="18.600000000000001" thickBot="1" x14ac:dyDescent="0.35">
      <c r="A29" s="148" t="s">
        <v>231</v>
      </c>
      <c r="B29" s="158"/>
      <c r="C29" s="8" t="s">
        <v>32</v>
      </c>
      <c r="D29" s="158"/>
      <c r="E29" s="151" t="s">
        <v>232</v>
      </c>
      <c r="F29" s="19"/>
      <c r="G29" s="156" t="s">
        <v>247</v>
      </c>
      <c r="H29" s="158"/>
      <c r="I29" s="8" t="s">
        <v>32</v>
      </c>
      <c r="J29" s="158"/>
      <c r="K29" s="154" t="s">
        <v>248</v>
      </c>
    </row>
    <row r="30" spans="1:24" ht="19.2" thickTop="1" thickBot="1" x14ac:dyDescent="0.35"/>
    <row r="31" spans="1:24" ht="16.2" thickTop="1" x14ac:dyDescent="0.3">
      <c r="A31" s="127" t="s">
        <v>161</v>
      </c>
      <c r="B31" s="128"/>
      <c r="C31" s="128"/>
      <c r="D31" s="128"/>
      <c r="E31" s="129"/>
      <c r="G31" s="91" t="s">
        <v>164</v>
      </c>
      <c r="H31" s="92"/>
      <c r="I31" s="92"/>
      <c r="J31" s="92"/>
      <c r="K31" s="92"/>
    </row>
    <row r="32" spans="1:24" x14ac:dyDescent="0.3">
      <c r="A32" s="147"/>
      <c r="B32" s="157"/>
      <c r="C32" s="6" t="s">
        <v>47</v>
      </c>
      <c r="D32" s="157"/>
      <c r="E32" s="153"/>
      <c r="G32" s="135"/>
      <c r="H32" s="136"/>
      <c r="I32" s="136"/>
      <c r="J32" s="136"/>
      <c r="K32" s="137"/>
    </row>
    <row r="33" spans="1:11" x14ac:dyDescent="0.3">
      <c r="A33" s="147"/>
      <c r="B33" s="157"/>
      <c r="C33" s="6" t="s">
        <v>47</v>
      </c>
      <c r="D33" s="157"/>
      <c r="E33" s="153"/>
    </row>
    <row r="34" spans="1:11" x14ac:dyDescent="0.3">
      <c r="A34" s="147"/>
      <c r="B34" s="157"/>
      <c r="C34" s="6" t="s">
        <v>47</v>
      </c>
      <c r="D34" s="157"/>
      <c r="E34" s="153"/>
      <c r="G34" s="138" t="s">
        <v>117</v>
      </c>
      <c r="H34" s="139"/>
      <c r="I34" s="139"/>
      <c r="J34" s="139"/>
      <c r="K34" s="139"/>
    </row>
    <row r="35" spans="1:11" x14ac:dyDescent="0.3">
      <c r="A35" s="147"/>
      <c r="B35" s="157"/>
      <c r="C35" s="6" t="s">
        <v>47</v>
      </c>
      <c r="D35" s="157"/>
      <c r="E35" s="153"/>
      <c r="G35" s="79"/>
      <c r="H35" s="79"/>
      <c r="I35" s="79"/>
      <c r="J35" s="79"/>
      <c r="K35" s="79"/>
    </row>
    <row r="36" spans="1:11" x14ac:dyDescent="0.3">
      <c r="A36" s="147"/>
      <c r="B36" s="157"/>
      <c r="C36" s="6" t="s">
        <v>47</v>
      </c>
      <c r="D36" s="157"/>
      <c r="E36" s="153"/>
    </row>
    <row r="37" spans="1:11" x14ac:dyDescent="0.3">
      <c r="A37" s="147"/>
      <c r="B37" s="157"/>
      <c r="C37" s="6" t="s">
        <v>47</v>
      </c>
      <c r="D37" s="157"/>
      <c r="E37" s="153"/>
    </row>
    <row r="38" spans="1:11" x14ac:dyDescent="0.3">
      <c r="A38" s="147"/>
      <c r="B38" s="157"/>
      <c r="C38" s="6" t="s">
        <v>47</v>
      </c>
      <c r="D38" s="157"/>
      <c r="E38" s="153"/>
    </row>
    <row r="39" spans="1:11" ht="18.600000000000001" thickBot="1" x14ac:dyDescent="0.35">
      <c r="A39" s="148"/>
      <c r="B39" s="158"/>
      <c r="C39" s="8" t="s">
        <v>47</v>
      </c>
      <c r="D39" s="158"/>
      <c r="E39" s="154"/>
    </row>
    <row r="40" spans="1:11" ht="19.2" thickTop="1" thickBot="1" x14ac:dyDescent="0.35"/>
    <row r="41" spans="1:11" ht="18.600000000000001" thickTop="1" x14ac:dyDescent="0.3">
      <c r="A41" s="127" t="s">
        <v>130</v>
      </c>
      <c r="B41" s="128"/>
      <c r="C41" s="128"/>
      <c r="D41" s="128"/>
      <c r="E41" s="129"/>
    </row>
    <row r="42" spans="1:11" x14ac:dyDescent="0.3">
      <c r="A42" s="147"/>
      <c r="B42" s="157"/>
      <c r="C42" s="6" t="s">
        <v>47</v>
      </c>
      <c r="D42" s="157"/>
      <c r="E42" s="153"/>
    </row>
    <row r="43" spans="1:11" x14ac:dyDescent="0.3">
      <c r="A43" s="147"/>
      <c r="B43" s="157"/>
      <c r="C43" s="6" t="s">
        <v>47</v>
      </c>
      <c r="D43" s="157"/>
      <c r="E43" s="153"/>
    </row>
    <row r="44" spans="1:11" x14ac:dyDescent="0.3">
      <c r="A44" s="147"/>
      <c r="B44" s="157"/>
      <c r="C44" s="6" t="s">
        <v>47</v>
      </c>
      <c r="D44" s="157"/>
      <c r="E44" s="153"/>
    </row>
    <row r="45" spans="1:11" ht="18.600000000000001" thickBot="1" x14ac:dyDescent="0.35">
      <c r="A45" s="148"/>
      <c r="B45" s="158"/>
      <c r="C45" s="8" t="s">
        <v>47</v>
      </c>
      <c r="D45" s="158"/>
      <c r="E45" s="154"/>
    </row>
    <row r="46" spans="1:11" ht="18.600000000000001" thickTop="1" x14ac:dyDescent="0.3"/>
    <row r="47" spans="1:11" x14ac:dyDescent="0.3">
      <c r="A47" s="91" t="s">
        <v>131</v>
      </c>
      <c r="B47" s="92"/>
      <c r="C47" s="92"/>
      <c r="D47" s="92"/>
      <c r="E47" s="92"/>
    </row>
    <row r="48" spans="1:11" x14ac:dyDescent="0.3">
      <c r="A48" s="147"/>
      <c r="B48" s="157"/>
      <c r="C48" s="6" t="s">
        <v>47</v>
      </c>
      <c r="D48" s="157"/>
      <c r="E48" s="150"/>
    </row>
    <row r="49" spans="1:5" x14ac:dyDescent="0.3">
      <c r="A49" s="147"/>
      <c r="B49" s="157"/>
      <c r="C49" s="6" t="s">
        <v>47</v>
      </c>
      <c r="D49" s="157"/>
      <c r="E49" s="150"/>
    </row>
    <row r="51" spans="1:5" x14ac:dyDescent="0.3">
      <c r="A51" s="91" t="s">
        <v>132</v>
      </c>
      <c r="B51" s="92"/>
      <c r="C51" s="92"/>
      <c r="D51" s="92"/>
      <c r="E51" s="92"/>
    </row>
    <row r="52" spans="1:5" x14ac:dyDescent="0.3">
      <c r="A52" s="147"/>
      <c r="B52" s="157"/>
      <c r="C52" s="6" t="s">
        <v>47</v>
      </c>
      <c r="D52" s="157"/>
      <c r="E52" s="150"/>
    </row>
    <row r="53" spans="1:5" x14ac:dyDescent="0.3">
      <c r="B53" s="160"/>
      <c r="C53" s="3"/>
      <c r="D53" s="160"/>
    </row>
    <row r="54" spans="1:5" x14ac:dyDescent="0.3">
      <c r="A54" s="130" t="s">
        <v>133</v>
      </c>
      <c r="B54" s="131"/>
      <c r="C54" s="131"/>
      <c r="D54" s="131"/>
      <c r="E54" s="131"/>
    </row>
    <row r="55" spans="1:5" x14ac:dyDescent="0.3">
      <c r="A55" s="147"/>
      <c r="B55" s="157"/>
      <c r="C55" s="6" t="s">
        <v>47</v>
      </c>
      <c r="D55" s="157"/>
      <c r="E55" s="150"/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20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254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Ivan Alex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Ivan Alex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Ivan Alex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Ivan Alex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AA1D-12EB-4D69-BCBD-EAC429B0DD4A}">
  <sheetPr codeName="Planilha18"/>
  <dimension ref="A1:F1134"/>
  <sheetViews>
    <sheetView workbookViewId="0">
      <selection activeCell="A74" sqref="A74"/>
    </sheetView>
  </sheetViews>
  <sheetFormatPr defaultRowHeight="14.4" x14ac:dyDescent="0.3"/>
  <cols>
    <col min="1" max="1" width="77.77734375" bestFit="1" customWidth="1"/>
  </cols>
  <sheetData>
    <row r="1" spans="1:6" x14ac:dyDescent="0.3">
      <c r="F1" t="s">
        <v>266</v>
      </c>
    </row>
    <row r="2" spans="1:6" x14ac:dyDescent="0.3">
      <c r="F2" t="s">
        <v>256</v>
      </c>
    </row>
    <row r="3" spans="1:6" x14ac:dyDescent="0.3">
      <c r="F3" t="s">
        <v>267</v>
      </c>
    </row>
    <row r="5" spans="1:6" x14ac:dyDescent="0.3">
      <c r="A5" t="s">
        <v>268</v>
      </c>
    </row>
    <row r="6" spans="1:6" x14ac:dyDescent="0.3">
      <c r="A6" t="s">
        <v>269</v>
      </c>
    </row>
    <row r="7" spans="1:6" x14ac:dyDescent="0.3">
      <c r="A7" t="s">
        <v>268</v>
      </c>
    </row>
    <row r="8" spans="1:6" x14ac:dyDescent="0.3">
      <c r="A8" t="s">
        <v>270</v>
      </c>
    </row>
    <row r="9" spans="1:6" x14ac:dyDescent="0.3">
      <c r="A9" t="s">
        <v>271</v>
      </c>
    </row>
    <row r="10" spans="1:6" x14ac:dyDescent="0.3">
      <c r="A10" t="s">
        <v>272</v>
      </c>
    </row>
    <row r="11" spans="1:6" x14ac:dyDescent="0.3">
      <c r="A11" t="s">
        <v>273</v>
      </c>
    </row>
    <row r="12" spans="1:6" x14ac:dyDescent="0.3">
      <c r="A12" t="s">
        <v>274</v>
      </c>
    </row>
    <row r="13" spans="1:6" x14ac:dyDescent="0.3">
      <c r="A13" t="s">
        <v>275</v>
      </c>
    </row>
    <row r="15" spans="1:6" x14ac:dyDescent="0.3">
      <c r="A15" t="s">
        <v>268</v>
      </c>
    </row>
    <row r="16" spans="1:6" x14ac:dyDescent="0.3">
      <c r="A16" t="s">
        <v>268</v>
      </c>
    </row>
    <row r="17" spans="1:1" x14ac:dyDescent="0.3">
      <c r="A17" t="s">
        <v>1</v>
      </c>
    </row>
    <row r="18" spans="1:1" x14ac:dyDescent="0.3">
      <c r="A18" t="s">
        <v>276</v>
      </c>
    </row>
    <row r="19" spans="1:1" x14ac:dyDescent="0.3">
      <c r="A19" t="s">
        <v>277</v>
      </c>
    </row>
    <row r="20" spans="1:1" x14ac:dyDescent="0.3">
      <c r="A20" t="s">
        <v>278</v>
      </c>
    </row>
    <row r="21" spans="1:1" x14ac:dyDescent="0.3">
      <c r="A21" t="s">
        <v>279</v>
      </c>
    </row>
    <row r="22" spans="1:1" x14ac:dyDescent="0.3">
      <c r="A22" t="s">
        <v>280</v>
      </c>
    </row>
    <row r="23" spans="1:1" x14ac:dyDescent="0.3">
      <c r="A23" t="s">
        <v>281</v>
      </c>
    </row>
    <row r="25" spans="1:1" x14ac:dyDescent="0.3">
      <c r="A25" t="s">
        <v>268</v>
      </c>
    </row>
    <row r="26" spans="1:1" x14ac:dyDescent="0.3">
      <c r="A26" t="s">
        <v>282</v>
      </c>
    </row>
    <row r="27" spans="1:1" x14ac:dyDescent="0.3">
      <c r="A27" t="s">
        <v>268</v>
      </c>
    </row>
    <row r="28" spans="1:1" x14ac:dyDescent="0.3">
      <c r="A28" t="s">
        <v>283</v>
      </c>
    </row>
    <row r="29" spans="1:1" x14ac:dyDescent="0.3">
      <c r="A29" t="s">
        <v>284</v>
      </c>
    </row>
    <row r="30" spans="1:1" x14ac:dyDescent="0.3">
      <c r="A30" t="s">
        <v>285</v>
      </c>
    </row>
    <row r="31" spans="1:1" x14ac:dyDescent="0.3">
      <c r="A31" t="s">
        <v>286</v>
      </c>
    </row>
    <row r="32" spans="1:1" x14ac:dyDescent="0.3">
      <c r="A32" t="s">
        <v>287</v>
      </c>
    </row>
    <row r="33" spans="1:1" x14ac:dyDescent="0.3">
      <c r="A33" t="s">
        <v>288</v>
      </c>
    </row>
    <row r="35" spans="1:1" x14ac:dyDescent="0.3">
      <c r="A35" t="s">
        <v>289</v>
      </c>
    </row>
    <row r="36" spans="1:1" x14ac:dyDescent="0.3">
      <c r="A36" t="s">
        <v>3</v>
      </c>
    </row>
    <row r="37" spans="1:1" x14ac:dyDescent="0.3">
      <c r="A37" t="s">
        <v>268</v>
      </c>
    </row>
    <row r="38" spans="1:1" x14ac:dyDescent="0.3">
      <c r="A38" t="s">
        <v>290</v>
      </c>
    </row>
    <row r="39" spans="1:1" x14ac:dyDescent="0.3">
      <c r="A39" t="s">
        <v>291</v>
      </c>
    </row>
    <row r="40" spans="1:1" x14ac:dyDescent="0.3">
      <c r="A40" t="s">
        <v>292</v>
      </c>
    </row>
    <row r="41" spans="1:1" x14ac:dyDescent="0.3">
      <c r="A41" t="s">
        <v>293</v>
      </c>
    </row>
    <row r="42" spans="1:1" x14ac:dyDescent="0.3">
      <c r="A42" t="s">
        <v>294</v>
      </c>
    </row>
    <row r="43" spans="1:1" x14ac:dyDescent="0.3">
      <c r="A43" t="s">
        <v>295</v>
      </c>
    </row>
    <row r="45" spans="1:1" x14ac:dyDescent="0.3">
      <c r="A45" t="s">
        <v>268</v>
      </c>
    </row>
    <row r="46" spans="1:1" x14ac:dyDescent="0.3">
      <c r="A46" t="s">
        <v>296</v>
      </c>
    </row>
    <row r="47" spans="1:1" x14ac:dyDescent="0.3">
      <c r="A47" t="s">
        <v>268</v>
      </c>
    </row>
    <row r="48" spans="1:1" x14ac:dyDescent="0.3">
      <c r="A48" t="s">
        <v>297</v>
      </c>
    </row>
    <row r="49" spans="1:1" x14ac:dyDescent="0.3">
      <c r="A49" t="s">
        <v>298</v>
      </c>
    </row>
    <row r="50" spans="1:1" x14ac:dyDescent="0.3">
      <c r="A50" t="s">
        <v>299</v>
      </c>
    </row>
    <row r="51" spans="1:1" x14ac:dyDescent="0.3">
      <c r="A51" t="s">
        <v>300</v>
      </c>
    </row>
    <row r="52" spans="1:1" x14ac:dyDescent="0.3">
      <c r="A52" t="s">
        <v>301</v>
      </c>
    </row>
    <row r="53" spans="1:1" x14ac:dyDescent="0.3">
      <c r="A53" t="s">
        <v>302</v>
      </c>
    </row>
    <row r="55" spans="1:1" x14ac:dyDescent="0.3">
      <c r="A55" t="s">
        <v>268</v>
      </c>
    </row>
    <row r="56" spans="1:1" x14ac:dyDescent="0.3">
      <c r="A56" t="s">
        <v>303</v>
      </c>
    </row>
    <row r="57" spans="1:1" x14ac:dyDescent="0.3">
      <c r="A57" t="s">
        <v>268</v>
      </c>
    </row>
    <row r="58" spans="1:1" x14ac:dyDescent="0.3">
      <c r="A58" t="s">
        <v>304</v>
      </c>
    </row>
    <row r="59" spans="1:1" x14ac:dyDescent="0.3">
      <c r="A59" t="s">
        <v>305</v>
      </c>
    </row>
    <row r="60" spans="1:1" x14ac:dyDescent="0.3">
      <c r="A60" t="s">
        <v>306</v>
      </c>
    </row>
    <row r="61" spans="1:1" x14ac:dyDescent="0.3">
      <c r="A61" t="s">
        <v>307</v>
      </c>
    </row>
    <row r="62" spans="1:1" x14ac:dyDescent="0.3">
      <c r="A62" t="s">
        <v>308</v>
      </c>
    </row>
    <row r="63" spans="1:1" x14ac:dyDescent="0.3">
      <c r="A63" t="s">
        <v>309</v>
      </c>
    </row>
    <row r="65" spans="1:1" x14ac:dyDescent="0.3">
      <c r="A65" t="s">
        <v>268</v>
      </c>
    </row>
    <row r="66" spans="1:1" x14ac:dyDescent="0.3">
      <c r="A66" t="s">
        <v>310</v>
      </c>
    </row>
    <row r="67" spans="1:1" x14ac:dyDescent="0.3">
      <c r="A67" t="s">
        <v>268</v>
      </c>
    </row>
    <row r="68" spans="1:1" x14ac:dyDescent="0.3">
      <c r="A68" t="s">
        <v>311</v>
      </c>
    </row>
    <row r="69" spans="1:1" x14ac:dyDescent="0.3">
      <c r="A69" t="s">
        <v>312</v>
      </c>
    </row>
    <row r="70" spans="1:1" x14ac:dyDescent="0.3">
      <c r="A70" t="s">
        <v>313</v>
      </c>
    </row>
    <row r="71" spans="1:1" x14ac:dyDescent="0.3">
      <c r="A71" t="s">
        <v>314</v>
      </c>
    </row>
    <row r="72" spans="1:1" x14ac:dyDescent="0.3">
      <c r="A72" t="s">
        <v>315</v>
      </c>
    </row>
    <row r="73" spans="1:1" x14ac:dyDescent="0.3">
      <c r="A73" t="s">
        <v>316</v>
      </c>
    </row>
    <row r="75" spans="1:1" x14ac:dyDescent="0.3">
      <c r="A75" t="s">
        <v>268</v>
      </c>
    </row>
    <row r="76" spans="1:1" x14ac:dyDescent="0.3">
      <c r="A76" t="s">
        <v>317</v>
      </c>
    </row>
    <row r="77" spans="1:1" x14ac:dyDescent="0.3">
      <c r="A77" t="s">
        <v>268</v>
      </c>
    </row>
    <row r="78" spans="1:1" x14ac:dyDescent="0.3">
      <c r="A78" t="s">
        <v>318</v>
      </c>
    </row>
    <row r="79" spans="1:1" x14ac:dyDescent="0.3">
      <c r="A79" t="s">
        <v>319</v>
      </c>
    </row>
    <row r="80" spans="1:1" x14ac:dyDescent="0.3">
      <c r="A80" t="s">
        <v>320</v>
      </c>
    </row>
    <row r="81" spans="1:6" x14ac:dyDescent="0.3">
      <c r="A81" t="s">
        <v>321</v>
      </c>
    </row>
    <row r="82" spans="1:6" x14ac:dyDescent="0.3">
      <c r="A82" t="s">
        <v>322</v>
      </c>
    </row>
    <row r="83" spans="1:6" x14ac:dyDescent="0.3">
      <c r="A83" t="s">
        <v>323</v>
      </c>
    </row>
    <row r="85" spans="1:6" x14ac:dyDescent="0.3">
      <c r="A85" t="s">
        <v>324</v>
      </c>
    </row>
    <row r="86" spans="1:6" x14ac:dyDescent="0.3">
      <c r="A86" t="s">
        <v>325</v>
      </c>
    </row>
    <row r="88" spans="1:6" x14ac:dyDescent="0.3">
      <c r="A88" t="s">
        <v>326</v>
      </c>
    </row>
    <row r="89" spans="1:6" x14ac:dyDescent="0.3">
      <c r="A89" t="s">
        <v>327</v>
      </c>
    </row>
    <row r="93" spans="1:6" x14ac:dyDescent="0.3">
      <c r="F93" t="s">
        <v>266</v>
      </c>
    </row>
    <row r="94" spans="1:6" x14ac:dyDescent="0.3">
      <c r="F94" t="s">
        <v>257</v>
      </c>
    </row>
    <row r="95" spans="1:6" x14ac:dyDescent="0.3">
      <c r="F95" t="s">
        <v>267</v>
      </c>
    </row>
    <row r="97" spans="1:1" x14ac:dyDescent="0.3">
      <c r="A97" t="s">
        <v>268</v>
      </c>
    </row>
    <row r="98" spans="1:1" x14ac:dyDescent="0.3">
      <c r="A98" t="s">
        <v>269</v>
      </c>
    </row>
    <row r="99" spans="1:1" x14ac:dyDescent="0.3">
      <c r="A99" t="s">
        <v>268</v>
      </c>
    </row>
    <row r="100" spans="1:1" x14ac:dyDescent="0.3">
      <c r="A100" t="s">
        <v>328</v>
      </c>
    </row>
    <row r="101" spans="1:1" x14ac:dyDescent="0.3">
      <c r="A101" t="s">
        <v>271</v>
      </c>
    </row>
    <row r="102" spans="1:1" x14ac:dyDescent="0.3">
      <c r="A102" t="s">
        <v>329</v>
      </c>
    </row>
    <row r="103" spans="1:1" x14ac:dyDescent="0.3">
      <c r="A103" t="s">
        <v>330</v>
      </c>
    </row>
    <row r="104" spans="1:1" x14ac:dyDescent="0.3">
      <c r="A104" t="s">
        <v>331</v>
      </c>
    </row>
    <row r="105" spans="1:1" x14ac:dyDescent="0.3">
      <c r="A105" t="s">
        <v>332</v>
      </c>
    </row>
    <row r="107" spans="1:1" x14ac:dyDescent="0.3">
      <c r="A107" t="s">
        <v>268</v>
      </c>
    </row>
    <row r="108" spans="1:1" x14ac:dyDescent="0.3">
      <c r="A108" t="s">
        <v>1</v>
      </c>
    </row>
    <row r="109" spans="1:1" x14ac:dyDescent="0.3">
      <c r="A109" t="s">
        <v>268</v>
      </c>
    </row>
    <row r="110" spans="1:1" x14ac:dyDescent="0.3">
      <c r="A110" t="s">
        <v>333</v>
      </c>
    </row>
    <row r="111" spans="1:1" x14ac:dyDescent="0.3">
      <c r="A111" t="s">
        <v>334</v>
      </c>
    </row>
    <row r="112" spans="1:1" x14ac:dyDescent="0.3">
      <c r="A112" t="s">
        <v>335</v>
      </c>
    </row>
    <row r="113" spans="1:1" x14ac:dyDescent="0.3">
      <c r="A113" t="s">
        <v>336</v>
      </c>
    </row>
    <row r="114" spans="1:1" x14ac:dyDescent="0.3">
      <c r="A114" t="s">
        <v>337</v>
      </c>
    </row>
    <row r="115" spans="1:1" x14ac:dyDescent="0.3">
      <c r="A115" t="s">
        <v>338</v>
      </c>
    </row>
    <row r="117" spans="1:1" x14ac:dyDescent="0.3">
      <c r="A117" t="s">
        <v>268</v>
      </c>
    </row>
    <row r="118" spans="1:1" x14ac:dyDescent="0.3">
      <c r="A118" t="s">
        <v>282</v>
      </c>
    </row>
    <row r="119" spans="1:1" x14ac:dyDescent="0.3">
      <c r="A119" t="s">
        <v>268</v>
      </c>
    </row>
    <row r="120" spans="1:1" x14ac:dyDescent="0.3">
      <c r="A120" t="s">
        <v>339</v>
      </c>
    </row>
    <row r="121" spans="1:1" x14ac:dyDescent="0.3">
      <c r="A121" t="s">
        <v>340</v>
      </c>
    </row>
    <row r="122" spans="1:1" x14ac:dyDescent="0.3">
      <c r="A122" t="s">
        <v>341</v>
      </c>
    </row>
    <row r="123" spans="1:1" x14ac:dyDescent="0.3">
      <c r="A123" t="s">
        <v>342</v>
      </c>
    </row>
    <row r="124" spans="1:1" x14ac:dyDescent="0.3">
      <c r="A124" t="s">
        <v>343</v>
      </c>
    </row>
    <row r="125" spans="1:1" x14ac:dyDescent="0.3">
      <c r="A125" t="s">
        <v>288</v>
      </c>
    </row>
    <row r="127" spans="1:1" x14ac:dyDescent="0.3">
      <c r="A127" t="s">
        <v>289</v>
      </c>
    </row>
    <row r="128" spans="1:1" x14ac:dyDescent="0.3">
      <c r="A128" t="s">
        <v>3</v>
      </c>
    </row>
    <row r="129" spans="1:1" x14ac:dyDescent="0.3">
      <c r="A129" t="s">
        <v>268</v>
      </c>
    </row>
    <row r="130" spans="1:1" x14ac:dyDescent="0.3">
      <c r="A130" t="s">
        <v>290</v>
      </c>
    </row>
    <row r="131" spans="1:1" x14ac:dyDescent="0.3">
      <c r="A131" t="s">
        <v>344</v>
      </c>
    </row>
    <row r="132" spans="1:1" x14ac:dyDescent="0.3">
      <c r="A132" t="s">
        <v>345</v>
      </c>
    </row>
    <row r="133" spans="1:1" x14ac:dyDescent="0.3">
      <c r="A133" t="s">
        <v>293</v>
      </c>
    </row>
    <row r="134" spans="1:1" x14ac:dyDescent="0.3">
      <c r="A134" t="s">
        <v>346</v>
      </c>
    </row>
    <row r="135" spans="1:1" x14ac:dyDescent="0.3">
      <c r="A135" t="s">
        <v>295</v>
      </c>
    </row>
    <row r="137" spans="1:1" x14ac:dyDescent="0.3">
      <c r="A137" t="s">
        <v>268</v>
      </c>
    </row>
    <row r="138" spans="1:1" x14ac:dyDescent="0.3">
      <c r="A138" t="s">
        <v>296</v>
      </c>
    </row>
    <row r="139" spans="1:1" x14ac:dyDescent="0.3">
      <c r="A139" t="s">
        <v>268</v>
      </c>
    </row>
    <row r="140" spans="1:1" x14ac:dyDescent="0.3">
      <c r="A140" t="s">
        <v>347</v>
      </c>
    </row>
    <row r="141" spans="1:1" x14ac:dyDescent="0.3">
      <c r="A141" t="s">
        <v>298</v>
      </c>
    </row>
    <row r="142" spans="1:1" x14ac:dyDescent="0.3">
      <c r="A142" t="s">
        <v>348</v>
      </c>
    </row>
    <row r="143" spans="1:1" x14ac:dyDescent="0.3">
      <c r="A143" t="s">
        <v>349</v>
      </c>
    </row>
    <row r="144" spans="1:1" x14ac:dyDescent="0.3">
      <c r="A144" t="s">
        <v>350</v>
      </c>
    </row>
    <row r="145" spans="1:1" x14ac:dyDescent="0.3">
      <c r="A145" t="s">
        <v>351</v>
      </c>
    </row>
    <row r="147" spans="1:1" x14ac:dyDescent="0.3">
      <c r="A147" t="s">
        <v>268</v>
      </c>
    </row>
    <row r="148" spans="1:1" x14ac:dyDescent="0.3">
      <c r="A148" t="s">
        <v>303</v>
      </c>
    </row>
    <row r="149" spans="1:1" x14ac:dyDescent="0.3">
      <c r="A149" t="s">
        <v>268</v>
      </c>
    </row>
    <row r="150" spans="1:1" x14ac:dyDescent="0.3">
      <c r="A150" t="s">
        <v>304</v>
      </c>
    </row>
    <row r="151" spans="1:1" x14ac:dyDescent="0.3">
      <c r="A151" t="s">
        <v>352</v>
      </c>
    </row>
    <row r="152" spans="1:1" x14ac:dyDescent="0.3">
      <c r="A152" t="s">
        <v>353</v>
      </c>
    </row>
    <row r="153" spans="1:1" x14ac:dyDescent="0.3">
      <c r="A153" t="s">
        <v>354</v>
      </c>
    </row>
    <row r="154" spans="1:1" x14ac:dyDescent="0.3">
      <c r="A154" t="s">
        <v>355</v>
      </c>
    </row>
    <row r="155" spans="1:1" x14ac:dyDescent="0.3">
      <c r="A155" t="s">
        <v>356</v>
      </c>
    </row>
    <row r="157" spans="1:1" x14ac:dyDescent="0.3">
      <c r="A157" t="s">
        <v>268</v>
      </c>
    </row>
    <row r="158" spans="1:1" x14ac:dyDescent="0.3">
      <c r="A158" t="s">
        <v>310</v>
      </c>
    </row>
    <row r="159" spans="1:1" x14ac:dyDescent="0.3">
      <c r="A159" t="s">
        <v>268</v>
      </c>
    </row>
    <row r="160" spans="1:1" x14ac:dyDescent="0.3">
      <c r="A160" t="s">
        <v>311</v>
      </c>
    </row>
    <row r="161" spans="1:1" x14ac:dyDescent="0.3">
      <c r="A161" t="s">
        <v>312</v>
      </c>
    </row>
    <row r="162" spans="1:1" x14ac:dyDescent="0.3">
      <c r="A162" t="s">
        <v>357</v>
      </c>
    </row>
    <row r="163" spans="1:1" x14ac:dyDescent="0.3">
      <c r="A163" t="s">
        <v>358</v>
      </c>
    </row>
    <row r="164" spans="1:1" x14ac:dyDescent="0.3">
      <c r="A164" t="s">
        <v>315</v>
      </c>
    </row>
    <row r="165" spans="1:1" x14ac:dyDescent="0.3">
      <c r="A165" t="s">
        <v>359</v>
      </c>
    </row>
    <row r="167" spans="1:1" x14ac:dyDescent="0.3">
      <c r="A167" t="s">
        <v>268</v>
      </c>
    </row>
    <row r="168" spans="1:1" x14ac:dyDescent="0.3">
      <c r="A168" t="s">
        <v>317</v>
      </c>
    </row>
    <row r="169" spans="1:1" x14ac:dyDescent="0.3">
      <c r="A169" t="s">
        <v>268</v>
      </c>
    </row>
    <row r="170" spans="1:1" x14ac:dyDescent="0.3">
      <c r="A170" t="s">
        <v>360</v>
      </c>
    </row>
    <row r="171" spans="1:1" x14ac:dyDescent="0.3">
      <c r="A171" t="s">
        <v>361</v>
      </c>
    </row>
    <row r="172" spans="1:1" x14ac:dyDescent="0.3">
      <c r="A172" t="s">
        <v>362</v>
      </c>
    </row>
    <row r="173" spans="1:1" x14ac:dyDescent="0.3">
      <c r="A173" t="s">
        <v>363</v>
      </c>
    </row>
    <row r="174" spans="1:1" x14ac:dyDescent="0.3">
      <c r="A174" t="s">
        <v>364</v>
      </c>
    </row>
    <row r="175" spans="1:1" x14ac:dyDescent="0.3">
      <c r="A175" t="s">
        <v>365</v>
      </c>
    </row>
    <row r="177" spans="1:6" x14ac:dyDescent="0.3">
      <c r="A177" t="s">
        <v>366</v>
      </c>
    </row>
    <row r="178" spans="1:6" x14ac:dyDescent="0.3">
      <c r="A178" t="s">
        <v>367</v>
      </c>
    </row>
    <row r="180" spans="1:6" x14ac:dyDescent="0.3">
      <c r="A180" t="s">
        <v>368</v>
      </c>
    </row>
    <row r="181" spans="1:6" x14ac:dyDescent="0.3">
      <c r="A181" t="s">
        <v>369</v>
      </c>
    </row>
    <row r="185" spans="1:6" x14ac:dyDescent="0.3">
      <c r="F185" t="s">
        <v>266</v>
      </c>
    </row>
    <row r="186" spans="1:6" x14ac:dyDescent="0.3">
      <c r="F186" t="s">
        <v>258</v>
      </c>
    </row>
    <row r="187" spans="1:6" x14ac:dyDescent="0.3">
      <c r="F187" t="s">
        <v>267</v>
      </c>
    </row>
    <row r="189" spans="1:6" x14ac:dyDescent="0.3">
      <c r="A189" t="s">
        <v>268</v>
      </c>
    </row>
    <row r="190" spans="1:6" x14ac:dyDescent="0.3">
      <c r="A190" t="s">
        <v>269</v>
      </c>
    </row>
    <row r="191" spans="1:6" x14ac:dyDescent="0.3">
      <c r="A191" t="s">
        <v>268</v>
      </c>
    </row>
    <row r="192" spans="1:6" x14ac:dyDescent="0.3">
      <c r="A192" t="s">
        <v>370</v>
      </c>
    </row>
    <row r="193" spans="1:1" x14ac:dyDescent="0.3">
      <c r="A193" t="s">
        <v>371</v>
      </c>
    </row>
    <row r="194" spans="1:1" x14ac:dyDescent="0.3">
      <c r="A194" t="s">
        <v>272</v>
      </c>
    </row>
    <row r="195" spans="1:1" x14ac:dyDescent="0.3">
      <c r="A195" t="s">
        <v>330</v>
      </c>
    </row>
    <row r="196" spans="1:1" x14ac:dyDescent="0.3">
      <c r="A196" t="s">
        <v>331</v>
      </c>
    </row>
    <row r="197" spans="1:1" x14ac:dyDescent="0.3">
      <c r="A197" t="s">
        <v>372</v>
      </c>
    </row>
    <row r="199" spans="1:1" x14ac:dyDescent="0.3">
      <c r="A199" t="s">
        <v>268</v>
      </c>
    </row>
    <row r="200" spans="1:1" x14ac:dyDescent="0.3">
      <c r="A200" t="s">
        <v>1</v>
      </c>
    </row>
    <row r="201" spans="1:1" x14ac:dyDescent="0.3">
      <c r="A201" t="s">
        <v>268</v>
      </c>
    </row>
    <row r="202" spans="1:1" x14ac:dyDescent="0.3">
      <c r="A202" t="s">
        <v>373</v>
      </c>
    </row>
    <row r="203" spans="1:1" x14ac:dyDescent="0.3">
      <c r="A203" t="s">
        <v>374</v>
      </c>
    </row>
    <row r="204" spans="1:1" x14ac:dyDescent="0.3">
      <c r="A204" t="s">
        <v>375</v>
      </c>
    </row>
    <row r="205" spans="1:1" x14ac:dyDescent="0.3">
      <c r="A205" t="s">
        <v>376</v>
      </c>
    </row>
    <row r="206" spans="1:1" x14ac:dyDescent="0.3">
      <c r="A206" t="s">
        <v>377</v>
      </c>
    </row>
    <row r="207" spans="1:1" x14ac:dyDescent="0.3">
      <c r="A207" t="s">
        <v>338</v>
      </c>
    </row>
    <row r="209" spans="1:1" x14ac:dyDescent="0.3">
      <c r="A209" t="s">
        <v>268</v>
      </c>
    </row>
    <row r="210" spans="1:1" x14ac:dyDescent="0.3">
      <c r="A210" t="s">
        <v>282</v>
      </c>
    </row>
    <row r="211" spans="1:1" x14ac:dyDescent="0.3">
      <c r="A211" t="s">
        <v>268</v>
      </c>
    </row>
    <row r="212" spans="1:1" x14ac:dyDescent="0.3">
      <c r="A212" t="s">
        <v>283</v>
      </c>
    </row>
    <row r="213" spans="1:1" x14ac:dyDescent="0.3">
      <c r="A213" t="s">
        <v>378</v>
      </c>
    </row>
    <row r="214" spans="1:1" x14ac:dyDescent="0.3">
      <c r="A214" t="s">
        <v>379</v>
      </c>
    </row>
    <row r="215" spans="1:1" x14ac:dyDescent="0.3">
      <c r="A215" t="s">
        <v>380</v>
      </c>
    </row>
    <row r="216" spans="1:1" x14ac:dyDescent="0.3">
      <c r="A216" t="s">
        <v>381</v>
      </c>
    </row>
    <row r="217" spans="1:1" x14ac:dyDescent="0.3">
      <c r="A217" t="s">
        <v>382</v>
      </c>
    </row>
    <row r="219" spans="1:1" x14ac:dyDescent="0.3">
      <c r="A219" t="s">
        <v>289</v>
      </c>
    </row>
    <row r="220" spans="1:1" x14ac:dyDescent="0.3">
      <c r="A220" t="s">
        <v>3</v>
      </c>
    </row>
    <row r="221" spans="1:1" x14ac:dyDescent="0.3">
      <c r="A221" t="s">
        <v>268</v>
      </c>
    </row>
    <row r="222" spans="1:1" x14ac:dyDescent="0.3">
      <c r="A222" t="s">
        <v>290</v>
      </c>
    </row>
    <row r="223" spans="1:1" x14ac:dyDescent="0.3">
      <c r="A223" t="s">
        <v>344</v>
      </c>
    </row>
    <row r="224" spans="1:1" x14ac:dyDescent="0.3">
      <c r="A224" t="s">
        <v>383</v>
      </c>
    </row>
    <row r="225" spans="1:1" x14ac:dyDescent="0.3">
      <c r="A225" t="s">
        <v>293</v>
      </c>
    </row>
    <row r="226" spans="1:1" x14ac:dyDescent="0.3">
      <c r="A226" t="s">
        <v>346</v>
      </c>
    </row>
    <row r="227" spans="1:1" x14ac:dyDescent="0.3">
      <c r="A227" t="s">
        <v>384</v>
      </c>
    </row>
    <row r="229" spans="1:1" x14ac:dyDescent="0.3">
      <c r="A229" t="s">
        <v>268</v>
      </c>
    </row>
    <row r="230" spans="1:1" x14ac:dyDescent="0.3">
      <c r="A230" t="s">
        <v>296</v>
      </c>
    </row>
    <row r="231" spans="1:1" x14ac:dyDescent="0.3">
      <c r="A231" t="s">
        <v>268</v>
      </c>
    </row>
    <row r="232" spans="1:1" x14ac:dyDescent="0.3">
      <c r="A232" t="s">
        <v>385</v>
      </c>
    </row>
    <row r="233" spans="1:1" x14ac:dyDescent="0.3">
      <c r="A233" t="s">
        <v>386</v>
      </c>
    </row>
    <row r="234" spans="1:1" x14ac:dyDescent="0.3">
      <c r="A234" t="s">
        <v>387</v>
      </c>
    </row>
    <row r="235" spans="1:1" x14ac:dyDescent="0.3">
      <c r="A235" t="s">
        <v>388</v>
      </c>
    </row>
    <row r="236" spans="1:1" x14ac:dyDescent="0.3">
      <c r="A236" t="s">
        <v>301</v>
      </c>
    </row>
    <row r="237" spans="1:1" x14ac:dyDescent="0.3">
      <c r="A237" t="s">
        <v>302</v>
      </c>
    </row>
    <row r="239" spans="1:1" x14ac:dyDescent="0.3">
      <c r="A239" t="s">
        <v>268</v>
      </c>
    </row>
    <row r="240" spans="1:1" x14ac:dyDescent="0.3">
      <c r="A240" t="s">
        <v>303</v>
      </c>
    </row>
    <row r="241" spans="1:1" x14ac:dyDescent="0.3">
      <c r="A241" t="s">
        <v>268</v>
      </c>
    </row>
    <row r="242" spans="1:1" x14ac:dyDescent="0.3">
      <c r="A242" t="s">
        <v>389</v>
      </c>
    </row>
    <row r="243" spans="1:1" x14ac:dyDescent="0.3">
      <c r="A243" t="s">
        <v>390</v>
      </c>
    </row>
    <row r="244" spans="1:1" x14ac:dyDescent="0.3">
      <c r="A244" t="s">
        <v>306</v>
      </c>
    </row>
    <row r="245" spans="1:1" x14ac:dyDescent="0.3">
      <c r="A245" t="s">
        <v>391</v>
      </c>
    </row>
    <row r="246" spans="1:1" x14ac:dyDescent="0.3">
      <c r="A246" t="s">
        <v>392</v>
      </c>
    </row>
    <row r="247" spans="1:1" x14ac:dyDescent="0.3">
      <c r="A247" t="s">
        <v>393</v>
      </c>
    </row>
    <row r="249" spans="1:1" x14ac:dyDescent="0.3">
      <c r="A249" t="s">
        <v>268</v>
      </c>
    </row>
    <row r="250" spans="1:1" x14ac:dyDescent="0.3">
      <c r="A250" t="s">
        <v>310</v>
      </c>
    </row>
    <row r="251" spans="1:1" x14ac:dyDescent="0.3">
      <c r="A251" t="s">
        <v>268</v>
      </c>
    </row>
    <row r="252" spans="1:1" x14ac:dyDescent="0.3">
      <c r="A252" t="s">
        <v>394</v>
      </c>
    </row>
    <row r="253" spans="1:1" x14ac:dyDescent="0.3">
      <c r="A253" t="s">
        <v>395</v>
      </c>
    </row>
    <row r="254" spans="1:1" x14ac:dyDescent="0.3">
      <c r="A254" t="s">
        <v>396</v>
      </c>
    </row>
    <row r="255" spans="1:1" x14ac:dyDescent="0.3">
      <c r="A255" t="s">
        <v>314</v>
      </c>
    </row>
    <row r="256" spans="1:1" x14ac:dyDescent="0.3">
      <c r="A256" t="s">
        <v>397</v>
      </c>
    </row>
    <row r="257" spans="1:1" x14ac:dyDescent="0.3">
      <c r="A257" t="s">
        <v>398</v>
      </c>
    </row>
    <row r="259" spans="1:1" x14ac:dyDescent="0.3">
      <c r="A259" t="s">
        <v>268</v>
      </c>
    </row>
    <row r="260" spans="1:1" x14ac:dyDescent="0.3">
      <c r="A260" t="s">
        <v>317</v>
      </c>
    </row>
    <row r="261" spans="1:1" x14ac:dyDescent="0.3">
      <c r="A261" t="s">
        <v>268</v>
      </c>
    </row>
    <row r="262" spans="1:1" x14ac:dyDescent="0.3">
      <c r="A262" t="s">
        <v>318</v>
      </c>
    </row>
    <row r="263" spans="1:1" x14ac:dyDescent="0.3">
      <c r="A263" t="s">
        <v>399</v>
      </c>
    </row>
    <row r="264" spans="1:1" x14ac:dyDescent="0.3">
      <c r="A264" t="s">
        <v>400</v>
      </c>
    </row>
    <row r="265" spans="1:1" x14ac:dyDescent="0.3">
      <c r="A265" t="s">
        <v>401</v>
      </c>
    </row>
    <row r="266" spans="1:1" x14ac:dyDescent="0.3">
      <c r="A266" t="s">
        <v>402</v>
      </c>
    </row>
    <row r="267" spans="1:1" x14ac:dyDescent="0.3">
      <c r="A267" t="s">
        <v>403</v>
      </c>
    </row>
    <row r="269" spans="1:1" x14ac:dyDescent="0.3">
      <c r="A269" t="s">
        <v>404</v>
      </c>
    </row>
    <row r="270" spans="1:1" x14ac:dyDescent="0.3">
      <c r="A270" t="s">
        <v>405</v>
      </c>
    </row>
    <row r="272" spans="1:1" x14ac:dyDescent="0.3">
      <c r="A272" t="s">
        <v>406</v>
      </c>
    </row>
    <row r="273" spans="1:6" x14ac:dyDescent="0.3">
      <c r="A273" t="s">
        <v>407</v>
      </c>
    </row>
    <row r="277" spans="1:6" x14ac:dyDescent="0.3">
      <c r="F277" t="s">
        <v>266</v>
      </c>
    </row>
    <row r="278" spans="1:6" x14ac:dyDescent="0.3">
      <c r="F278" t="s">
        <v>259</v>
      </c>
    </row>
    <row r="279" spans="1:6" x14ac:dyDescent="0.3">
      <c r="F279" t="s">
        <v>267</v>
      </c>
    </row>
    <row r="281" spans="1:6" x14ac:dyDescent="0.3">
      <c r="A281" t="s">
        <v>268</v>
      </c>
    </row>
    <row r="282" spans="1:6" x14ac:dyDescent="0.3">
      <c r="A282" t="s">
        <v>269</v>
      </c>
    </row>
    <row r="283" spans="1:6" x14ac:dyDescent="0.3">
      <c r="A283" t="s">
        <v>268</v>
      </c>
    </row>
    <row r="284" spans="1:6" x14ac:dyDescent="0.3">
      <c r="A284" t="s">
        <v>408</v>
      </c>
    </row>
    <row r="285" spans="1:6" x14ac:dyDescent="0.3">
      <c r="A285" t="s">
        <v>409</v>
      </c>
    </row>
    <row r="286" spans="1:6" x14ac:dyDescent="0.3">
      <c r="A286" t="s">
        <v>410</v>
      </c>
    </row>
    <row r="287" spans="1:6" x14ac:dyDescent="0.3">
      <c r="A287" t="s">
        <v>411</v>
      </c>
    </row>
    <row r="288" spans="1:6" x14ac:dyDescent="0.3">
      <c r="A288" t="s">
        <v>412</v>
      </c>
    </row>
    <row r="289" spans="1:1" x14ac:dyDescent="0.3">
      <c r="A289" t="s">
        <v>275</v>
      </c>
    </row>
    <row r="291" spans="1:1" x14ac:dyDescent="0.3">
      <c r="A291" t="s">
        <v>268</v>
      </c>
    </row>
    <row r="292" spans="1:1" x14ac:dyDescent="0.3">
      <c r="A292" t="s">
        <v>1</v>
      </c>
    </row>
    <row r="293" spans="1:1" x14ac:dyDescent="0.3">
      <c r="A293" t="s">
        <v>268</v>
      </c>
    </row>
    <row r="294" spans="1:1" x14ac:dyDescent="0.3">
      <c r="A294" t="s">
        <v>413</v>
      </c>
    </row>
    <row r="295" spans="1:1" x14ac:dyDescent="0.3">
      <c r="A295" t="s">
        <v>277</v>
      </c>
    </row>
    <row r="296" spans="1:1" x14ac:dyDescent="0.3">
      <c r="A296" t="s">
        <v>278</v>
      </c>
    </row>
    <row r="297" spans="1:1" x14ac:dyDescent="0.3">
      <c r="A297" t="s">
        <v>414</v>
      </c>
    </row>
    <row r="298" spans="1:1" x14ac:dyDescent="0.3">
      <c r="A298" t="s">
        <v>415</v>
      </c>
    </row>
    <row r="299" spans="1:1" x14ac:dyDescent="0.3">
      <c r="A299" t="s">
        <v>281</v>
      </c>
    </row>
    <row r="301" spans="1:1" x14ac:dyDescent="0.3">
      <c r="A301" t="s">
        <v>268</v>
      </c>
    </row>
    <row r="302" spans="1:1" x14ac:dyDescent="0.3">
      <c r="A302" t="s">
        <v>282</v>
      </c>
    </row>
    <row r="303" spans="1:1" x14ac:dyDescent="0.3">
      <c r="A303" t="s">
        <v>268</v>
      </c>
    </row>
    <row r="304" spans="1:1" x14ac:dyDescent="0.3">
      <c r="A304" t="s">
        <v>416</v>
      </c>
    </row>
    <row r="305" spans="1:1" x14ac:dyDescent="0.3">
      <c r="A305" t="s">
        <v>417</v>
      </c>
    </row>
    <row r="306" spans="1:1" x14ac:dyDescent="0.3">
      <c r="A306" t="s">
        <v>418</v>
      </c>
    </row>
    <row r="307" spans="1:1" x14ac:dyDescent="0.3">
      <c r="A307" t="s">
        <v>342</v>
      </c>
    </row>
    <row r="308" spans="1:1" x14ac:dyDescent="0.3">
      <c r="A308" t="s">
        <v>343</v>
      </c>
    </row>
    <row r="309" spans="1:1" x14ac:dyDescent="0.3">
      <c r="A309" t="s">
        <v>288</v>
      </c>
    </row>
    <row r="311" spans="1:1" x14ac:dyDescent="0.3">
      <c r="A311" t="s">
        <v>289</v>
      </c>
    </row>
    <row r="312" spans="1:1" x14ac:dyDescent="0.3">
      <c r="A312" t="s">
        <v>3</v>
      </c>
    </row>
    <row r="313" spans="1:1" x14ac:dyDescent="0.3">
      <c r="A313" t="s">
        <v>268</v>
      </c>
    </row>
    <row r="314" spans="1:1" x14ac:dyDescent="0.3">
      <c r="A314" t="s">
        <v>419</v>
      </c>
    </row>
    <row r="315" spans="1:1" x14ac:dyDescent="0.3">
      <c r="A315" t="s">
        <v>420</v>
      </c>
    </row>
    <row r="316" spans="1:1" x14ac:dyDescent="0.3">
      <c r="A316" t="s">
        <v>421</v>
      </c>
    </row>
    <row r="317" spans="1:1" x14ac:dyDescent="0.3">
      <c r="A317" t="s">
        <v>293</v>
      </c>
    </row>
    <row r="318" spans="1:1" x14ac:dyDescent="0.3">
      <c r="A318" t="s">
        <v>422</v>
      </c>
    </row>
    <row r="319" spans="1:1" x14ac:dyDescent="0.3">
      <c r="A319" t="s">
        <v>423</v>
      </c>
    </row>
    <row r="321" spans="1:1" x14ac:dyDescent="0.3">
      <c r="A321" t="s">
        <v>268</v>
      </c>
    </row>
    <row r="322" spans="1:1" x14ac:dyDescent="0.3">
      <c r="A322" t="s">
        <v>296</v>
      </c>
    </row>
    <row r="323" spans="1:1" x14ac:dyDescent="0.3">
      <c r="A323" t="s">
        <v>268</v>
      </c>
    </row>
    <row r="324" spans="1:1" x14ac:dyDescent="0.3">
      <c r="A324" t="s">
        <v>297</v>
      </c>
    </row>
    <row r="325" spans="1:1" x14ac:dyDescent="0.3">
      <c r="A325" t="s">
        <v>424</v>
      </c>
    </row>
    <row r="326" spans="1:1" x14ac:dyDescent="0.3">
      <c r="A326" t="s">
        <v>425</v>
      </c>
    </row>
    <row r="327" spans="1:1" x14ac:dyDescent="0.3">
      <c r="A327" t="s">
        <v>300</v>
      </c>
    </row>
    <row r="328" spans="1:1" x14ac:dyDescent="0.3">
      <c r="A328" t="s">
        <v>426</v>
      </c>
    </row>
    <row r="329" spans="1:1" x14ac:dyDescent="0.3">
      <c r="A329" t="s">
        <v>302</v>
      </c>
    </row>
    <row r="331" spans="1:1" x14ac:dyDescent="0.3">
      <c r="A331" t="s">
        <v>268</v>
      </c>
    </row>
    <row r="332" spans="1:1" x14ac:dyDescent="0.3">
      <c r="A332" t="s">
        <v>303</v>
      </c>
    </row>
    <row r="333" spans="1:1" x14ac:dyDescent="0.3">
      <c r="A333" t="s">
        <v>268</v>
      </c>
    </row>
    <row r="334" spans="1:1" x14ac:dyDescent="0.3">
      <c r="A334" t="s">
        <v>427</v>
      </c>
    </row>
    <row r="335" spans="1:1" x14ac:dyDescent="0.3">
      <c r="A335" t="s">
        <v>352</v>
      </c>
    </row>
    <row r="336" spans="1:1" x14ac:dyDescent="0.3">
      <c r="A336" t="s">
        <v>428</v>
      </c>
    </row>
    <row r="337" spans="1:1" x14ac:dyDescent="0.3">
      <c r="A337" t="s">
        <v>391</v>
      </c>
    </row>
    <row r="338" spans="1:1" x14ac:dyDescent="0.3">
      <c r="A338" t="s">
        <v>429</v>
      </c>
    </row>
    <row r="339" spans="1:1" x14ac:dyDescent="0.3">
      <c r="A339" t="s">
        <v>356</v>
      </c>
    </row>
    <row r="341" spans="1:1" x14ac:dyDescent="0.3">
      <c r="A341" t="s">
        <v>268</v>
      </c>
    </row>
    <row r="342" spans="1:1" x14ac:dyDescent="0.3">
      <c r="A342" t="s">
        <v>310</v>
      </c>
    </row>
    <row r="343" spans="1:1" x14ac:dyDescent="0.3">
      <c r="A343" t="s">
        <v>268</v>
      </c>
    </row>
    <row r="344" spans="1:1" x14ac:dyDescent="0.3">
      <c r="A344" t="s">
        <v>394</v>
      </c>
    </row>
    <row r="345" spans="1:1" x14ac:dyDescent="0.3">
      <c r="A345" t="s">
        <v>430</v>
      </c>
    </row>
    <row r="346" spans="1:1" x14ac:dyDescent="0.3">
      <c r="A346" t="s">
        <v>313</v>
      </c>
    </row>
    <row r="347" spans="1:1" x14ac:dyDescent="0.3">
      <c r="A347" t="s">
        <v>431</v>
      </c>
    </row>
    <row r="348" spans="1:1" x14ac:dyDescent="0.3">
      <c r="A348" t="s">
        <v>432</v>
      </c>
    </row>
    <row r="349" spans="1:1" x14ac:dyDescent="0.3">
      <c r="A349" t="s">
        <v>433</v>
      </c>
    </row>
    <row r="351" spans="1:1" x14ac:dyDescent="0.3">
      <c r="A351" t="s">
        <v>268</v>
      </c>
    </row>
    <row r="352" spans="1:1" x14ac:dyDescent="0.3">
      <c r="A352" t="s">
        <v>317</v>
      </c>
    </row>
    <row r="353" spans="1:1" x14ac:dyDescent="0.3">
      <c r="A353" t="s">
        <v>268</v>
      </c>
    </row>
    <row r="354" spans="1:1" x14ac:dyDescent="0.3">
      <c r="A354" t="s">
        <v>434</v>
      </c>
    </row>
    <row r="355" spans="1:1" x14ac:dyDescent="0.3">
      <c r="A355" t="s">
        <v>435</v>
      </c>
    </row>
    <row r="356" spans="1:1" x14ac:dyDescent="0.3">
      <c r="A356" t="s">
        <v>436</v>
      </c>
    </row>
    <row r="357" spans="1:1" x14ac:dyDescent="0.3">
      <c r="A357" t="s">
        <v>437</v>
      </c>
    </row>
    <row r="358" spans="1:1" x14ac:dyDescent="0.3">
      <c r="A358" t="s">
        <v>364</v>
      </c>
    </row>
    <row r="359" spans="1:1" x14ac:dyDescent="0.3">
      <c r="A359" t="s">
        <v>438</v>
      </c>
    </row>
    <row r="361" spans="1:1" x14ac:dyDescent="0.3">
      <c r="A361" t="s">
        <v>439</v>
      </c>
    </row>
    <row r="362" spans="1:1" x14ac:dyDescent="0.3">
      <c r="A362" t="s">
        <v>325</v>
      </c>
    </row>
    <row r="364" spans="1:1" x14ac:dyDescent="0.3">
      <c r="A364" t="s">
        <v>440</v>
      </c>
    </row>
    <row r="365" spans="1:1" x14ac:dyDescent="0.3">
      <c r="A365" t="s">
        <v>441</v>
      </c>
    </row>
    <row r="369" spans="1:6" x14ac:dyDescent="0.3">
      <c r="F369" t="s">
        <v>266</v>
      </c>
    </row>
    <row r="370" spans="1:6" x14ac:dyDescent="0.3">
      <c r="F370" t="s">
        <v>62</v>
      </c>
    </row>
    <row r="371" spans="1:6" x14ac:dyDescent="0.3">
      <c r="F371" t="s">
        <v>267</v>
      </c>
    </row>
    <row r="373" spans="1:6" x14ac:dyDescent="0.3">
      <c r="A373" t="s">
        <v>268</v>
      </c>
    </row>
    <row r="374" spans="1:6" x14ac:dyDescent="0.3">
      <c r="A374" t="s">
        <v>269</v>
      </c>
    </row>
    <row r="375" spans="1:6" x14ac:dyDescent="0.3">
      <c r="A375" t="s">
        <v>268</v>
      </c>
    </row>
    <row r="376" spans="1:6" x14ac:dyDescent="0.3">
      <c r="A376" t="s">
        <v>442</v>
      </c>
    </row>
    <row r="377" spans="1:6" x14ac:dyDescent="0.3">
      <c r="A377" t="s">
        <v>371</v>
      </c>
    </row>
    <row r="378" spans="1:6" x14ac:dyDescent="0.3">
      <c r="A378" t="s">
        <v>443</v>
      </c>
    </row>
    <row r="379" spans="1:6" x14ac:dyDescent="0.3">
      <c r="A379" t="s">
        <v>444</v>
      </c>
    </row>
    <row r="380" spans="1:6" x14ac:dyDescent="0.3">
      <c r="A380" t="s">
        <v>445</v>
      </c>
    </row>
    <row r="381" spans="1:6" x14ac:dyDescent="0.3">
      <c r="A381" t="s">
        <v>446</v>
      </c>
    </row>
    <row r="383" spans="1:6" x14ac:dyDescent="0.3">
      <c r="A383" t="s">
        <v>268</v>
      </c>
    </row>
    <row r="384" spans="1:6" x14ac:dyDescent="0.3">
      <c r="A384" t="s">
        <v>1</v>
      </c>
    </row>
    <row r="385" spans="1:1" x14ac:dyDescent="0.3">
      <c r="A385" t="s">
        <v>268</v>
      </c>
    </row>
    <row r="386" spans="1:1" x14ac:dyDescent="0.3">
      <c r="A386" t="s">
        <v>333</v>
      </c>
    </row>
    <row r="387" spans="1:1" x14ac:dyDescent="0.3">
      <c r="A387" t="s">
        <v>447</v>
      </c>
    </row>
    <row r="388" spans="1:1" x14ac:dyDescent="0.3">
      <c r="A388" t="s">
        <v>448</v>
      </c>
    </row>
    <row r="389" spans="1:1" x14ac:dyDescent="0.3">
      <c r="A389" t="s">
        <v>449</v>
      </c>
    </row>
    <row r="390" spans="1:1" x14ac:dyDescent="0.3">
      <c r="A390" t="s">
        <v>280</v>
      </c>
    </row>
    <row r="391" spans="1:1" x14ac:dyDescent="0.3">
      <c r="A391" t="s">
        <v>450</v>
      </c>
    </row>
    <row r="393" spans="1:1" x14ac:dyDescent="0.3">
      <c r="A393" t="s">
        <v>268</v>
      </c>
    </row>
    <row r="394" spans="1:1" x14ac:dyDescent="0.3">
      <c r="A394" t="s">
        <v>282</v>
      </c>
    </row>
    <row r="395" spans="1:1" x14ac:dyDescent="0.3">
      <c r="A395" t="s">
        <v>268</v>
      </c>
    </row>
    <row r="396" spans="1:1" x14ac:dyDescent="0.3">
      <c r="A396" t="s">
        <v>339</v>
      </c>
    </row>
    <row r="397" spans="1:1" x14ac:dyDescent="0.3">
      <c r="A397" t="s">
        <v>451</v>
      </c>
    </row>
    <row r="398" spans="1:1" x14ac:dyDescent="0.3">
      <c r="A398" t="s">
        <v>379</v>
      </c>
    </row>
    <row r="399" spans="1:1" x14ac:dyDescent="0.3">
      <c r="A399" t="s">
        <v>342</v>
      </c>
    </row>
    <row r="400" spans="1:1" x14ac:dyDescent="0.3">
      <c r="A400" t="s">
        <v>287</v>
      </c>
    </row>
    <row r="401" spans="1:1" x14ac:dyDescent="0.3">
      <c r="A401" t="s">
        <v>452</v>
      </c>
    </row>
    <row r="403" spans="1:1" x14ac:dyDescent="0.3">
      <c r="A403" t="s">
        <v>289</v>
      </c>
    </row>
    <row r="404" spans="1:1" x14ac:dyDescent="0.3">
      <c r="A404" t="s">
        <v>3</v>
      </c>
    </row>
    <row r="405" spans="1:1" x14ac:dyDescent="0.3">
      <c r="A405" t="s">
        <v>268</v>
      </c>
    </row>
    <row r="406" spans="1:1" x14ac:dyDescent="0.3">
      <c r="A406" t="s">
        <v>290</v>
      </c>
    </row>
    <row r="407" spans="1:1" x14ac:dyDescent="0.3">
      <c r="A407" t="s">
        <v>420</v>
      </c>
    </row>
    <row r="408" spans="1:1" x14ac:dyDescent="0.3">
      <c r="A408" t="s">
        <v>383</v>
      </c>
    </row>
    <row r="409" spans="1:1" x14ac:dyDescent="0.3">
      <c r="A409" t="s">
        <v>293</v>
      </c>
    </row>
    <row r="410" spans="1:1" x14ac:dyDescent="0.3">
      <c r="A410" t="s">
        <v>294</v>
      </c>
    </row>
    <row r="411" spans="1:1" x14ac:dyDescent="0.3">
      <c r="A411" t="s">
        <v>295</v>
      </c>
    </row>
    <row r="413" spans="1:1" x14ac:dyDescent="0.3">
      <c r="A413" t="s">
        <v>268</v>
      </c>
    </row>
    <row r="414" spans="1:1" x14ac:dyDescent="0.3">
      <c r="A414" t="s">
        <v>296</v>
      </c>
    </row>
    <row r="415" spans="1:1" x14ac:dyDescent="0.3">
      <c r="A415" t="s">
        <v>268</v>
      </c>
    </row>
    <row r="416" spans="1:1" x14ac:dyDescent="0.3">
      <c r="A416" t="s">
        <v>453</v>
      </c>
    </row>
    <row r="417" spans="1:1" x14ac:dyDescent="0.3">
      <c r="A417" t="s">
        <v>454</v>
      </c>
    </row>
    <row r="418" spans="1:1" x14ac:dyDescent="0.3">
      <c r="A418" t="s">
        <v>455</v>
      </c>
    </row>
    <row r="419" spans="1:1" x14ac:dyDescent="0.3">
      <c r="A419" t="s">
        <v>300</v>
      </c>
    </row>
    <row r="420" spans="1:1" x14ac:dyDescent="0.3">
      <c r="A420" t="s">
        <v>301</v>
      </c>
    </row>
    <row r="421" spans="1:1" x14ac:dyDescent="0.3">
      <c r="A421" t="s">
        <v>456</v>
      </c>
    </row>
    <row r="423" spans="1:1" x14ac:dyDescent="0.3">
      <c r="A423" t="s">
        <v>268</v>
      </c>
    </row>
    <row r="424" spans="1:1" x14ac:dyDescent="0.3">
      <c r="A424" t="s">
        <v>303</v>
      </c>
    </row>
    <row r="425" spans="1:1" x14ac:dyDescent="0.3">
      <c r="A425" t="s">
        <v>268</v>
      </c>
    </row>
    <row r="426" spans="1:1" x14ac:dyDescent="0.3">
      <c r="A426" t="s">
        <v>389</v>
      </c>
    </row>
    <row r="427" spans="1:1" x14ac:dyDescent="0.3">
      <c r="A427" t="s">
        <v>390</v>
      </c>
    </row>
    <row r="428" spans="1:1" x14ac:dyDescent="0.3">
      <c r="A428" t="s">
        <v>306</v>
      </c>
    </row>
    <row r="429" spans="1:1" x14ac:dyDescent="0.3">
      <c r="A429" t="s">
        <v>457</v>
      </c>
    </row>
    <row r="430" spans="1:1" x14ac:dyDescent="0.3">
      <c r="A430" t="s">
        <v>458</v>
      </c>
    </row>
    <row r="431" spans="1:1" x14ac:dyDescent="0.3">
      <c r="A431" t="s">
        <v>356</v>
      </c>
    </row>
    <row r="433" spans="1:1" x14ac:dyDescent="0.3">
      <c r="A433" t="s">
        <v>268</v>
      </c>
    </row>
    <row r="434" spans="1:1" x14ac:dyDescent="0.3">
      <c r="A434" t="s">
        <v>310</v>
      </c>
    </row>
    <row r="435" spans="1:1" x14ac:dyDescent="0.3">
      <c r="A435" t="s">
        <v>268</v>
      </c>
    </row>
    <row r="436" spans="1:1" x14ac:dyDescent="0.3">
      <c r="A436" t="s">
        <v>459</v>
      </c>
    </row>
    <row r="437" spans="1:1" x14ac:dyDescent="0.3">
      <c r="A437" t="s">
        <v>460</v>
      </c>
    </row>
    <row r="438" spans="1:1" x14ac:dyDescent="0.3">
      <c r="A438" t="s">
        <v>313</v>
      </c>
    </row>
    <row r="439" spans="1:1" x14ac:dyDescent="0.3">
      <c r="A439" t="s">
        <v>358</v>
      </c>
    </row>
    <row r="440" spans="1:1" x14ac:dyDescent="0.3">
      <c r="A440" t="s">
        <v>315</v>
      </c>
    </row>
    <row r="441" spans="1:1" x14ac:dyDescent="0.3">
      <c r="A441" t="s">
        <v>461</v>
      </c>
    </row>
    <row r="443" spans="1:1" x14ac:dyDescent="0.3">
      <c r="A443" t="s">
        <v>268</v>
      </c>
    </row>
    <row r="444" spans="1:1" x14ac:dyDescent="0.3">
      <c r="A444" t="s">
        <v>317</v>
      </c>
    </row>
    <row r="445" spans="1:1" x14ac:dyDescent="0.3">
      <c r="A445" t="s">
        <v>268</v>
      </c>
    </row>
    <row r="446" spans="1:1" x14ac:dyDescent="0.3">
      <c r="A446" t="s">
        <v>462</v>
      </c>
    </row>
    <row r="447" spans="1:1" x14ac:dyDescent="0.3">
      <c r="A447" t="s">
        <v>463</v>
      </c>
    </row>
    <row r="448" spans="1:1" x14ac:dyDescent="0.3">
      <c r="A448" t="s">
        <v>362</v>
      </c>
    </row>
    <row r="449" spans="1:6" x14ac:dyDescent="0.3">
      <c r="A449" t="s">
        <v>464</v>
      </c>
    </row>
    <row r="450" spans="1:6" x14ac:dyDescent="0.3">
      <c r="A450" t="s">
        <v>465</v>
      </c>
    </row>
    <row r="451" spans="1:6" x14ac:dyDescent="0.3">
      <c r="A451" t="s">
        <v>438</v>
      </c>
    </row>
    <row r="453" spans="1:6" x14ac:dyDescent="0.3">
      <c r="A453" t="s">
        <v>466</v>
      </c>
    </row>
    <row r="454" spans="1:6" x14ac:dyDescent="0.3">
      <c r="A454" t="s">
        <v>367</v>
      </c>
    </row>
    <row r="456" spans="1:6" x14ac:dyDescent="0.3">
      <c r="A456" t="s">
        <v>467</v>
      </c>
    </row>
    <row r="457" spans="1:6" x14ac:dyDescent="0.3">
      <c r="A457" t="s">
        <v>468</v>
      </c>
    </row>
    <row r="461" spans="1:6" x14ac:dyDescent="0.3">
      <c r="F461" t="s">
        <v>266</v>
      </c>
    </row>
    <row r="462" spans="1:6" x14ac:dyDescent="0.3">
      <c r="F462" t="s">
        <v>260</v>
      </c>
    </row>
    <row r="463" spans="1:6" x14ac:dyDescent="0.3">
      <c r="F463" t="s">
        <v>267</v>
      </c>
    </row>
    <row r="464" spans="1:6" x14ac:dyDescent="0.3">
      <c r="A464" t="s">
        <v>268</v>
      </c>
    </row>
    <row r="465" spans="1:1" x14ac:dyDescent="0.3">
      <c r="A465" t="s">
        <v>269</v>
      </c>
    </row>
    <row r="466" spans="1:1" x14ac:dyDescent="0.3">
      <c r="A466" t="s">
        <v>268</v>
      </c>
    </row>
    <row r="467" spans="1:1" x14ac:dyDescent="0.3">
      <c r="A467" t="s">
        <v>270</v>
      </c>
    </row>
    <row r="468" spans="1:1" x14ac:dyDescent="0.3">
      <c r="A468" t="s">
        <v>469</v>
      </c>
    </row>
    <row r="469" spans="1:1" x14ac:dyDescent="0.3">
      <c r="A469" t="s">
        <v>272</v>
      </c>
    </row>
    <row r="470" spans="1:1" x14ac:dyDescent="0.3">
      <c r="A470" t="s">
        <v>470</v>
      </c>
    </row>
    <row r="471" spans="1:1" x14ac:dyDescent="0.3">
      <c r="A471" t="s">
        <v>412</v>
      </c>
    </row>
    <row r="472" spans="1:1" x14ac:dyDescent="0.3">
      <c r="A472" t="s">
        <v>471</v>
      </c>
    </row>
    <row r="474" spans="1:1" x14ac:dyDescent="0.3">
      <c r="A474" t="s">
        <v>268</v>
      </c>
    </row>
    <row r="475" spans="1:1" x14ac:dyDescent="0.3">
      <c r="A475" t="s">
        <v>1</v>
      </c>
    </row>
    <row r="476" spans="1:1" x14ac:dyDescent="0.3">
      <c r="A476" t="s">
        <v>268</v>
      </c>
    </row>
    <row r="477" spans="1:1" x14ac:dyDescent="0.3">
      <c r="A477" t="s">
        <v>333</v>
      </c>
    </row>
    <row r="478" spans="1:1" x14ac:dyDescent="0.3">
      <c r="A478" t="s">
        <v>472</v>
      </c>
    </row>
    <row r="479" spans="1:1" x14ac:dyDescent="0.3">
      <c r="A479" t="s">
        <v>335</v>
      </c>
    </row>
    <row r="480" spans="1:1" x14ac:dyDescent="0.3">
      <c r="A480" t="s">
        <v>279</v>
      </c>
    </row>
    <row r="481" spans="1:1" x14ac:dyDescent="0.3">
      <c r="A481" t="s">
        <v>337</v>
      </c>
    </row>
    <row r="482" spans="1:1" x14ac:dyDescent="0.3">
      <c r="A482" t="s">
        <v>338</v>
      </c>
    </row>
    <row r="484" spans="1:1" x14ac:dyDescent="0.3">
      <c r="A484" t="s">
        <v>268</v>
      </c>
    </row>
    <row r="485" spans="1:1" x14ac:dyDescent="0.3">
      <c r="A485" t="s">
        <v>282</v>
      </c>
    </row>
    <row r="486" spans="1:1" x14ac:dyDescent="0.3">
      <c r="A486" t="s">
        <v>268</v>
      </c>
    </row>
    <row r="487" spans="1:1" x14ac:dyDescent="0.3">
      <c r="A487" t="s">
        <v>416</v>
      </c>
    </row>
    <row r="488" spans="1:1" x14ac:dyDescent="0.3">
      <c r="A488" t="s">
        <v>451</v>
      </c>
    </row>
    <row r="489" spans="1:1" x14ac:dyDescent="0.3">
      <c r="A489" t="s">
        <v>473</v>
      </c>
    </row>
    <row r="490" spans="1:1" x14ac:dyDescent="0.3">
      <c r="A490" t="s">
        <v>380</v>
      </c>
    </row>
    <row r="491" spans="1:1" x14ac:dyDescent="0.3">
      <c r="A491" t="s">
        <v>474</v>
      </c>
    </row>
    <row r="492" spans="1:1" x14ac:dyDescent="0.3">
      <c r="A492" t="s">
        <v>475</v>
      </c>
    </row>
    <row r="494" spans="1:1" x14ac:dyDescent="0.3">
      <c r="A494" t="s">
        <v>289</v>
      </c>
    </row>
    <row r="495" spans="1:1" x14ac:dyDescent="0.3">
      <c r="A495" t="s">
        <v>3</v>
      </c>
    </row>
    <row r="496" spans="1:1" x14ac:dyDescent="0.3">
      <c r="A496" t="s">
        <v>268</v>
      </c>
    </row>
    <row r="497" spans="1:1" x14ac:dyDescent="0.3">
      <c r="A497" t="s">
        <v>476</v>
      </c>
    </row>
    <row r="498" spans="1:1" x14ac:dyDescent="0.3">
      <c r="A498" t="s">
        <v>477</v>
      </c>
    </row>
    <row r="499" spans="1:1" x14ac:dyDescent="0.3">
      <c r="A499" t="s">
        <v>421</v>
      </c>
    </row>
    <row r="500" spans="1:1" x14ac:dyDescent="0.3">
      <c r="A500" t="s">
        <v>478</v>
      </c>
    </row>
    <row r="501" spans="1:1" x14ac:dyDescent="0.3">
      <c r="A501" t="s">
        <v>294</v>
      </c>
    </row>
    <row r="502" spans="1:1" x14ac:dyDescent="0.3">
      <c r="A502" t="s">
        <v>479</v>
      </c>
    </row>
    <row r="504" spans="1:1" x14ac:dyDescent="0.3">
      <c r="A504" t="s">
        <v>268</v>
      </c>
    </row>
    <row r="505" spans="1:1" x14ac:dyDescent="0.3">
      <c r="A505" t="s">
        <v>296</v>
      </c>
    </row>
    <row r="506" spans="1:1" x14ac:dyDescent="0.3">
      <c r="A506" t="s">
        <v>268</v>
      </c>
    </row>
    <row r="507" spans="1:1" x14ac:dyDescent="0.3">
      <c r="A507" t="s">
        <v>347</v>
      </c>
    </row>
    <row r="508" spans="1:1" x14ac:dyDescent="0.3">
      <c r="A508" t="s">
        <v>386</v>
      </c>
    </row>
    <row r="509" spans="1:1" x14ac:dyDescent="0.3">
      <c r="A509" t="s">
        <v>299</v>
      </c>
    </row>
    <row r="510" spans="1:1" x14ac:dyDescent="0.3">
      <c r="A510" t="s">
        <v>480</v>
      </c>
    </row>
    <row r="511" spans="1:1" x14ac:dyDescent="0.3">
      <c r="A511" t="s">
        <v>481</v>
      </c>
    </row>
    <row r="512" spans="1:1" x14ac:dyDescent="0.3">
      <c r="A512" t="s">
        <v>456</v>
      </c>
    </row>
    <row r="514" spans="1:1" x14ac:dyDescent="0.3">
      <c r="A514" t="s">
        <v>268</v>
      </c>
    </row>
    <row r="515" spans="1:1" x14ac:dyDescent="0.3">
      <c r="A515" t="s">
        <v>303</v>
      </c>
    </row>
    <row r="516" spans="1:1" x14ac:dyDescent="0.3">
      <c r="A516" t="s">
        <v>268</v>
      </c>
    </row>
    <row r="517" spans="1:1" x14ac:dyDescent="0.3">
      <c r="A517" t="s">
        <v>304</v>
      </c>
    </row>
    <row r="518" spans="1:1" x14ac:dyDescent="0.3">
      <c r="A518" t="s">
        <v>352</v>
      </c>
    </row>
    <row r="519" spans="1:1" x14ac:dyDescent="0.3">
      <c r="A519" t="s">
        <v>482</v>
      </c>
    </row>
    <row r="520" spans="1:1" x14ac:dyDescent="0.3">
      <c r="A520" t="s">
        <v>391</v>
      </c>
    </row>
    <row r="521" spans="1:1" x14ac:dyDescent="0.3">
      <c r="A521" t="s">
        <v>355</v>
      </c>
    </row>
    <row r="522" spans="1:1" x14ac:dyDescent="0.3">
      <c r="A522" t="s">
        <v>309</v>
      </c>
    </row>
    <row r="524" spans="1:1" x14ac:dyDescent="0.3">
      <c r="A524" t="s">
        <v>268</v>
      </c>
    </row>
    <row r="525" spans="1:1" x14ac:dyDescent="0.3">
      <c r="A525" t="s">
        <v>310</v>
      </c>
    </row>
    <row r="526" spans="1:1" x14ac:dyDescent="0.3">
      <c r="A526" t="s">
        <v>268</v>
      </c>
    </row>
    <row r="527" spans="1:1" x14ac:dyDescent="0.3">
      <c r="A527" t="s">
        <v>311</v>
      </c>
    </row>
    <row r="528" spans="1:1" x14ac:dyDescent="0.3">
      <c r="A528" t="s">
        <v>483</v>
      </c>
    </row>
    <row r="529" spans="1:1" x14ac:dyDescent="0.3">
      <c r="A529" t="s">
        <v>313</v>
      </c>
    </row>
    <row r="530" spans="1:1" x14ac:dyDescent="0.3">
      <c r="A530" t="s">
        <v>358</v>
      </c>
    </row>
    <row r="531" spans="1:1" x14ac:dyDescent="0.3">
      <c r="A531" t="s">
        <v>315</v>
      </c>
    </row>
    <row r="532" spans="1:1" x14ac:dyDescent="0.3">
      <c r="A532" t="s">
        <v>461</v>
      </c>
    </row>
    <row r="534" spans="1:1" x14ac:dyDescent="0.3">
      <c r="A534" t="s">
        <v>268</v>
      </c>
    </row>
    <row r="535" spans="1:1" x14ac:dyDescent="0.3">
      <c r="A535" t="s">
        <v>317</v>
      </c>
    </row>
    <row r="536" spans="1:1" x14ac:dyDescent="0.3">
      <c r="A536" t="s">
        <v>268</v>
      </c>
    </row>
    <row r="537" spans="1:1" x14ac:dyDescent="0.3">
      <c r="A537" t="s">
        <v>318</v>
      </c>
    </row>
    <row r="538" spans="1:1" x14ac:dyDescent="0.3">
      <c r="A538" t="s">
        <v>463</v>
      </c>
    </row>
    <row r="539" spans="1:1" x14ac:dyDescent="0.3">
      <c r="A539" t="s">
        <v>484</v>
      </c>
    </row>
    <row r="540" spans="1:1" x14ac:dyDescent="0.3">
      <c r="A540" t="s">
        <v>464</v>
      </c>
    </row>
    <row r="541" spans="1:1" x14ac:dyDescent="0.3">
      <c r="A541" t="s">
        <v>465</v>
      </c>
    </row>
    <row r="542" spans="1:1" x14ac:dyDescent="0.3">
      <c r="A542" t="s">
        <v>485</v>
      </c>
    </row>
    <row r="544" spans="1:1" x14ac:dyDescent="0.3">
      <c r="A544" t="s">
        <v>439</v>
      </c>
    </row>
    <row r="545" spans="1:6" x14ac:dyDescent="0.3">
      <c r="A545" t="s">
        <v>325</v>
      </c>
    </row>
    <row r="547" spans="1:6" x14ac:dyDescent="0.3">
      <c r="A547" t="s">
        <v>486</v>
      </c>
    </row>
    <row r="548" spans="1:6" x14ac:dyDescent="0.3">
      <c r="A548" t="s">
        <v>487</v>
      </c>
    </row>
    <row r="550" spans="1:6" x14ac:dyDescent="0.3">
      <c r="F550" t="s">
        <v>266</v>
      </c>
    </row>
    <row r="551" spans="1:6" x14ac:dyDescent="0.3">
      <c r="F551" t="s">
        <v>261</v>
      </c>
    </row>
    <row r="552" spans="1:6" x14ac:dyDescent="0.3">
      <c r="F552" t="s">
        <v>267</v>
      </c>
    </row>
    <row r="554" spans="1:6" x14ac:dyDescent="0.3">
      <c r="A554" t="s">
        <v>268</v>
      </c>
    </row>
    <row r="555" spans="1:6" x14ac:dyDescent="0.3">
      <c r="A555" t="s">
        <v>269</v>
      </c>
    </row>
    <row r="556" spans="1:6" x14ac:dyDescent="0.3">
      <c r="A556" t="s">
        <v>268</v>
      </c>
    </row>
    <row r="557" spans="1:6" x14ac:dyDescent="0.3">
      <c r="A557" t="s">
        <v>488</v>
      </c>
    </row>
    <row r="558" spans="1:6" x14ac:dyDescent="0.3">
      <c r="A558" t="s">
        <v>469</v>
      </c>
    </row>
    <row r="559" spans="1:6" x14ac:dyDescent="0.3">
      <c r="A559" t="s">
        <v>489</v>
      </c>
    </row>
    <row r="560" spans="1:6" x14ac:dyDescent="0.3">
      <c r="A560" t="s">
        <v>470</v>
      </c>
    </row>
    <row r="561" spans="1:1" x14ac:dyDescent="0.3">
      <c r="A561" t="s">
        <v>412</v>
      </c>
    </row>
    <row r="562" spans="1:1" x14ac:dyDescent="0.3">
      <c r="A562" t="s">
        <v>490</v>
      </c>
    </row>
    <row r="564" spans="1:1" x14ac:dyDescent="0.3">
      <c r="A564" t="s">
        <v>268</v>
      </c>
    </row>
    <row r="565" spans="1:1" x14ac:dyDescent="0.3">
      <c r="A565" t="s">
        <v>1</v>
      </c>
    </row>
    <row r="566" spans="1:1" x14ac:dyDescent="0.3">
      <c r="A566" t="s">
        <v>268</v>
      </c>
    </row>
    <row r="567" spans="1:1" x14ac:dyDescent="0.3">
      <c r="A567" t="s">
        <v>333</v>
      </c>
    </row>
    <row r="568" spans="1:1" x14ac:dyDescent="0.3">
      <c r="A568" t="s">
        <v>277</v>
      </c>
    </row>
    <row r="569" spans="1:1" x14ac:dyDescent="0.3">
      <c r="A569" t="s">
        <v>335</v>
      </c>
    </row>
    <row r="570" spans="1:1" x14ac:dyDescent="0.3">
      <c r="A570" t="s">
        <v>279</v>
      </c>
    </row>
    <row r="571" spans="1:1" x14ac:dyDescent="0.3">
      <c r="A571" t="s">
        <v>415</v>
      </c>
    </row>
    <row r="572" spans="1:1" x14ac:dyDescent="0.3">
      <c r="A572" t="s">
        <v>281</v>
      </c>
    </row>
    <row r="574" spans="1:1" x14ac:dyDescent="0.3">
      <c r="A574" t="s">
        <v>268</v>
      </c>
    </row>
    <row r="575" spans="1:1" x14ac:dyDescent="0.3">
      <c r="A575" t="s">
        <v>282</v>
      </c>
    </row>
    <row r="576" spans="1:1" x14ac:dyDescent="0.3">
      <c r="A576" t="s">
        <v>268</v>
      </c>
    </row>
    <row r="577" spans="1:1" x14ac:dyDescent="0.3">
      <c r="A577" t="s">
        <v>491</v>
      </c>
    </row>
    <row r="578" spans="1:1" x14ac:dyDescent="0.3">
      <c r="A578" t="s">
        <v>492</v>
      </c>
    </row>
    <row r="579" spans="1:1" x14ac:dyDescent="0.3">
      <c r="A579" t="s">
        <v>473</v>
      </c>
    </row>
    <row r="580" spans="1:1" x14ac:dyDescent="0.3">
      <c r="A580" t="s">
        <v>286</v>
      </c>
    </row>
    <row r="581" spans="1:1" x14ac:dyDescent="0.3">
      <c r="A581" t="s">
        <v>493</v>
      </c>
    </row>
    <row r="582" spans="1:1" x14ac:dyDescent="0.3">
      <c r="A582" t="s">
        <v>494</v>
      </c>
    </row>
    <row r="584" spans="1:1" x14ac:dyDescent="0.3">
      <c r="A584" t="s">
        <v>289</v>
      </c>
    </row>
    <row r="585" spans="1:1" x14ac:dyDescent="0.3">
      <c r="A585" t="s">
        <v>3</v>
      </c>
    </row>
    <row r="586" spans="1:1" x14ac:dyDescent="0.3">
      <c r="A586" t="s">
        <v>268</v>
      </c>
    </row>
    <row r="587" spans="1:1" x14ac:dyDescent="0.3">
      <c r="A587" t="s">
        <v>476</v>
      </c>
    </row>
    <row r="588" spans="1:1" x14ac:dyDescent="0.3">
      <c r="A588" t="s">
        <v>477</v>
      </c>
    </row>
    <row r="589" spans="1:1" x14ac:dyDescent="0.3">
      <c r="A589" t="s">
        <v>421</v>
      </c>
    </row>
    <row r="590" spans="1:1" x14ac:dyDescent="0.3">
      <c r="A590" t="s">
        <v>495</v>
      </c>
    </row>
    <row r="591" spans="1:1" x14ac:dyDescent="0.3">
      <c r="A591" t="s">
        <v>496</v>
      </c>
    </row>
    <row r="592" spans="1:1" x14ac:dyDescent="0.3">
      <c r="A592" t="s">
        <v>497</v>
      </c>
    </row>
    <row r="594" spans="1:1" x14ac:dyDescent="0.3">
      <c r="A594" t="s">
        <v>268</v>
      </c>
    </row>
    <row r="595" spans="1:1" x14ac:dyDescent="0.3">
      <c r="A595" t="s">
        <v>296</v>
      </c>
    </row>
    <row r="596" spans="1:1" x14ac:dyDescent="0.3">
      <c r="A596" t="s">
        <v>268</v>
      </c>
    </row>
    <row r="597" spans="1:1" x14ac:dyDescent="0.3">
      <c r="A597" t="s">
        <v>498</v>
      </c>
    </row>
    <row r="598" spans="1:1" x14ac:dyDescent="0.3">
      <c r="A598" t="s">
        <v>454</v>
      </c>
    </row>
    <row r="599" spans="1:1" x14ac:dyDescent="0.3">
      <c r="A599" t="s">
        <v>455</v>
      </c>
    </row>
    <row r="600" spans="1:1" x14ac:dyDescent="0.3">
      <c r="A600" t="s">
        <v>300</v>
      </c>
    </row>
    <row r="601" spans="1:1" x14ac:dyDescent="0.3">
      <c r="A601" t="s">
        <v>499</v>
      </c>
    </row>
    <row r="602" spans="1:1" x14ac:dyDescent="0.3">
      <c r="A602" t="s">
        <v>500</v>
      </c>
    </row>
    <row r="604" spans="1:1" x14ac:dyDescent="0.3">
      <c r="A604" t="s">
        <v>268</v>
      </c>
    </row>
    <row r="605" spans="1:1" x14ac:dyDescent="0.3">
      <c r="A605" t="s">
        <v>303</v>
      </c>
    </row>
    <row r="606" spans="1:1" x14ac:dyDescent="0.3">
      <c r="A606" t="s">
        <v>268</v>
      </c>
    </row>
    <row r="607" spans="1:1" x14ac:dyDescent="0.3">
      <c r="A607" t="s">
        <v>501</v>
      </c>
    </row>
    <row r="608" spans="1:1" x14ac:dyDescent="0.3">
      <c r="A608" t="s">
        <v>502</v>
      </c>
    </row>
    <row r="609" spans="1:1" x14ac:dyDescent="0.3">
      <c r="A609" t="s">
        <v>482</v>
      </c>
    </row>
    <row r="610" spans="1:1" x14ac:dyDescent="0.3">
      <c r="A610" t="s">
        <v>307</v>
      </c>
    </row>
    <row r="611" spans="1:1" x14ac:dyDescent="0.3">
      <c r="A611" t="s">
        <v>355</v>
      </c>
    </row>
    <row r="612" spans="1:1" x14ac:dyDescent="0.3">
      <c r="A612" t="s">
        <v>503</v>
      </c>
    </row>
    <row r="614" spans="1:1" x14ac:dyDescent="0.3">
      <c r="A614" t="s">
        <v>268</v>
      </c>
    </row>
    <row r="615" spans="1:1" x14ac:dyDescent="0.3">
      <c r="A615" t="s">
        <v>310</v>
      </c>
    </row>
    <row r="616" spans="1:1" x14ac:dyDescent="0.3">
      <c r="A616" t="s">
        <v>268</v>
      </c>
    </row>
    <row r="617" spans="1:1" x14ac:dyDescent="0.3">
      <c r="A617" t="s">
        <v>311</v>
      </c>
    </row>
    <row r="618" spans="1:1" x14ac:dyDescent="0.3">
      <c r="A618" t="s">
        <v>395</v>
      </c>
    </row>
    <row r="619" spans="1:1" x14ac:dyDescent="0.3">
      <c r="A619" t="s">
        <v>313</v>
      </c>
    </row>
    <row r="620" spans="1:1" x14ac:dyDescent="0.3">
      <c r="A620" t="s">
        <v>358</v>
      </c>
    </row>
    <row r="621" spans="1:1" x14ac:dyDescent="0.3">
      <c r="A621" t="s">
        <v>397</v>
      </c>
    </row>
    <row r="622" spans="1:1" x14ac:dyDescent="0.3">
      <c r="A622" t="s">
        <v>504</v>
      </c>
    </row>
    <row r="624" spans="1:1" x14ac:dyDescent="0.3">
      <c r="A624" t="s">
        <v>268</v>
      </c>
    </row>
    <row r="625" spans="1:1" x14ac:dyDescent="0.3">
      <c r="A625" t="s">
        <v>317</v>
      </c>
    </row>
    <row r="626" spans="1:1" x14ac:dyDescent="0.3">
      <c r="A626" t="s">
        <v>268</v>
      </c>
    </row>
    <row r="627" spans="1:1" x14ac:dyDescent="0.3">
      <c r="A627" t="s">
        <v>462</v>
      </c>
    </row>
    <row r="628" spans="1:1" x14ac:dyDescent="0.3">
      <c r="A628" t="s">
        <v>463</v>
      </c>
    </row>
    <row r="629" spans="1:1" x14ac:dyDescent="0.3">
      <c r="A629" t="s">
        <v>505</v>
      </c>
    </row>
    <row r="630" spans="1:1" x14ac:dyDescent="0.3">
      <c r="A630" t="s">
        <v>363</v>
      </c>
    </row>
    <row r="631" spans="1:1" x14ac:dyDescent="0.3">
      <c r="A631" t="s">
        <v>364</v>
      </c>
    </row>
    <row r="632" spans="1:1" x14ac:dyDescent="0.3">
      <c r="A632" t="s">
        <v>506</v>
      </c>
    </row>
    <row r="634" spans="1:1" x14ac:dyDescent="0.3">
      <c r="A634" t="s">
        <v>439</v>
      </c>
    </row>
    <row r="635" spans="1:1" x14ac:dyDescent="0.3">
      <c r="A635" t="s">
        <v>325</v>
      </c>
    </row>
    <row r="637" spans="1:1" x14ac:dyDescent="0.3">
      <c r="A637" t="s">
        <v>507</v>
      </c>
    </row>
    <row r="638" spans="1:1" x14ac:dyDescent="0.3">
      <c r="A638" t="s">
        <v>508</v>
      </c>
    </row>
    <row r="642" spans="1:6" x14ac:dyDescent="0.3">
      <c r="F642" t="s">
        <v>266</v>
      </c>
    </row>
    <row r="643" spans="1:6" x14ac:dyDescent="0.3">
      <c r="F643" t="s">
        <v>262</v>
      </c>
    </row>
    <row r="644" spans="1:6" x14ac:dyDescent="0.3">
      <c r="F644" t="s">
        <v>267</v>
      </c>
    </row>
    <row r="646" spans="1:6" x14ac:dyDescent="0.3">
      <c r="A646" t="s">
        <v>268</v>
      </c>
    </row>
    <row r="647" spans="1:6" x14ac:dyDescent="0.3">
      <c r="A647" t="s">
        <v>269</v>
      </c>
    </row>
    <row r="648" spans="1:6" x14ac:dyDescent="0.3">
      <c r="A648" t="s">
        <v>268</v>
      </c>
    </row>
    <row r="649" spans="1:6" x14ac:dyDescent="0.3">
      <c r="A649" t="s">
        <v>370</v>
      </c>
    </row>
    <row r="650" spans="1:6" x14ac:dyDescent="0.3">
      <c r="A650" t="s">
        <v>371</v>
      </c>
    </row>
    <row r="651" spans="1:6" x14ac:dyDescent="0.3">
      <c r="A651" t="s">
        <v>443</v>
      </c>
    </row>
    <row r="652" spans="1:6" x14ac:dyDescent="0.3">
      <c r="A652" t="s">
        <v>509</v>
      </c>
    </row>
    <row r="653" spans="1:6" x14ac:dyDescent="0.3">
      <c r="A653" t="s">
        <v>510</v>
      </c>
    </row>
    <row r="654" spans="1:6" x14ac:dyDescent="0.3">
      <c r="A654" t="s">
        <v>511</v>
      </c>
    </row>
    <row r="656" spans="1:6" x14ac:dyDescent="0.3">
      <c r="A656" t="s">
        <v>268</v>
      </c>
    </row>
    <row r="657" spans="1:1" x14ac:dyDescent="0.3">
      <c r="A657" t="s">
        <v>1</v>
      </c>
    </row>
    <row r="658" spans="1:1" x14ac:dyDescent="0.3">
      <c r="A658" t="s">
        <v>268</v>
      </c>
    </row>
    <row r="659" spans="1:1" x14ac:dyDescent="0.3">
      <c r="A659" t="s">
        <v>512</v>
      </c>
    </row>
    <row r="660" spans="1:1" x14ac:dyDescent="0.3">
      <c r="A660" t="s">
        <v>513</v>
      </c>
    </row>
    <row r="661" spans="1:1" x14ac:dyDescent="0.3">
      <c r="A661" t="s">
        <v>514</v>
      </c>
    </row>
    <row r="662" spans="1:1" x14ac:dyDescent="0.3">
      <c r="A662" t="s">
        <v>515</v>
      </c>
    </row>
    <row r="663" spans="1:1" x14ac:dyDescent="0.3">
      <c r="A663" t="s">
        <v>516</v>
      </c>
    </row>
    <row r="664" spans="1:1" x14ac:dyDescent="0.3">
      <c r="A664" t="s">
        <v>281</v>
      </c>
    </row>
    <row r="666" spans="1:1" x14ac:dyDescent="0.3">
      <c r="A666" t="s">
        <v>268</v>
      </c>
    </row>
    <row r="667" spans="1:1" x14ac:dyDescent="0.3">
      <c r="A667" t="s">
        <v>282</v>
      </c>
    </row>
    <row r="668" spans="1:1" x14ac:dyDescent="0.3">
      <c r="A668" t="s">
        <v>268</v>
      </c>
    </row>
    <row r="669" spans="1:1" x14ac:dyDescent="0.3">
      <c r="A669" t="s">
        <v>517</v>
      </c>
    </row>
    <row r="670" spans="1:1" x14ac:dyDescent="0.3">
      <c r="A670" t="s">
        <v>340</v>
      </c>
    </row>
    <row r="671" spans="1:1" x14ac:dyDescent="0.3">
      <c r="A671" t="s">
        <v>341</v>
      </c>
    </row>
    <row r="672" spans="1:1" x14ac:dyDescent="0.3">
      <c r="A672" t="s">
        <v>342</v>
      </c>
    </row>
    <row r="673" spans="1:1" x14ac:dyDescent="0.3">
      <c r="A673" t="s">
        <v>287</v>
      </c>
    </row>
    <row r="674" spans="1:1" x14ac:dyDescent="0.3">
      <c r="A674" t="s">
        <v>518</v>
      </c>
    </row>
    <row r="676" spans="1:1" x14ac:dyDescent="0.3">
      <c r="A676" t="s">
        <v>289</v>
      </c>
    </row>
    <row r="677" spans="1:1" x14ac:dyDescent="0.3">
      <c r="A677" t="s">
        <v>3</v>
      </c>
    </row>
    <row r="678" spans="1:1" x14ac:dyDescent="0.3">
      <c r="A678" t="s">
        <v>268</v>
      </c>
    </row>
    <row r="679" spans="1:1" x14ac:dyDescent="0.3">
      <c r="A679" t="s">
        <v>290</v>
      </c>
    </row>
    <row r="680" spans="1:1" x14ac:dyDescent="0.3">
      <c r="A680" t="s">
        <v>519</v>
      </c>
    </row>
    <row r="681" spans="1:1" x14ac:dyDescent="0.3">
      <c r="A681" t="s">
        <v>292</v>
      </c>
    </row>
    <row r="682" spans="1:1" x14ac:dyDescent="0.3">
      <c r="A682" t="s">
        <v>293</v>
      </c>
    </row>
    <row r="683" spans="1:1" x14ac:dyDescent="0.3">
      <c r="A683" t="s">
        <v>294</v>
      </c>
    </row>
    <row r="684" spans="1:1" x14ac:dyDescent="0.3">
      <c r="A684" t="s">
        <v>520</v>
      </c>
    </row>
    <row r="686" spans="1:1" x14ac:dyDescent="0.3">
      <c r="A686" t="s">
        <v>268</v>
      </c>
    </row>
    <row r="687" spans="1:1" x14ac:dyDescent="0.3">
      <c r="A687" t="s">
        <v>296</v>
      </c>
    </row>
    <row r="688" spans="1:1" x14ac:dyDescent="0.3">
      <c r="A688" t="s">
        <v>268</v>
      </c>
    </row>
    <row r="689" spans="1:1" x14ac:dyDescent="0.3">
      <c r="A689" t="s">
        <v>347</v>
      </c>
    </row>
    <row r="690" spans="1:1" x14ac:dyDescent="0.3">
      <c r="A690" t="s">
        <v>454</v>
      </c>
    </row>
    <row r="691" spans="1:1" x14ac:dyDescent="0.3">
      <c r="A691" t="s">
        <v>299</v>
      </c>
    </row>
    <row r="692" spans="1:1" x14ac:dyDescent="0.3">
      <c r="A692" t="s">
        <v>349</v>
      </c>
    </row>
    <row r="693" spans="1:1" x14ac:dyDescent="0.3">
      <c r="A693" t="s">
        <v>521</v>
      </c>
    </row>
    <row r="694" spans="1:1" x14ac:dyDescent="0.3">
      <c r="A694" t="s">
        <v>456</v>
      </c>
    </row>
    <row r="696" spans="1:1" x14ac:dyDescent="0.3">
      <c r="A696" t="s">
        <v>268</v>
      </c>
    </row>
    <row r="697" spans="1:1" x14ac:dyDescent="0.3">
      <c r="A697" t="s">
        <v>303</v>
      </c>
    </row>
    <row r="698" spans="1:1" x14ac:dyDescent="0.3">
      <c r="A698" t="s">
        <v>268</v>
      </c>
    </row>
    <row r="699" spans="1:1" x14ac:dyDescent="0.3">
      <c r="A699" t="s">
        <v>522</v>
      </c>
    </row>
    <row r="700" spans="1:1" x14ac:dyDescent="0.3">
      <c r="A700" t="s">
        <v>352</v>
      </c>
    </row>
    <row r="701" spans="1:1" x14ac:dyDescent="0.3">
      <c r="A701" t="s">
        <v>523</v>
      </c>
    </row>
    <row r="702" spans="1:1" x14ac:dyDescent="0.3">
      <c r="A702" t="s">
        <v>524</v>
      </c>
    </row>
    <row r="703" spans="1:1" x14ac:dyDescent="0.3">
      <c r="A703" t="s">
        <v>525</v>
      </c>
    </row>
    <row r="704" spans="1:1" x14ac:dyDescent="0.3">
      <c r="A704" t="s">
        <v>503</v>
      </c>
    </row>
    <row r="706" spans="1:1" x14ac:dyDescent="0.3">
      <c r="A706" t="s">
        <v>268</v>
      </c>
    </row>
    <row r="707" spans="1:1" x14ac:dyDescent="0.3">
      <c r="A707" t="s">
        <v>310</v>
      </c>
    </row>
    <row r="708" spans="1:1" x14ac:dyDescent="0.3">
      <c r="A708" t="s">
        <v>268</v>
      </c>
    </row>
    <row r="709" spans="1:1" x14ac:dyDescent="0.3">
      <c r="A709" t="s">
        <v>394</v>
      </c>
    </row>
    <row r="710" spans="1:1" x14ac:dyDescent="0.3">
      <c r="A710" t="s">
        <v>395</v>
      </c>
    </row>
    <row r="711" spans="1:1" x14ac:dyDescent="0.3">
      <c r="A711" t="s">
        <v>313</v>
      </c>
    </row>
    <row r="712" spans="1:1" x14ac:dyDescent="0.3">
      <c r="A712" t="s">
        <v>526</v>
      </c>
    </row>
    <row r="713" spans="1:1" x14ac:dyDescent="0.3">
      <c r="A713" t="s">
        <v>527</v>
      </c>
    </row>
    <row r="714" spans="1:1" x14ac:dyDescent="0.3">
      <c r="A714" t="s">
        <v>528</v>
      </c>
    </row>
    <row r="716" spans="1:1" x14ac:dyDescent="0.3">
      <c r="A716" t="s">
        <v>268</v>
      </c>
    </row>
    <row r="717" spans="1:1" x14ac:dyDescent="0.3">
      <c r="A717" t="s">
        <v>317</v>
      </c>
    </row>
    <row r="718" spans="1:1" x14ac:dyDescent="0.3">
      <c r="A718" t="s">
        <v>268</v>
      </c>
    </row>
    <row r="719" spans="1:1" x14ac:dyDescent="0.3">
      <c r="A719" t="s">
        <v>318</v>
      </c>
    </row>
    <row r="720" spans="1:1" x14ac:dyDescent="0.3">
      <c r="A720" t="s">
        <v>399</v>
      </c>
    </row>
    <row r="721" spans="1:6" x14ac:dyDescent="0.3">
      <c r="A721" t="s">
        <v>362</v>
      </c>
    </row>
    <row r="722" spans="1:6" x14ac:dyDescent="0.3">
      <c r="A722" t="s">
        <v>321</v>
      </c>
    </row>
    <row r="723" spans="1:6" x14ac:dyDescent="0.3">
      <c r="A723" t="s">
        <v>322</v>
      </c>
    </row>
    <row r="724" spans="1:6" x14ac:dyDescent="0.3">
      <c r="A724" t="s">
        <v>438</v>
      </c>
    </row>
    <row r="726" spans="1:6" x14ac:dyDescent="0.3">
      <c r="A726" t="s">
        <v>466</v>
      </c>
    </row>
    <row r="727" spans="1:6" x14ac:dyDescent="0.3">
      <c r="A727" t="s">
        <v>529</v>
      </c>
    </row>
    <row r="729" spans="1:6" x14ac:dyDescent="0.3">
      <c r="A729" t="s">
        <v>530</v>
      </c>
    </row>
    <row r="730" spans="1:6" x14ac:dyDescent="0.3">
      <c r="A730" t="s">
        <v>531</v>
      </c>
    </row>
    <row r="734" spans="1:6" x14ac:dyDescent="0.3">
      <c r="F734" t="s">
        <v>266</v>
      </c>
    </row>
    <row r="735" spans="1:6" x14ac:dyDescent="0.3">
      <c r="F735" t="s">
        <v>263</v>
      </c>
    </row>
    <row r="736" spans="1:6" x14ac:dyDescent="0.3">
      <c r="F736" t="s">
        <v>267</v>
      </c>
    </row>
    <row r="738" spans="1:1" x14ac:dyDescent="0.3">
      <c r="A738" t="s">
        <v>268</v>
      </c>
    </row>
    <row r="739" spans="1:1" x14ac:dyDescent="0.3">
      <c r="A739" t="s">
        <v>269</v>
      </c>
    </row>
    <row r="740" spans="1:1" x14ac:dyDescent="0.3">
      <c r="A740" t="s">
        <v>268</v>
      </c>
    </row>
    <row r="741" spans="1:1" x14ac:dyDescent="0.3">
      <c r="A741" t="s">
        <v>532</v>
      </c>
    </row>
    <row r="742" spans="1:1" x14ac:dyDescent="0.3">
      <c r="A742" t="s">
        <v>533</v>
      </c>
    </row>
    <row r="743" spans="1:1" x14ac:dyDescent="0.3">
      <c r="A743" t="s">
        <v>534</v>
      </c>
    </row>
    <row r="744" spans="1:1" x14ac:dyDescent="0.3">
      <c r="A744" t="s">
        <v>535</v>
      </c>
    </row>
    <row r="745" spans="1:1" x14ac:dyDescent="0.3">
      <c r="A745" t="s">
        <v>412</v>
      </c>
    </row>
    <row r="746" spans="1:1" x14ac:dyDescent="0.3">
      <c r="A746" t="s">
        <v>446</v>
      </c>
    </row>
    <row r="748" spans="1:1" x14ac:dyDescent="0.3">
      <c r="A748" t="s">
        <v>268</v>
      </c>
    </row>
    <row r="749" spans="1:1" x14ac:dyDescent="0.3">
      <c r="A749" t="s">
        <v>1</v>
      </c>
    </row>
    <row r="750" spans="1:1" x14ac:dyDescent="0.3">
      <c r="A750" t="s">
        <v>268</v>
      </c>
    </row>
    <row r="751" spans="1:1" x14ac:dyDescent="0.3">
      <c r="A751" t="s">
        <v>333</v>
      </c>
    </row>
    <row r="752" spans="1:1" x14ac:dyDescent="0.3">
      <c r="A752" t="s">
        <v>536</v>
      </c>
    </row>
    <row r="753" spans="1:1" x14ac:dyDescent="0.3">
      <c r="A753" t="s">
        <v>375</v>
      </c>
    </row>
    <row r="754" spans="1:1" x14ac:dyDescent="0.3">
      <c r="A754" t="s">
        <v>279</v>
      </c>
    </row>
    <row r="755" spans="1:1" x14ac:dyDescent="0.3">
      <c r="A755" t="s">
        <v>537</v>
      </c>
    </row>
    <row r="756" spans="1:1" x14ac:dyDescent="0.3">
      <c r="A756" t="s">
        <v>538</v>
      </c>
    </row>
    <row r="758" spans="1:1" x14ac:dyDescent="0.3">
      <c r="A758" t="s">
        <v>268</v>
      </c>
    </row>
    <row r="759" spans="1:1" x14ac:dyDescent="0.3">
      <c r="A759" t="s">
        <v>282</v>
      </c>
    </row>
    <row r="760" spans="1:1" x14ac:dyDescent="0.3">
      <c r="A760" t="s">
        <v>268</v>
      </c>
    </row>
    <row r="761" spans="1:1" x14ac:dyDescent="0.3">
      <c r="A761" t="s">
        <v>339</v>
      </c>
    </row>
    <row r="762" spans="1:1" x14ac:dyDescent="0.3">
      <c r="A762" t="s">
        <v>539</v>
      </c>
    </row>
    <row r="763" spans="1:1" x14ac:dyDescent="0.3">
      <c r="A763" t="s">
        <v>540</v>
      </c>
    </row>
    <row r="764" spans="1:1" x14ac:dyDescent="0.3">
      <c r="A764" t="s">
        <v>541</v>
      </c>
    </row>
    <row r="765" spans="1:1" x14ac:dyDescent="0.3">
      <c r="A765" t="s">
        <v>287</v>
      </c>
    </row>
    <row r="766" spans="1:1" x14ac:dyDescent="0.3">
      <c r="A766" t="s">
        <v>288</v>
      </c>
    </row>
    <row r="768" spans="1:1" x14ac:dyDescent="0.3">
      <c r="A768" t="s">
        <v>289</v>
      </c>
    </row>
    <row r="769" spans="1:1" x14ac:dyDescent="0.3">
      <c r="A769" t="s">
        <v>3</v>
      </c>
    </row>
    <row r="770" spans="1:1" x14ac:dyDescent="0.3">
      <c r="A770" t="s">
        <v>268</v>
      </c>
    </row>
    <row r="771" spans="1:1" x14ac:dyDescent="0.3">
      <c r="A771" t="s">
        <v>290</v>
      </c>
    </row>
    <row r="772" spans="1:1" x14ac:dyDescent="0.3">
      <c r="A772" t="s">
        <v>542</v>
      </c>
    </row>
    <row r="773" spans="1:1" x14ac:dyDescent="0.3">
      <c r="A773" t="s">
        <v>345</v>
      </c>
    </row>
    <row r="774" spans="1:1" x14ac:dyDescent="0.3">
      <c r="A774" t="s">
        <v>543</v>
      </c>
    </row>
    <row r="775" spans="1:1" x14ac:dyDescent="0.3">
      <c r="A775" t="s">
        <v>544</v>
      </c>
    </row>
    <row r="776" spans="1:1" x14ac:dyDescent="0.3">
      <c r="A776" t="s">
        <v>384</v>
      </c>
    </row>
    <row r="778" spans="1:1" x14ac:dyDescent="0.3">
      <c r="A778" t="s">
        <v>268</v>
      </c>
    </row>
    <row r="779" spans="1:1" x14ac:dyDescent="0.3">
      <c r="A779" t="s">
        <v>296</v>
      </c>
    </row>
    <row r="780" spans="1:1" x14ac:dyDescent="0.3">
      <c r="A780" t="s">
        <v>268</v>
      </c>
    </row>
    <row r="781" spans="1:1" x14ac:dyDescent="0.3">
      <c r="A781" t="s">
        <v>498</v>
      </c>
    </row>
    <row r="782" spans="1:1" x14ac:dyDescent="0.3">
      <c r="A782" t="s">
        <v>386</v>
      </c>
    </row>
    <row r="783" spans="1:1" x14ac:dyDescent="0.3">
      <c r="A783" t="s">
        <v>455</v>
      </c>
    </row>
    <row r="784" spans="1:1" x14ac:dyDescent="0.3">
      <c r="A784" t="s">
        <v>480</v>
      </c>
    </row>
    <row r="785" spans="1:1" x14ac:dyDescent="0.3">
      <c r="A785" t="s">
        <v>426</v>
      </c>
    </row>
    <row r="786" spans="1:1" x14ac:dyDescent="0.3">
      <c r="A786" t="s">
        <v>351</v>
      </c>
    </row>
    <row r="788" spans="1:1" x14ac:dyDescent="0.3">
      <c r="A788" t="s">
        <v>268</v>
      </c>
    </row>
    <row r="789" spans="1:1" x14ac:dyDescent="0.3">
      <c r="A789" t="s">
        <v>303</v>
      </c>
    </row>
    <row r="790" spans="1:1" x14ac:dyDescent="0.3">
      <c r="A790" t="s">
        <v>268</v>
      </c>
    </row>
    <row r="791" spans="1:1" x14ac:dyDescent="0.3">
      <c r="A791" t="s">
        <v>545</v>
      </c>
    </row>
    <row r="792" spans="1:1" x14ac:dyDescent="0.3">
      <c r="A792" t="s">
        <v>390</v>
      </c>
    </row>
    <row r="793" spans="1:1" x14ac:dyDescent="0.3">
      <c r="A793" t="s">
        <v>546</v>
      </c>
    </row>
    <row r="794" spans="1:1" x14ac:dyDescent="0.3">
      <c r="A794" t="s">
        <v>391</v>
      </c>
    </row>
    <row r="795" spans="1:1" x14ac:dyDescent="0.3">
      <c r="A795" t="s">
        <v>547</v>
      </c>
    </row>
    <row r="796" spans="1:1" x14ac:dyDescent="0.3">
      <c r="A796" t="s">
        <v>356</v>
      </c>
    </row>
    <row r="798" spans="1:1" x14ac:dyDescent="0.3">
      <c r="A798" t="s">
        <v>268</v>
      </c>
    </row>
    <row r="799" spans="1:1" x14ac:dyDescent="0.3">
      <c r="A799" t="s">
        <v>310</v>
      </c>
    </row>
    <row r="800" spans="1:1" x14ac:dyDescent="0.3">
      <c r="A800" t="s">
        <v>268</v>
      </c>
    </row>
    <row r="801" spans="1:1" x14ac:dyDescent="0.3">
      <c r="A801" t="s">
        <v>394</v>
      </c>
    </row>
    <row r="802" spans="1:1" x14ac:dyDescent="0.3">
      <c r="A802" t="s">
        <v>312</v>
      </c>
    </row>
    <row r="803" spans="1:1" x14ac:dyDescent="0.3">
      <c r="A803" t="s">
        <v>548</v>
      </c>
    </row>
    <row r="804" spans="1:1" x14ac:dyDescent="0.3">
      <c r="A804" t="s">
        <v>358</v>
      </c>
    </row>
    <row r="805" spans="1:1" x14ac:dyDescent="0.3">
      <c r="A805" t="s">
        <v>527</v>
      </c>
    </row>
    <row r="806" spans="1:1" x14ac:dyDescent="0.3">
      <c r="A806" t="s">
        <v>549</v>
      </c>
    </row>
    <row r="808" spans="1:1" x14ac:dyDescent="0.3">
      <c r="A808" t="s">
        <v>268</v>
      </c>
    </row>
    <row r="809" spans="1:1" x14ac:dyDescent="0.3">
      <c r="A809" t="s">
        <v>317</v>
      </c>
    </row>
    <row r="810" spans="1:1" x14ac:dyDescent="0.3">
      <c r="A810" t="s">
        <v>268</v>
      </c>
    </row>
    <row r="811" spans="1:1" x14ac:dyDescent="0.3">
      <c r="A811" t="s">
        <v>462</v>
      </c>
    </row>
    <row r="812" spans="1:1" x14ac:dyDescent="0.3">
      <c r="A812" t="s">
        <v>550</v>
      </c>
    </row>
    <row r="813" spans="1:1" x14ac:dyDescent="0.3">
      <c r="A813" t="s">
        <v>505</v>
      </c>
    </row>
    <row r="814" spans="1:1" x14ac:dyDescent="0.3">
      <c r="A814" t="s">
        <v>551</v>
      </c>
    </row>
    <row r="815" spans="1:1" x14ac:dyDescent="0.3">
      <c r="A815" t="s">
        <v>465</v>
      </c>
    </row>
    <row r="816" spans="1:1" x14ac:dyDescent="0.3">
      <c r="A816" t="s">
        <v>485</v>
      </c>
    </row>
    <row r="818" spans="1:6" x14ac:dyDescent="0.3">
      <c r="A818" t="s">
        <v>439</v>
      </c>
    </row>
    <row r="819" spans="1:6" x14ac:dyDescent="0.3">
      <c r="A819" t="s">
        <v>325</v>
      </c>
    </row>
    <row r="821" spans="1:6" x14ac:dyDescent="0.3">
      <c r="A821" t="s">
        <v>552</v>
      </c>
    </row>
    <row r="822" spans="1:6" x14ac:dyDescent="0.3">
      <c r="A822" t="s">
        <v>553</v>
      </c>
    </row>
    <row r="826" spans="1:6" x14ac:dyDescent="0.3">
      <c r="F826" t="s">
        <v>266</v>
      </c>
    </row>
    <row r="827" spans="1:6" x14ac:dyDescent="0.3">
      <c r="F827" t="s">
        <v>264</v>
      </c>
    </row>
    <row r="828" spans="1:6" x14ac:dyDescent="0.3">
      <c r="F828" t="s">
        <v>267</v>
      </c>
    </row>
    <row r="830" spans="1:6" x14ac:dyDescent="0.3">
      <c r="A830" t="s">
        <v>268</v>
      </c>
    </row>
    <row r="831" spans="1:6" x14ac:dyDescent="0.3">
      <c r="A831" t="s">
        <v>269</v>
      </c>
    </row>
    <row r="832" spans="1:6" x14ac:dyDescent="0.3">
      <c r="A832" t="s">
        <v>268</v>
      </c>
    </row>
    <row r="833" spans="1:1" x14ac:dyDescent="0.3">
      <c r="A833" t="s">
        <v>554</v>
      </c>
    </row>
    <row r="834" spans="1:1" x14ac:dyDescent="0.3">
      <c r="A834" t="s">
        <v>271</v>
      </c>
    </row>
    <row r="835" spans="1:1" x14ac:dyDescent="0.3">
      <c r="A835" t="s">
        <v>534</v>
      </c>
    </row>
    <row r="836" spans="1:1" x14ac:dyDescent="0.3">
      <c r="A836" t="s">
        <v>470</v>
      </c>
    </row>
    <row r="837" spans="1:1" x14ac:dyDescent="0.3">
      <c r="A837" t="s">
        <v>274</v>
      </c>
    </row>
    <row r="838" spans="1:1" x14ac:dyDescent="0.3">
      <c r="A838" t="s">
        <v>275</v>
      </c>
    </row>
    <row r="840" spans="1:1" x14ac:dyDescent="0.3">
      <c r="A840" t="s">
        <v>268</v>
      </c>
    </row>
    <row r="841" spans="1:1" x14ac:dyDescent="0.3">
      <c r="A841" t="s">
        <v>1</v>
      </c>
    </row>
    <row r="842" spans="1:1" x14ac:dyDescent="0.3">
      <c r="A842" t="s">
        <v>268</v>
      </c>
    </row>
    <row r="843" spans="1:1" x14ac:dyDescent="0.3">
      <c r="A843" t="s">
        <v>555</v>
      </c>
    </row>
    <row r="844" spans="1:1" x14ac:dyDescent="0.3">
      <c r="A844" t="s">
        <v>374</v>
      </c>
    </row>
    <row r="845" spans="1:1" x14ac:dyDescent="0.3">
      <c r="A845" t="s">
        <v>448</v>
      </c>
    </row>
    <row r="846" spans="1:1" x14ac:dyDescent="0.3">
      <c r="A846" t="s">
        <v>556</v>
      </c>
    </row>
    <row r="847" spans="1:1" x14ac:dyDescent="0.3">
      <c r="A847" t="s">
        <v>557</v>
      </c>
    </row>
    <row r="848" spans="1:1" x14ac:dyDescent="0.3">
      <c r="A848" t="s">
        <v>558</v>
      </c>
    </row>
    <row r="850" spans="1:1" x14ac:dyDescent="0.3">
      <c r="A850" t="s">
        <v>268</v>
      </c>
    </row>
    <row r="851" spans="1:1" x14ac:dyDescent="0.3">
      <c r="A851" t="s">
        <v>282</v>
      </c>
    </row>
    <row r="852" spans="1:1" x14ac:dyDescent="0.3">
      <c r="A852" t="s">
        <v>268</v>
      </c>
    </row>
    <row r="853" spans="1:1" x14ac:dyDescent="0.3">
      <c r="A853" t="s">
        <v>559</v>
      </c>
    </row>
    <row r="854" spans="1:1" x14ac:dyDescent="0.3">
      <c r="A854" t="s">
        <v>560</v>
      </c>
    </row>
    <row r="855" spans="1:1" x14ac:dyDescent="0.3">
      <c r="A855" t="s">
        <v>379</v>
      </c>
    </row>
    <row r="856" spans="1:1" x14ac:dyDescent="0.3">
      <c r="A856" t="s">
        <v>561</v>
      </c>
    </row>
    <row r="857" spans="1:1" x14ac:dyDescent="0.3">
      <c r="A857" t="s">
        <v>381</v>
      </c>
    </row>
    <row r="858" spans="1:1" x14ac:dyDescent="0.3">
      <c r="A858" t="s">
        <v>562</v>
      </c>
    </row>
    <row r="860" spans="1:1" x14ac:dyDescent="0.3">
      <c r="A860" t="s">
        <v>289</v>
      </c>
    </row>
    <row r="861" spans="1:1" x14ac:dyDescent="0.3">
      <c r="A861" t="s">
        <v>3</v>
      </c>
    </row>
    <row r="862" spans="1:1" x14ac:dyDescent="0.3">
      <c r="A862" t="s">
        <v>268</v>
      </c>
    </row>
    <row r="863" spans="1:1" x14ac:dyDescent="0.3">
      <c r="A863" t="s">
        <v>563</v>
      </c>
    </row>
    <row r="864" spans="1:1" x14ac:dyDescent="0.3">
      <c r="A864" t="s">
        <v>344</v>
      </c>
    </row>
    <row r="865" spans="1:1" x14ac:dyDescent="0.3">
      <c r="A865" t="s">
        <v>564</v>
      </c>
    </row>
    <row r="866" spans="1:1" x14ac:dyDescent="0.3">
      <c r="A866" t="s">
        <v>565</v>
      </c>
    </row>
    <row r="867" spans="1:1" x14ac:dyDescent="0.3">
      <c r="A867" t="s">
        <v>566</v>
      </c>
    </row>
    <row r="868" spans="1:1" x14ac:dyDescent="0.3">
      <c r="A868" t="s">
        <v>479</v>
      </c>
    </row>
    <row r="870" spans="1:1" x14ac:dyDescent="0.3">
      <c r="A870" t="s">
        <v>268</v>
      </c>
    </row>
    <row r="871" spans="1:1" x14ac:dyDescent="0.3">
      <c r="A871" t="s">
        <v>296</v>
      </c>
    </row>
    <row r="872" spans="1:1" x14ac:dyDescent="0.3">
      <c r="A872" t="s">
        <v>268</v>
      </c>
    </row>
    <row r="873" spans="1:1" x14ac:dyDescent="0.3">
      <c r="A873" t="s">
        <v>498</v>
      </c>
    </row>
    <row r="874" spans="1:1" x14ac:dyDescent="0.3">
      <c r="A874" t="s">
        <v>454</v>
      </c>
    </row>
    <row r="875" spans="1:1" x14ac:dyDescent="0.3">
      <c r="A875" t="s">
        <v>387</v>
      </c>
    </row>
    <row r="876" spans="1:1" x14ac:dyDescent="0.3">
      <c r="A876" t="s">
        <v>349</v>
      </c>
    </row>
    <row r="877" spans="1:1" x14ac:dyDescent="0.3">
      <c r="A877" t="s">
        <v>350</v>
      </c>
    </row>
    <row r="878" spans="1:1" x14ac:dyDescent="0.3">
      <c r="A878" t="s">
        <v>456</v>
      </c>
    </row>
    <row r="880" spans="1:1" x14ac:dyDescent="0.3">
      <c r="A880" t="s">
        <v>268</v>
      </c>
    </row>
    <row r="881" spans="1:1" x14ac:dyDescent="0.3">
      <c r="A881" t="s">
        <v>303</v>
      </c>
    </row>
    <row r="882" spans="1:1" x14ac:dyDescent="0.3">
      <c r="A882" t="s">
        <v>268</v>
      </c>
    </row>
    <row r="883" spans="1:1" x14ac:dyDescent="0.3">
      <c r="A883" t="s">
        <v>567</v>
      </c>
    </row>
    <row r="884" spans="1:1" x14ac:dyDescent="0.3">
      <c r="A884" t="s">
        <v>568</v>
      </c>
    </row>
    <row r="885" spans="1:1" x14ac:dyDescent="0.3">
      <c r="A885" t="s">
        <v>569</v>
      </c>
    </row>
    <row r="886" spans="1:1" x14ac:dyDescent="0.3">
      <c r="A886" t="s">
        <v>391</v>
      </c>
    </row>
    <row r="887" spans="1:1" x14ac:dyDescent="0.3">
      <c r="A887" t="s">
        <v>355</v>
      </c>
    </row>
    <row r="888" spans="1:1" x14ac:dyDescent="0.3">
      <c r="A888" t="s">
        <v>570</v>
      </c>
    </row>
    <row r="890" spans="1:1" x14ac:dyDescent="0.3">
      <c r="A890" t="s">
        <v>268</v>
      </c>
    </row>
    <row r="891" spans="1:1" x14ac:dyDescent="0.3">
      <c r="A891" t="s">
        <v>310</v>
      </c>
    </row>
    <row r="892" spans="1:1" x14ac:dyDescent="0.3">
      <c r="A892" t="s">
        <v>268</v>
      </c>
    </row>
    <row r="893" spans="1:1" x14ac:dyDescent="0.3">
      <c r="A893" t="s">
        <v>571</v>
      </c>
    </row>
    <row r="894" spans="1:1" x14ac:dyDescent="0.3">
      <c r="A894" t="s">
        <v>460</v>
      </c>
    </row>
    <row r="895" spans="1:1" x14ac:dyDescent="0.3">
      <c r="A895" t="s">
        <v>396</v>
      </c>
    </row>
    <row r="896" spans="1:1" x14ac:dyDescent="0.3">
      <c r="A896" t="s">
        <v>572</v>
      </c>
    </row>
    <row r="897" spans="1:1" x14ac:dyDescent="0.3">
      <c r="A897" t="s">
        <v>573</v>
      </c>
    </row>
    <row r="898" spans="1:1" x14ac:dyDescent="0.3">
      <c r="A898" t="s">
        <v>316</v>
      </c>
    </row>
    <row r="900" spans="1:1" x14ac:dyDescent="0.3">
      <c r="A900" t="s">
        <v>268</v>
      </c>
    </row>
    <row r="901" spans="1:1" x14ac:dyDescent="0.3">
      <c r="A901" t="s">
        <v>317</v>
      </c>
    </row>
    <row r="902" spans="1:1" x14ac:dyDescent="0.3">
      <c r="A902" t="s">
        <v>268</v>
      </c>
    </row>
    <row r="903" spans="1:1" x14ac:dyDescent="0.3">
      <c r="A903" t="s">
        <v>574</v>
      </c>
    </row>
    <row r="904" spans="1:1" x14ac:dyDescent="0.3">
      <c r="A904" t="s">
        <v>550</v>
      </c>
    </row>
    <row r="905" spans="1:1" x14ac:dyDescent="0.3">
      <c r="A905" t="s">
        <v>575</v>
      </c>
    </row>
    <row r="906" spans="1:1" x14ac:dyDescent="0.3">
      <c r="A906" t="s">
        <v>401</v>
      </c>
    </row>
    <row r="907" spans="1:1" x14ac:dyDescent="0.3">
      <c r="A907" t="s">
        <v>576</v>
      </c>
    </row>
    <row r="908" spans="1:1" x14ac:dyDescent="0.3">
      <c r="A908" t="s">
        <v>577</v>
      </c>
    </row>
    <row r="910" spans="1:1" x14ac:dyDescent="0.3">
      <c r="A910" t="s">
        <v>466</v>
      </c>
    </row>
    <row r="911" spans="1:1" x14ac:dyDescent="0.3">
      <c r="A911" t="s">
        <v>367</v>
      </c>
    </row>
    <row r="913" spans="1:6" x14ac:dyDescent="0.3">
      <c r="A913" t="s">
        <v>578</v>
      </c>
    </row>
    <row r="914" spans="1:6" x14ac:dyDescent="0.3">
      <c r="A914" t="s">
        <v>579</v>
      </c>
    </row>
    <row r="918" spans="1:6" x14ac:dyDescent="0.3">
      <c r="F918" t="s">
        <v>266</v>
      </c>
    </row>
    <row r="919" spans="1:6" x14ac:dyDescent="0.3">
      <c r="F919" t="s">
        <v>76</v>
      </c>
    </row>
    <row r="920" spans="1:6" x14ac:dyDescent="0.3">
      <c r="F920" t="s">
        <v>267</v>
      </c>
    </row>
    <row r="922" spans="1:6" x14ac:dyDescent="0.3">
      <c r="A922" t="s">
        <v>268</v>
      </c>
    </row>
    <row r="923" spans="1:6" x14ac:dyDescent="0.3">
      <c r="A923" t="s">
        <v>269</v>
      </c>
    </row>
    <row r="924" spans="1:6" x14ac:dyDescent="0.3">
      <c r="A924" t="s">
        <v>268</v>
      </c>
    </row>
    <row r="925" spans="1:6" x14ac:dyDescent="0.3">
      <c r="A925" t="s">
        <v>580</v>
      </c>
    </row>
    <row r="926" spans="1:6" x14ac:dyDescent="0.3">
      <c r="A926" t="s">
        <v>533</v>
      </c>
    </row>
    <row r="927" spans="1:6" x14ac:dyDescent="0.3">
      <c r="A927" t="s">
        <v>329</v>
      </c>
    </row>
    <row r="928" spans="1:6" x14ac:dyDescent="0.3">
      <c r="A928" t="s">
        <v>581</v>
      </c>
    </row>
    <row r="929" spans="1:1" x14ac:dyDescent="0.3">
      <c r="A929" t="s">
        <v>510</v>
      </c>
    </row>
    <row r="930" spans="1:1" x14ac:dyDescent="0.3">
      <c r="A930" t="s">
        <v>372</v>
      </c>
    </row>
    <row r="932" spans="1:1" x14ac:dyDescent="0.3">
      <c r="A932" t="s">
        <v>268</v>
      </c>
    </row>
    <row r="933" spans="1:1" x14ac:dyDescent="0.3">
      <c r="A933" t="s">
        <v>1</v>
      </c>
    </row>
    <row r="934" spans="1:1" x14ac:dyDescent="0.3">
      <c r="A934" t="s">
        <v>268</v>
      </c>
    </row>
    <row r="935" spans="1:1" x14ac:dyDescent="0.3">
      <c r="A935" t="s">
        <v>276</v>
      </c>
    </row>
    <row r="936" spans="1:1" x14ac:dyDescent="0.3">
      <c r="A936" t="s">
        <v>582</v>
      </c>
    </row>
    <row r="937" spans="1:1" x14ac:dyDescent="0.3">
      <c r="A937" t="s">
        <v>583</v>
      </c>
    </row>
    <row r="938" spans="1:1" x14ac:dyDescent="0.3">
      <c r="A938" t="s">
        <v>279</v>
      </c>
    </row>
    <row r="939" spans="1:1" x14ac:dyDescent="0.3">
      <c r="A939" t="s">
        <v>337</v>
      </c>
    </row>
    <row r="940" spans="1:1" x14ac:dyDescent="0.3">
      <c r="A940" t="s">
        <v>281</v>
      </c>
    </row>
    <row r="942" spans="1:1" x14ac:dyDescent="0.3">
      <c r="A942" t="s">
        <v>268</v>
      </c>
    </row>
    <row r="943" spans="1:1" x14ac:dyDescent="0.3">
      <c r="A943" t="s">
        <v>282</v>
      </c>
    </row>
    <row r="944" spans="1:1" x14ac:dyDescent="0.3">
      <c r="A944" t="s">
        <v>268</v>
      </c>
    </row>
    <row r="945" spans="1:1" x14ac:dyDescent="0.3">
      <c r="A945" t="s">
        <v>339</v>
      </c>
    </row>
    <row r="946" spans="1:1" x14ac:dyDescent="0.3">
      <c r="A946" t="s">
        <v>340</v>
      </c>
    </row>
    <row r="947" spans="1:1" x14ac:dyDescent="0.3">
      <c r="A947" t="s">
        <v>379</v>
      </c>
    </row>
    <row r="948" spans="1:1" x14ac:dyDescent="0.3">
      <c r="A948" t="s">
        <v>342</v>
      </c>
    </row>
    <row r="949" spans="1:1" x14ac:dyDescent="0.3">
      <c r="A949" t="s">
        <v>343</v>
      </c>
    </row>
    <row r="950" spans="1:1" x14ac:dyDescent="0.3">
      <c r="A950" t="s">
        <v>288</v>
      </c>
    </row>
    <row r="952" spans="1:1" x14ac:dyDescent="0.3">
      <c r="A952" t="s">
        <v>289</v>
      </c>
    </row>
    <row r="953" spans="1:1" x14ac:dyDescent="0.3">
      <c r="A953" t="s">
        <v>3</v>
      </c>
    </row>
    <row r="954" spans="1:1" x14ac:dyDescent="0.3">
      <c r="A954" t="s">
        <v>268</v>
      </c>
    </row>
    <row r="955" spans="1:1" x14ac:dyDescent="0.3">
      <c r="A955" t="s">
        <v>290</v>
      </c>
    </row>
    <row r="956" spans="1:1" x14ac:dyDescent="0.3">
      <c r="A956" t="s">
        <v>420</v>
      </c>
    </row>
    <row r="957" spans="1:1" x14ac:dyDescent="0.3">
      <c r="A957" t="s">
        <v>584</v>
      </c>
    </row>
    <row r="958" spans="1:1" x14ac:dyDescent="0.3">
      <c r="A958" t="s">
        <v>478</v>
      </c>
    </row>
    <row r="959" spans="1:1" x14ac:dyDescent="0.3">
      <c r="A959" t="s">
        <v>422</v>
      </c>
    </row>
    <row r="960" spans="1:1" x14ac:dyDescent="0.3">
      <c r="A960" t="s">
        <v>585</v>
      </c>
    </row>
    <row r="962" spans="1:1" x14ac:dyDescent="0.3">
      <c r="A962" t="s">
        <v>268</v>
      </c>
    </row>
    <row r="963" spans="1:1" x14ac:dyDescent="0.3">
      <c r="A963" t="s">
        <v>296</v>
      </c>
    </row>
    <row r="964" spans="1:1" x14ac:dyDescent="0.3">
      <c r="A964" t="s">
        <v>268</v>
      </c>
    </row>
    <row r="965" spans="1:1" x14ac:dyDescent="0.3">
      <c r="A965" t="s">
        <v>498</v>
      </c>
    </row>
    <row r="966" spans="1:1" x14ac:dyDescent="0.3">
      <c r="A966" t="s">
        <v>424</v>
      </c>
    </row>
    <row r="967" spans="1:1" x14ac:dyDescent="0.3">
      <c r="A967" t="s">
        <v>299</v>
      </c>
    </row>
    <row r="968" spans="1:1" x14ac:dyDescent="0.3">
      <c r="A968" t="s">
        <v>586</v>
      </c>
    </row>
    <row r="969" spans="1:1" x14ac:dyDescent="0.3">
      <c r="A969" t="s">
        <v>481</v>
      </c>
    </row>
    <row r="970" spans="1:1" x14ac:dyDescent="0.3">
      <c r="A970" t="s">
        <v>500</v>
      </c>
    </row>
    <row r="972" spans="1:1" x14ac:dyDescent="0.3">
      <c r="A972" t="s">
        <v>268</v>
      </c>
    </row>
    <row r="973" spans="1:1" x14ac:dyDescent="0.3">
      <c r="A973" t="s">
        <v>303</v>
      </c>
    </row>
    <row r="974" spans="1:1" x14ac:dyDescent="0.3">
      <c r="A974" t="s">
        <v>268</v>
      </c>
    </row>
    <row r="975" spans="1:1" x14ac:dyDescent="0.3">
      <c r="A975" t="s">
        <v>587</v>
      </c>
    </row>
    <row r="976" spans="1:1" x14ac:dyDescent="0.3">
      <c r="A976" t="s">
        <v>352</v>
      </c>
    </row>
    <row r="977" spans="1:1" x14ac:dyDescent="0.3">
      <c r="A977" t="s">
        <v>306</v>
      </c>
    </row>
    <row r="978" spans="1:1" x14ac:dyDescent="0.3">
      <c r="A978" t="s">
        <v>307</v>
      </c>
    </row>
    <row r="979" spans="1:1" x14ac:dyDescent="0.3">
      <c r="A979" t="s">
        <v>547</v>
      </c>
    </row>
    <row r="980" spans="1:1" x14ac:dyDescent="0.3">
      <c r="A980" t="s">
        <v>356</v>
      </c>
    </row>
    <row r="982" spans="1:1" x14ac:dyDescent="0.3">
      <c r="A982" t="s">
        <v>268</v>
      </c>
    </row>
    <row r="983" spans="1:1" x14ac:dyDescent="0.3">
      <c r="A983" t="s">
        <v>310</v>
      </c>
    </row>
    <row r="984" spans="1:1" x14ac:dyDescent="0.3">
      <c r="A984" t="s">
        <v>268</v>
      </c>
    </row>
    <row r="985" spans="1:1" x14ac:dyDescent="0.3">
      <c r="A985" t="s">
        <v>459</v>
      </c>
    </row>
    <row r="986" spans="1:1" x14ac:dyDescent="0.3">
      <c r="A986" t="s">
        <v>312</v>
      </c>
    </row>
    <row r="987" spans="1:1" x14ac:dyDescent="0.3">
      <c r="A987" t="s">
        <v>313</v>
      </c>
    </row>
    <row r="988" spans="1:1" x14ac:dyDescent="0.3">
      <c r="A988" t="s">
        <v>588</v>
      </c>
    </row>
    <row r="989" spans="1:1" x14ac:dyDescent="0.3">
      <c r="A989" t="s">
        <v>589</v>
      </c>
    </row>
    <row r="990" spans="1:1" x14ac:dyDescent="0.3">
      <c r="A990" t="s">
        <v>461</v>
      </c>
    </row>
    <row r="992" spans="1:1" x14ac:dyDescent="0.3">
      <c r="A992" t="s">
        <v>268</v>
      </c>
    </row>
    <row r="993" spans="1:1" x14ac:dyDescent="0.3">
      <c r="A993" t="s">
        <v>317</v>
      </c>
    </row>
    <row r="994" spans="1:1" x14ac:dyDescent="0.3">
      <c r="A994" t="s">
        <v>268</v>
      </c>
    </row>
    <row r="995" spans="1:1" x14ac:dyDescent="0.3">
      <c r="A995" t="s">
        <v>590</v>
      </c>
    </row>
    <row r="996" spans="1:1" x14ac:dyDescent="0.3">
      <c r="A996" t="s">
        <v>463</v>
      </c>
    </row>
    <row r="997" spans="1:1" x14ac:dyDescent="0.3">
      <c r="A997" t="s">
        <v>362</v>
      </c>
    </row>
    <row r="998" spans="1:1" x14ac:dyDescent="0.3">
      <c r="A998" t="s">
        <v>591</v>
      </c>
    </row>
    <row r="999" spans="1:1" x14ac:dyDescent="0.3">
      <c r="A999" t="s">
        <v>592</v>
      </c>
    </row>
    <row r="1000" spans="1:1" x14ac:dyDescent="0.3">
      <c r="A1000" t="s">
        <v>365</v>
      </c>
    </row>
    <row r="1002" spans="1:1" x14ac:dyDescent="0.3">
      <c r="A1002" t="s">
        <v>366</v>
      </c>
    </row>
    <row r="1003" spans="1:1" x14ac:dyDescent="0.3">
      <c r="A1003" t="s">
        <v>367</v>
      </c>
    </row>
    <row r="1005" spans="1:1" x14ac:dyDescent="0.3">
      <c r="A1005" t="s">
        <v>593</v>
      </c>
    </row>
    <row r="1006" spans="1:1" x14ac:dyDescent="0.3">
      <c r="A1006" t="s">
        <v>594</v>
      </c>
    </row>
    <row r="1010" spans="1:6" x14ac:dyDescent="0.3">
      <c r="F1010" t="s">
        <v>266</v>
      </c>
    </row>
    <row r="1011" spans="1:6" x14ac:dyDescent="0.3">
      <c r="F1011" t="s">
        <v>265</v>
      </c>
    </row>
    <row r="1012" spans="1:6" x14ac:dyDescent="0.3">
      <c r="F1012" t="s">
        <v>267</v>
      </c>
    </row>
    <row r="1014" spans="1:6" x14ac:dyDescent="0.3">
      <c r="A1014" t="s">
        <v>268</v>
      </c>
    </row>
    <row r="1015" spans="1:6" x14ac:dyDescent="0.3">
      <c r="A1015" t="s">
        <v>269</v>
      </c>
    </row>
    <row r="1016" spans="1:6" x14ac:dyDescent="0.3">
      <c r="A1016" t="s">
        <v>268</v>
      </c>
    </row>
    <row r="1017" spans="1:6" x14ac:dyDescent="0.3">
      <c r="A1017" t="s">
        <v>270</v>
      </c>
    </row>
    <row r="1018" spans="1:6" x14ac:dyDescent="0.3">
      <c r="A1018" t="s">
        <v>533</v>
      </c>
    </row>
    <row r="1019" spans="1:6" x14ac:dyDescent="0.3">
      <c r="A1019" t="s">
        <v>595</v>
      </c>
    </row>
    <row r="1020" spans="1:6" x14ac:dyDescent="0.3">
      <c r="A1020" t="s">
        <v>411</v>
      </c>
    </row>
    <row r="1021" spans="1:6" x14ac:dyDescent="0.3">
      <c r="A1021" t="s">
        <v>274</v>
      </c>
    </row>
    <row r="1022" spans="1:6" x14ac:dyDescent="0.3">
      <c r="A1022" t="s">
        <v>471</v>
      </c>
    </row>
    <row r="1024" spans="1:6" x14ac:dyDescent="0.3">
      <c r="A1024" t="s">
        <v>268</v>
      </c>
    </row>
    <row r="1025" spans="1:1" x14ac:dyDescent="0.3">
      <c r="A1025" t="s">
        <v>1</v>
      </c>
    </row>
    <row r="1026" spans="1:1" x14ac:dyDescent="0.3">
      <c r="A1026" t="s">
        <v>268</v>
      </c>
    </row>
    <row r="1027" spans="1:1" x14ac:dyDescent="0.3">
      <c r="A1027" t="s">
        <v>333</v>
      </c>
    </row>
    <row r="1028" spans="1:1" x14ac:dyDescent="0.3">
      <c r="A1028" t="s">
        <v>374</v>
      </c>
    </row>
    <row r="1029" spans="1:1" x14ac:dyDescent="0.3">
      <c r="A1029" t="s">
        <v>375</v>
      </c>
    </row>
    <row r="1030" spans="1:1" x14ac:dyDescent="0.3">
      <c r="A1030" t="s">
        <v>336</v>
      </c>
    </row>
    <row r="1031" spans="1:1" x14ac:dyDescent="0.3">
      <c r="A1031" t="s">
        <v>280</v>
      </c>
    </row>
    <row r="1032" spans="1:1" x14ac:dyDescent="0.3">
      <c r="A1032" t="s">
        <v>281</v>
      </c>
    </row>
    <row r="1034" spans="1:1" x14ac:dyDescent="0.3">
      <c r="A1034" t="s">
        <v>268</v>
      </c>
    </row>
    <row r="1035" spans="1:1" x14ac:dyDescent="0.3">
      <c r="A1035" t="s">
        <v>282</v>
      </c>
    </row>
    <row r="1036" spans="1:1" x14ac:dyDescent="0.3">
      <c r="A1036" t="s">
        <v>268</v>
      </c>
    </row>
    <row r="1037" spans="1:1" x14ac:dyDescent="0.3">
      <c r="A1037" t="s">
        <v>283</v>
      </c>
    </row>
    <row r="1038" spans="1:1" x14ac:dyDescent="0.3">
      <c r="A1038" t="s">
        <v>596</v>
      </c>
    </row>
    <row r="1039" spans="1:1" x14ac:dyDescent="0.3">
      <c r="A1039" t="s">
        <v>597</v>
      </c>
    </row>
    <row r="1040" spans="1:1" x14ac:dyDescent="0.3">
      <c r="A1040" t="s">
        <v>286</v>
      </c>
    </row>
    <row r="1041" spans="1:1" x14ac:dyDescent="0.3">
      <c r="A1041" t="s">
        <v>287</v>
      </c>
    </row>
    <row r="1042" spans="1:1" x14ac:dyDescent="0.3">
      <c r="A1042" t="s">
        <v>598</v>
      </c>
    </row>
    <row r="1044" spans="1:1" x14ac:dyDescent="0.3">
      <c r="A1044" t="s">
        <v>289</v>
      </c>
    </row>
    <row r="1045" spans="1:1" x14ac:dyDescent="0.3">
      <c r="A1045" t="s">
        <v>3</v>
      </c>
    </row>
    <row r="1046" spans="1:1" x14ac:dyDescent="0.3">
      <c r="A1046" t="s">
        <v>268</v>
      </c>
    </row>
    <row r="1047" spans="1:1" x14ac:dyDescent="0.3">
      <c r="A1047" t="s">
        <v>599</v>
      </c>
    </row>
    <row r="1048" spans="1:1" x14ac:dyDescent="0.3">
      <c r="A1048" t="s">
        <v>291</v>
      </c>
    </row>
    <row r="1049" spans="1:1" x14ac:dyDescent="0.3">
      <c r="A1049" t="s">
        <v>345</v>
      </c>
    </row>
    <row r="1050" spans="1:1" x14ac:dyDescent="0.3">
      <c r="A1050" t="s">
        <v>293</v>
      </c>
    </row>
    <row r="1051" spans="1:1" x14ac:dyDescent="0.3">
      <c r="A1051" t="s">
        <v>600</v>
      </c>
    </row>
    <row r="1052" spans="1:1" x14ac:dyDescent="0.3">
      <c r="A1052" t="s">
        <v>384</v>
      </c>
    </row>
    <row r="1054" spans="1:1" x14ac:dyDescent="0.3">
      <c r="A1054" t="s">
        <v>268</v>
      </c>
    </row>
    <row r="1055" spans="1:1" x14ac:dyDescent="0.3">
      <c r="A1055" t="s">
        <v>296</v>
      </c>
    </row>
    <row r="1056" spans="1:1" x14ac:dyDescent="0.3">
      <c r="A1056" t="s">
        <v>268</v>
      </c>
    </row>
    <row r="1057" spans="1:1" x14ac:dyDescent="0.3">
      <c r="A1057" t="s">
        <v>347</v>
      </c>
    </row>
    <row r="1058" spans="1:1" x14ac:dyDescent="0.3">
      <c r="A1058" t="s">
        <v>298</v>
      </c>
    </row>
    <row r="1059" spans="1:1" x14ac:dyDescent="0.3">
      <c r="A1059" t="s">
        <v>348</v>
      </c>
    </row>
    <row r="1060" spans="1:1" x14ac:dyDescent="0.3">
      <c r="A1060" t="s">
        <v>300</v>
      </c>
    </row>
    <row r="1061" spans="1:1" x14ac:dyDescent="0.3">
      <c r="A1061" t="s">
        <v>601</v>
      </c>
    </row>
    <row r="1062" spans="1:1" x14ac:dyDescent="0.3">
      <c r="A1062" t="s">
        <v>602</v>
      </c>
    </row>
    <row r="1064" spans="1:1" x14ac:dyDescent="0.3">
      <c r="A1064" t="s">
        <v>268</v>
      </c>
    </row>
    <row r="1065" spans="1:1" x14ac:dyDescent="0.3">
      <c r="A1065" t="s">
        <v>303</v>
      </c>
    </row>
    <row r="1066" spans="1:1" x14ac:dyDescent="0.3">
      <c r="A1066" t="s">
        <v>268</v>
      </c>
    </row>
    <row r="1067" spans="1:1" x14ac:dyDescent="0.3">
      <c r="A1067" t="s">
        <v>304</v>
      </c>
    </row>
    <row r="1068" spans="1:1" x14ac:dyDescent="0.3">
      <c r="A1068" t="s">
        <v>603</v>
      </c>
    </row>
    <row r="1069" spans="1:1" x14ac:dyDescent="0.3">
      <c r="A1069" t="s">
        <v>482</v>
      </c>
    </row>
    <row r="1070" spans="1:1" x14ac:dyDescent="0.3">
      <c r="A1070" t="s">
        <v>604</v>
      </c>
    </row>
    <row r="1071" spans="1:1" x14ac:dyDescent="0.3">
      <c r="A1071" t="s">
        <v>308</v>
      </c>
    </row>
    <row r="1072" spans="1:1" x14ac:dyDescent="0.3">
      <c r="A1072" t="s">
        <v>309</v>
      </c>
    </row>
    <row r="1074" spans="1:1" x14ac:dyDescent="0.3">
      <c r="A1074" t="s">
        <v>268</v>
      </c>
    </row>
    <row r="1075" spans="1:1" x14ac:dyDescent="0.3">
      <c r="A1075" t="s">
        <v>310</v>
      </c>
    </row>
    <row r="1076" spans="1:1" x14ac:dyDescent="0.3">
      <c r="A1076" t="s">
        <v>268</v>
      </c>
    </row>
    <row r="1077" spans="1:1" x14ac:dyDescent="0.3">
      <c r="A1077" t="s">
        <v>311</v>
      </c>
    </row>
    <row r="1078" spans="1:1" x14ac:dyDescent="0.3">
      <c r="A1078" t="s">
        <v>395</v>
      </c>
    </row>
    <row r="1079" spans="1:1" x14ac:dyDescent="0.3">
      <c r="A1079" t="s">
        <v>548</v>
      </c>
    </row>
    <row r="1080" spans="1:1" x14ac:dyDescent="0.3">
      <c r="A1080" t="s">
        <v>358</v>
      </c>
    </row>
    <row r="1081" spans="1:1" x14ac:dyDescent="0.3">
      <c r="A1081" t="s">
        <v>315</v>
      </c>
    </row>
    <row r="1082" spans="1:1" x14ac:dyDescent="0.3">
      <c r="A1082" t="s">
        <v>605</v>
      </c>
    </row>
    <row r="1084" spans="1:1" x14ac:dyDescent="0.3">
      <c r="A1084" t="s">
        <v>268</v>
      </c>
    </row>
    <row r="1085" spans="1:1" x14ac:dyDescent="0.3">
      <c r="A1085" t="s">
        <v>317</v>
      </c>
    </row>
    <row r="1086" spans="1:1" x14ac:dyDescent="0.3">
      <c r="A1086" t="s">
        <v>268</v>
      </c>
    </row>
    <row r="1087" spans="1:1" x14ac:dyDescent="0.3">
      <c r="A1087" t="s">
        <v>360</v>
      </c>
    </row>
    <row r="1088" spans="1:1" x14ac:dyDescent="0.3">
      <c r="A1088" t="s">
        <v>435</v>
      </c>
    </row>
    <row r="1089" spans="1:1" x14ac:dyDescent="0.3">
      <c r="A1089" t="s">
        <v>505</v>
      </c>
    </row>
    <row r="1090" spans="1:1" x14ac:dyDescent="0.3">
      <c r="A1090" t="s">
        <v>321</v>
      </c>
    </row>
    <row r="1091" spans="1:1" x14ac:dyDescent="0.3">
      <c r="A1091" t="s">
        <v>402</v>
      </c>
    </row>
    <row r="1092" spans="1:1" x14ac:dyDescent="0.3">
      <c r="A1092" t="s">
        <v>438</v>
      </c>
    </row>
    <row r="1094" spans="1:1" x14ac:dyDescent="0.3">
      <c r="A1094" t="s">
        <v>366</v>
      </c>
    </row>
    <row r="1095" spans="1:1" x14ac:dyDescent="0.3">
      <c r="A1095" t="s">
        <v>367</v>
      </c>
    </row>
    <row r="1097" spans="1:1" x14ac:dyDescent="0.3">
      <c r="A1097" t="s">
        <v>606</v>
      </c>
    </row>
    <row r="1098" spans="1:1" x14ac:dyDescent="0.3">
      <c r="A1098" t="s">
        <v>607</v>
      </c>
    </row>
    <row r="1102" spans="1:1" x14ac:dyDescent="0.3">
      <c r="A1102" t="s">
        <v>266</v>
      </c>
    </row>
    <row r="1104" spans="1:1" x14ac:dyDescent="0.3">
      <c r="A1104" t="s">
        <v>267</v>
      </c>
    </row>
    <row r="1105" spans="1:1" x14ac:dyDescent="0.3">
      <c r="A1105" t="s">
        <v>266</v>
      </c>
    </row>
    <row r="1107" spans="1:1" x14ac:dyDescent="0.3">
      <c r="A1107" t="s">
        <v>267</v>
      </c>
    </row>
    <row r="1108" spans="1:1" x14ac:dyDescent="0.3">
      <c r="A1108" t="s">
        <v>266</v>
      </c>
    </row>
    <row r="1110" spans="1:1" x14ac:dyDescent="0.3">
      <c r="A1110" t="s">
        <v>267</v>
      </c>
    </row>
    <row r="1111" spans="1:1" x14ac:dyDescent="0.3">
      <c r="A1111" t="s">
        <v>266</v>
      </c>
    </row>
    <row r="1113" spans="1:1" x14ac:dyDescent="0.3">
      <c r="A1113" t="s">
        <v>267</v>
      </c>
    </row>
    <row r="1114" spans="1:1" x14ac:dyDescent="0.3">
      <c r="A1114" t="s">
        <v>266</v>
      </c>
    </row>
    <row r="1116" spans="1:1" x14ac:dyDescent="0.3">
      <c r="A1116" t="s">
        <v>267</v>
      </c>
    </row>
    <row r="1117" spans="1:1" x14ac:dyDescent="0.3">
      <c r="A1117" t="s">
        <v>266</v>
      </c>
    </row>
    <row r="1119" spans="1:1" x14ac:dyDescent="0.3">
      <c r="A1119" t="s">
        <v>267</v>
      </c>
    </row>
    <row r="1120" spans="1:1" x14ac:dyDescent="0.3">
      <c r="A1120" t="s">
        <v>266</v>
      </c>
    </row>
    <row r="1122" spans="1:1" x14ac:dyDescent="0.3">
      <c r="A1122" t="s">
        <v>267</v>
      </c>
    </row>
    <row r="1123" spans="1:1" x14ac:dyDescent="0.3">
      <c r="A1123" t="s">
        <v>266</v>
      </c>
    </row>
    <row r="1125" spans="1:1" x14ac:dyDescent="0.3">
      <c r="A1125" t="s">
        <v>267</v>
      </c>
    </row>
    <row r="1126" spans="1:1" x14ac:dyDescent="0.3">
      <c r="A1126" t="s">
        <v>266</v>
      </c>
    </row>
    <row r="1128" spans="1:1" x14ac:dyDescent="0.3">
      <c r="A1128" t="s">
        <v>267</v>
      </c>
    </row>
    <row r="1129" spans="1:1" x14ac:dyDescent="0.3">
      <c r="A1129" t="s">
        <v>266</v>
      </c>
    </row>
    <row r="1131" spans="1:1" x14ac:dyDescent="0.3">
      <c r="A1131" t="s">
        <v>267</v>
      </c>
    </row>
    <row r="1132" spans="1:1" x14ac:dyDescent="0.3">
      <c r="A1132" t="s">
        <v>266</v>
      </c>
    </row>
    <row r="1134" spans="1:1" x14ac:dyDescent="0.3">
      <c r="A1134" t="s">
        <v>267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B2" s="2">
        <v>1</v>
      </c>
      <c r="C2" s="2" t="s">
        <v>47</v>
      </c>
      <c r="D2" s="2">
        <v>2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256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B3" s="2">
        <v>1</v>
      </c>
      <c r="C3" s="2" t="s">
        <v>47</v>
      </c>
      <c r="D3" s="2">
        <v>0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B4" s="2">
        <v>2</v>
      </c>
      <c r="C4" s="2" t="s">
        <v>47</v>
      </c>
      <c r="D4" s="2">
        <v>1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B5" s="2">
        <v>2</v>
      </c>
      <c r="C5" s="2" t="s">
        <v>47</v>
      </c>
      <c r="D5" s="2">
        <v>2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B6" s="2">
        <v>1</v>
      </c>
      <c r="C6" s="2" t="s">
        <v>47</v>
      </c>
      <c r="D6" s="2">
        <v>1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B7" s="2">
        <v>1</v>
      </c>
      <c r="C7" s="2" t="s">
        <v>47</v>
      </c>
      <c r="D7" s="2">
        <v>0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  <c r="V36"/>
    </row>
    <row r="37" spans="1:22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22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Jean Carlos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Jean Carlos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Jean Carlos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Jean Carlos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tabSelected="1"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257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Sérginho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Sérginho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Sérginho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Sérginho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611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Mateus Aires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Mateus Aires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Mateus Aires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Mateus Aires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259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Macélio Henrique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Macélio Henrique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Macélio Henrique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Macélio Henrique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62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Macélio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Macélio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Macélio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Macélio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260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Mateus Ferreira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Mateus Ferreira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Mateus Ferreira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Mateus Ferreira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261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Julio Santos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Julio Santos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Julio Santos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Julio Santos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262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Naldinho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Naldinho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Naldinho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Naldinho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263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Juninho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Juninho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Juninho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Juninho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264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Joseir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Joseir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Joseir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Joseir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76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Ivani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Ivani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Ivani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Ivani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265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Manoel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Manoel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Manoel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Manoel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64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Gabriel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Gabriel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Gabriel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Gabriel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608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Marcel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Marcel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Marcel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Marcel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67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Luana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Luana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Luana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Luana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26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3" customWidth="1"/>
    <col min="2" max="4" width="5.6640625" style="2" customWidth="1"/>
    <col min="5" max="5" width="17.6640625" style="14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51</v>
      </c>
      <c r="B1" s="170"/>
      <c r="C1" s="170"/>
      <c r="D1" s="170"/>
      <c r="E1" s="170"/>
      <c r="K1" s="167" t="s">
        <v>51</v>
      </c>
      <c r="L1" s="167"/>
      <c r="M1" s="167"/>
      <c r="N1" s="167"/>
      <c r="O1" s="167"/>
    </row>
    <row r="2" spans="1:56" x14ac:dyDescent="0.3">
      <c r="A2" s="13" t="str">
        <f>K2</f>
        <v>Al Ahly</v>
      </c>
      <c r="C2" s="2" t="s">
        <v>47</v>
      </c>
      <c r="E2" s="14" t="str">
        <f>O2</f>
        <v>Inter Miami</v>
      </c>
      <c r="J2" s="178" t="str">
        <f>IF(Tabela!F3="","",Tabela!F3)</f>
        <v/>
      </c>
      <c r="K2" s="2" t="str">
        <f>Tabela!A3</f>
        <v>Al Ahly</v>
      </c>
      <c r="L2" s="2">
        <f>Tabela!B3</f>
        <v>1</v>
      </c>
      <c r="M2" s="2" t="str">
        <f>Tabela!C3</f>
        <v>x</v>
      </c>
      <c r="N2" s="2">
        <f>Tabela!D3</f>
        <v>1</v>
      </c>
      <c r="O2" s="2" t="str">
        <f>Tabela!E3</f>
        <v>Inter Miami</v>
      </c>
      <c r="W2" s="144" t="s">
        <v>609</v>
      </c>
      <c r="X2" s="144"/>
      <c r="Y2" s="144"/>
      <c r="Z2" s="144"/>
      <c r="AA2" s="144"/>
      <c r="AB2" s="144"/>
      <c r="AC2" s="144"/>
      <c r="AD2" s="144"/>
      <c r="AE2" s="144"/>
    </row>
    <row r="3" spans="1:56" x14ac:dyDescent="0.3">
      <c r="A3" s="13" t="str">
        <f t="shared" ref="A3:A7" si="0">K3</f>
        <v>Palmeiras</v>
      </c>
      <c r="C3" s="2" t="s">
        <v>47</v>
      </c>
      <c r="E3" s="14" t="str">
        <f t="shared" ref="E3:E7" si="1">O3</f>
        <v>Porto</v>
      </c>
      <c r="J3" s="178" t="s">
        <v>255</v>
      </c>
      <c r="K3" s="2" t="str">
        <f>Tabela!A4</f>
        <v>Palmeiras</v>
      </c>
      <c r="L3" s="2">
        <f>Tabela!B4</f>
        <v>2</v>
      </c>
      <c r="M3" s="2" t="str">
        <f>Tabela!C4</f>
        <v>x</v>
      </c>
      <c r="N3" s="2">
        <f>Tabela!D4</f>
        <v>2</v>
      </c>
      <c r="O3" s="2" t="str">
        <f>Tabela!E4</f>
        <v>Porto</v>
      </c>
      <c r="W3" s="144"/>
      <c r="X3" s="144"/>
      <c r="Y3" s="144"/>
      <c r="Z3" s="144"/>
      <c r="AA3" s="144"/>
      <c r="AB3" s="144"/>
      <c r="AC3" s="144"/>
      <c r="AD3" s="144"/>
      <c r="AE3" s="144"/>
    </row>
    <row r="4" spans="1:56" x14ac:dyDescent="0.3">
      <c r="A4" s="13" t="str">
        <f t="shared" si="0"/>
        <v>Palmeiras</v>
      </c>
      <c r="C4" s="2" t="s">
        <v>47</v>
      </c>
      <c r="E4" s="14" t="str">
        <f t="shared" si="1"/>
        <v>Al Ahly</v>
      </c>
      <c r="J4" s="178" t="s">
        <v>255</v>
      </c>
      <c r="K4" s="2" t="str">
        <f>Tabela!A5</f>
        <v>Palmeiras</v>
      </c>
      <c r="L4" s="2">
        <f>Tabela!B5</f>
        <v>3</v>
      </c>
      <c r="M4" s="2" t="str">
        <f>Tabela!C5</f>
        <v>x</v>
      </c>
      <c r="N4" s="2">
        <f>Tabela!D5</f>
        <v>3</v>
      </c>
      <c r="O4" s="2" t="str">
        <f>Tabela!E5</f>
        <v>Al Ahly</v>
      </c>
      <c r="W4" s="144"/>
      <c r="X4" s="144"/>
      <c r="Y4" s="144"/>
      <c r="Z4" s="144"/>
      <c r="AA4" s="144"/>
      <c r="AB4" s="144"/>
      <c r="AC4" s="144"/>
      <c r="AD4" s="144"/>
      <c r="AE4" s="144"/>
    </row>
    <row r="5" spans="1:56" x14ac:dyDescent="0.3">
      <c r="A5" s="13" t="str">
        <f t="shared" si="0"/>
        <v>Inter Miami</v>
      </c>
      <c r="C5" s="2" t="s">
        <v>47</v>
      </c>
      <c r="E5" s="14" t="str">
        <f t="shared" si="1"/>
        <v>Porto</v>
      </c>
      <c r="J5" s="178" t="s">
        <v>255</v>
      </c>
      <c r="K5" s="2" t="str">
        <f>Tabela!A6</f>
        <v>Inter Miami</v>
      </c>
      <c r="L5" s="2">
        <f>Tabela!B6</f>
        <v>1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144"/>
      <c r="X5" s="144"/>
      <c r="Y5" s="144"/>
      <c r="Z5" s="144"/>
      <c r="AA5" s="144"/>
      <c r="AB5" s="144"/>
      <c r="AC5" s="144"/>
      <c r="AD5" s="144"/>
      <c r="AE5" s="144"/>
    </row>
    <row r="6" spans="1:56" x14ac:dyDescent="0.3">
      <c r="A6" s="13" t="str">
        <f t="shared" si="0"/>
        <v>Inter Miami</v>
      </c>
      <c r="C6" s="2" t="s">
        <v>47</v>
      </c>
      <c r="E6" s="14" t="str">
        <f t="shared" si="1"/>
        <v>Palmeiras</v>
      </c>
      <c r="J6" s="178" t="s">
        <v>255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144"/>
      <c r="X6" s="144"/>
      <c r="Y6" s="144"/>
      <c r="Z6" s="144"/>
      <c r="AA6" s="144"/>
      <c r="AB6" s="144"/>
      <c r="AC6" s="144"/>
      <c r="AD6" s="144"/>
      <c r="AE6" s="144"/>
    </row>
    <row r="7" spans="1:56" x14ac:dyDescent="0.3">
      <c r="A7" s="13" t="str">
        <f t="shared" si="0"/>
        <v>Porto</v>
      </c>
      <c r="C7" s="2" t="s">
        <v>47</v>
      </c>
      <c r="E7" s="14" t="str">
        <f t="shared" si="1"/>
        <v>Al Ahly</v>
      </c>
      <c r="J7" s="178" t="s">
        <v>255</v>
      </c>
      <c r="K7" s="2" t="str">
        <f>Tabela!A8</f>
        <v>Porto</v>
      </c>
      <c r="L7" s="2">
        <f>Tabela!B8</f>
        <v>3</v>
      </c>
      <c r="M7" s="2" t="str">
        <f>Tabela!C8</f>
        <v>x</v>
      </c>
      <c r="N7" s="2">
        <f>Tabela!D8</f>
        <v>3</v>
      </c>
      <c r="O7" s="2" t="str">
        <f>Tabela!E8</f>
        <v>Al Ahly</v>
      </c>
    </row>
    <row r="8" spans="1:56" x14ac:dyDescent="0.3">
      <c r="A8" s="170" t="s">
        <v>58</v>
      </c>
      <c r="B8" s="170"/>
      <c r="C8" s="170"/>
      <c r="D8" s="170"/>
      <c r="E8" s="170"/>
      <c r="J8" s="178" t="str">
        <f>IF(Tabela!F9="","",Tabela!F9)</f>
        <v/>
      </c>
      <c r="K8" s="167" t="s">
        <v>58</v>
      </c>
      <c r="L8" s="167"/>
      <c r="M8" s="167"/>
      <c r="N8" s="167"/>
      <c r="O8" s="167"/>
    </row>
    <row r="9" spans="1:56" x14ac:dyDescent="0.3">
      <c r="A9" s="13" t="str">
        <f>K9</f>
        <v>PSG</v>
      </c>
      <c r="C9" s="2" t="s">
        <v>47</v>
      </c>
      <c r="E9" s="14" t="str">
        <f>O9</f>
        <v>Atlético de Madrid</v>
      </c>
      <c r="J9" s="178" t="s">
        <v>255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46" t="s">
        <v>59</v>
      </c>
      <c r="R9" s="146"/>
      <c r="S9" s="146"/>
      <c r="T9" s="146"/>
      <c r="U9" s="146"/>
      <c r="W9" s="73" t="s">
        <v>115</v>
      </c>
      <c r="X9" s="73"/>
      <c r="Y9" s="73"/>
      <c r="Z9" s="73"/>
      <c r="AA9" s="73"/>
      <c r="AB9" s="73"/>
      <c r="AC9" s="73"/>
      <c r="AD9" s="73"/>
      <c r="AE9" s="73"/>
    </row>
    <row r="10" spans="1:56" x14ac:dyDescent="0.3">
      <c r="A10" s="13" t="str">
        <f t="shared" ref="A10:A14" si="2">K10</f>
        <v>Botafogo</v>
      </c>
      <c r="C10" s="2" t="s">
        <v>47</v>
      </c>
      <c r="E10" s="14" t="str">
        <f t="shared" ref="E10:E14" si="3">O10</f>
        <v>Seattle Sounders</v>
      </c>
      <c r="J10" s="178" t="s">
        <v>255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46"/>
      <c r="R10" s="146"/>
      <c r="S10" s="146"/>
      <c r="T10" s="146"/>
      <c r="U10" s="146"/>
      <c r="W10" s="73"/>
      <c r="X10" s="73"/>
      <c r="Y10" s="73"/>
      <c r="AC10" s="73"/>
      <c r="AD10" s="73"/>
      <c r="AE10" s="73"/>
    </row>
    <row r="11" spans="1:56" x14ac:dyDescent="0.3">
      <c r="A11" s="13" t="str">
        <f t="shared" si="2"/>
        <v>Seattle Sounders</v>
      </c>
      <c r="C11" s="2" t="s">
        <v>47</v>
      </c>
      <c r="E11" s="14" t="str">
        <f t="shared" si="3"/>
        <v>Atlético de Madrid</v>
      </c>
      <c r="J11" s="178" t="s">
        <v>255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45">
        <f>SUM(H2:H82)</f>
        <v>0</v>
      </c>
      <c r="R11" s="145"/>
      <c r="S11" s="145"/>
      <c r="T11" s="145"/>
      <c r="U11" s="145"/>
      <c r="W11" s="73"/>
      <c r="X11" s="73"/>
      <c r="Y11" s="73"/>
      <c r="AC11" s="73"/>
      <c r="AD11" s="73"/>
      <c r="AE11" s="73"/>
    </row>
    <row r="12" spans="1:56" x14ac:dyDescent="0.3">
      <c r="A12" s="13" t="str">
        <f t="shared" si="2"/>
        <v>PSG</v>
      </c>
      <c r="C12" s="2" t="s">
        <v>47</v>
      </c>
      <c r="E12" s="14" t="str">
        <f t="shared" si="3"/>
        <v>Botafogo</v>
      </c>
      <c r="J12" s="178" t="s">
        <v>255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45"/>
      <c r="R12" s="145"/>
      <c r="S12" s="145"/>
      <c r="T12" s="145"/>
      <c r="U12" s="145"/>
      <c r="W12" s="73"/>
      <c r="X12" s="73"/>
      <c r="Y12" s="73"/>
      <c r="AC12" s="73"/>
      <c r="AD12" s="73"/>
      <c r="AE12" s="73"/>
    </row>
    <row r="13" spans="1:56" x14ac:dyDescent="0.3">
      <c r="A13" s="13" t="str">
        <f t="shared" si="2"/>
        <v>Seattle Sounders</v>
      </c>
      <c r="C13" s="2" t="s">
        <v>47</v>
      </c>
      <c r="E13" s="14" t="str">
        <f t="shared" si="3"/>
        <v>PSG</v>
      </c>
      <c r="J13" s="178" t="s">
        <v>255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45"/>
      <c r="R13" s="145"/>
      <c r="S13" s="145"/>
      <c r="T13" s="145"/>
      <c r="U13" s="145"/>
      <c r="W13" s="73"/>
      <c r="X13" s="73"/>
      <c r="Y13" s="73"/>
      <c r="AC13" s="73"/>
      <c r="AD13" s="73"/>
      <c r="AE13" s="73"/>
    </row>
    <row r="14" spans="1:56" x14ac:dyDescent="0.3">
      <c r="A14" s="13" t="str">
        <f t="shared" si="2"/>
        <v>Atlético de Madrid</v>
      </c>
      <c r="C14" s="2" t="s">
        <v>47</v>
      </c>
      <c r="E14" s="14" t="str">
        <f t="shared" si="3"/>
        <v>Botafogo</v>
      </c>
      <c r="J14" s="178" t="s">
        <v>255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45"/>
      <c r="R14" s="145"/>
      <c r="S14" s="145"/>
      <c r="T14" s="145"/>
      <c r="U14" s="145"/>
      <c r="W14" s="73"/>
      <c r="X14" s="73"/>
      <c r="Y14" s="73"/>
      <c r="AC14" s="73"/>
      <c r="AD14" s="73"/>
      <c r="AE14" s="73"/>
      <c r="BD14" s="1">
        <v>5</v>
      </c>
    </row>
    <row r="15" spans="1:56" x14ac:dyDescent="0.3">
      <c r="A15" s="170" t="s">
        <v>57</v>
      </c>
      <c r="B15" s="170"/>
      <c r="C15" s="170"/>
      <c r="D15" s="170"/>
      <c r="E15" s="170"/>
      <c r="K15" s="167" t="s">
        <v>57</v>
      </c>
      <c r="L15" s="167"/>
      <c r="M15" s="167"/>
      <c r="N15" s="167"/>
      <c r="O15" s="167"/>
      <c r="Q15" s="145"/>
      <c r="R15" s="145"/>
      <c r="S15" s="145"/>
      <c r="T15" s="145"/>
      <c r="U15" s="145"/>
      <c r="W15" s="73"/>
      <c r="X15" s="73"/>
      <c r="Y15" s="73"/>
      <c r="AC15" s="73"/>
      <c r="AD15" s="73"/>
      <c r="AE15" s="73"/>
    </row>
    <row r="16" spans="1:56" x14ac:dyDescent="0.3">
      <c r="A16" s="13" t="str">
        <f>K16</f>
        <v>Bayern de Munique</v>
      </c>
      <c r="C16" s="2" t="s">
        <v>47</v>
      </c>
      <c r="E16" s="14" t="str">
        <f>O16</f>
        <v>Auckland City</v>
      </c>
      <c r="J16" s="178" t="s">
        <v>255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73"/>
      <c r="X16" s="73"/>
      <c r="Y16" s="73"/>
      <c r="AC16" s="73"/>
      <c r="AD16" s="73"/>
      <c r="AE16" s="73"/>
    </row>
    <row r="17" spans="1:31" x14ac:dyDescent="0.3">
      <c r="A17" s="13" t="str">
        <f t="shared" ref="A17:A21" si="4">K17</f>
        <v>Boca Juniors</v>
      </c>
      <c r="C17" s="2" t="s">
        <v>47</v>
      </c>
      <c r="E17" s="14" t="str">
        <f t="shared" ref="E17:E21" si="5">O17</f>
        <v>Benfica</v>
      </c>
      <c r="J17" s="178" t="s">
        <v>255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73"/>
      <c r="X17" s="73"/>
      <c r="Y17" s="73"/>
      <c r="AC17" s="73"/>
      <c r="AD17" s="73"/>
      <c r="AE17" s="73"/>
    </row>
    <row r="18" spans="1:31" x14ac:dyDescent="0.3">
      <c r="A18" s="13" t="str">
        <f t="shared" si="4"/>
        <v>Benfica</v>
      </c>
      <c r="C18" s="2" t="s">
        <v>47</v>
      </c>
      <c r="E18" s="14" t="str">
        <f t="shared" si="5"/>
        <v>Auckland City</v>
      </c>
      <c r="J18" s="178" t="s">
        <v>255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73"/>
      <c r="X18" s="73"/>
      <c r="Y18" s="73"/>
      <c r="AC18" s="73"/>
      <c r="AD18" s="73"/>
      <c r="AE18" s="73"/>
    </row>
    <row r="19" spans="1:31" x14ac:dyDescent="0.3">
      <c r="A19" s="13" t="str">
        <f t="shared" si="4"/>
        <v>Bayern de Munique</v>
      </c>
      <c r="C19" s="2" t="s">
        <v>47</v>
      </c>
      <c r="E19" s="14" t="str">
        <f t="shared" si="5"/>
        <v>Boca Juniors</v>
      </c>
      <c r="J19" s="178" t="s">
        <v>255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33"/>
      <c r="R19" s="33"/>
      <c r="S19" s="33"/>
      <c r="T19" s="33"/>
      <c r="U19" s="33"/>
      <c r="W19" s="73"/>
      <c r="X19" s="73"/>
      <c r="Y19" s="73"/>
      <c r="AC19" s="73"/>
      <c r="AD19" s="73"/>
      <c r="AE19" s="73"/>
    </row>
    <row r="20" spans="1:31" x14ac:dyDescent="0.3">
      <c r="A20" s="13" t="str">
        <f t="shared" si="4"/>
        <v>Benfica</v>
      </c>
      <c r="C20" s="2" t="s">
        <v>47</v>
      </c>
      <c r="E20" s="14" t="str">
        <f t="shared" si="5"/>
        <v>Bayern de Munique</v>
      </c>
      <c r="J20" s="178" t="s">
        <v>255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73"/>
      <c r="X20" s="73"/>
      <c r="Y20" s="73"/>
      <c r="AC20" s="73"/>
      <c r="AD20" s="73"/>
      <c r="AE20" s="73"/>
    </row>
    <row r="21" spans="1:31" x14ac:dyDescent="0.3">
      <c r="A21" s="13" t="str">
        <f t="shared" si="4"/>
        <v>Auckland City</v>
      </c>
      <c r="C21" s="2" t="s">
        <v>47</v>
      </c>
      <c r="E21" s="14" t="str">
        <f t="shared" si="5"/>
        <v>Boca Juniors</v>
      </c>
      <c r="J21" s="178" t="s">
        <v>255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43" t="s">
        <v>40</v>
      </c>
      <c r="R21" s="143"/>
      <c r="S21" s="169" t="s">
        <v>8</v>
      </c>
      <c r="T21" s="169"/>
      <c r="U21" s="169" t="s">
        <v>7</v>
      </c>
      <c r="V21" s="169"/>
      <c r="W21" s="73"/>
      <c r="X21" s="73"/>
      <c r="Y21" s="73"/>
      <c r="AC21" s="73"/>
      <c r="AD21" s="73"/>
      <c r="AE21" s="73"/>
    </row>
    <row r="22" spans="1:31" x14ac:dyDescent="0.3">
      <c r="A22" s="170" t="s">
        <v>56</v>
      </c>
      <c r="B22" s="170"/>
      <c r="C22" s="170"/>
      <c r="D22" s="170"/>
      <c r="E22" s="170"/>
      <c r="J22" s="178" t="str">
        <f>IF(Tabela!F23="","",Tabela!F23)</f>
        <v/>
      </c>
      <c r="K22" s="167" t="s">
        <v>56</v>
      </c>
      <c r="L22" s="167"/>
      <c r="M22" s="167"/>
      <c r="N22" s="167"/>
      <c r="O22" s="167"/>
      <c r="Q22" s="143" t="s">
        <v>39</v>
      </c>
      <c r="R22" s="143"/>
      <c r="S22" s="168" t="s">
        <v>118</v>
      </c>
      <c r="T22" s="168"/>
      <c r="U22" s="168" t="s">
        <v>119</v>
      </c>
      <c r="V22" s="168"/>
      <c r="W22" s="73"/>
      <c r="X22" s="73"/>
      <c r="Y22" s="73"/>
      <c r="AC22" s="73"/>
      <c r="AD22" s="73"/>
      <c r="AE22" s="73"/>
    </row>
    <row r="23" spans="1:31" x14ac:dyDescent="0.3">
      <c r="A23" s="13" t="str">
        <f>K23</f>
        <v>Chelsea</v>
      </c>
      <c r="C23" s="2" t="s">
        <v>47</v>
      </c>
      <c r="E23" s="14" t="str">
        <f>O23</f>
        <v>Los Angeles FC</v>
      </c>
      <c r="J23" s="178" t="s">
        <v>255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73"/>
      <c r="X23" s="73"/>
      <c r="Y23" s="73"/>
      <c r="AC23" s="73"/>
      <c r="AD23" s="73"/>
      <c r="AE23" s="73"/>
    </row>
    <row r="24" spans="1:31" x14ac:dyDescent="0.3">
      <c r="A24" s="13" t="str">
        <f t="shared" ref="A24:A28" si="6">K24</f>
        <v>Flamengo</v>
      </c>
      <c r="C24" s="2" t="s">
        <v>47</v>
      </c>
      <c r="E24" s="14" t="str">
        <f t="shared" ref="E24:E28" si="7">O24</f>
        <v>Espérance</v>
      </c>
      <c r="J24" s="178" t="s">
        <v>255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73"/>
      <c r="X24" s="73"/>
      <c r="Y24" s="73"/>
      <c r="AC24" s="73"/>
      <c r="AD24" s="73"/>
      <c r="AE24" s="73"/>
    </row>
    <row r="25" spans="1:31" x14ac:dyDescent="0.3">
      <c r="A25" s="13" t="str">
        <f t="shared" si="6"/>
        <v>Flamengo</v>
      </c>
      <c r="C25" s="2" t="s">
        <v>47</v>
      </c>
      <c r="E25" s="14" t="str">
        <f t="shared" si="7"/>
        <v>Chelsea</v>
      </c>
      <c r="J25" s="178" t="s">
        <v>255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73"/>
      <c r="X25" s="73"/>
      <c r="Y25" s="73"/>
      <c r="AC25" s="73"/>
      <c r="AD25" s="73"/>
      <c r="AE25" s="73"/>
    </row>
    <row r="26" spans="1:31" x14ac:dyDescent="0.3">
      <c r="A26" s="13" t="str">
        <f t="shared" si="6"/>
        <v>Los Angeles FC</v>
      </c>
      <c r="C26" s="2" t="s">
        <v>47</v>
      </c>
      <c r="E26" s="14" t="str">
        <f t="shared" si="7"/>
        <v>Espérance</v>
      </c>
      <c r="J26" s="178" t="s">
        <v>255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73"/>
      <c r="X26" s="73"/>
      <c r="Y26" s="73"/>
      <c r="AC26" s="73"/>
      <c r="AD26" s="73"/>
      <c r="AE26" s="73"/>
    </row>
    <row r="27" spans="1:31" x14ac:dyDescent="0.3">
      <c r="A27" s="13" t="str">
        <f t="shared" si="6"/>
        <v>Espérance</v>
      </c>
      <c r="C27" s="2" t="s">
        <v>47</v>
      </c>
      <c r="E27" s="14" t="str">
        <f t="shared" si="7"/>
        <v>Chelsea</v>
      </c>
      <c r="J27" s="178" t="s">
        <v>255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73"/>
      <c r="X27" s="73"/>
      <c r="Y27" s="73"/>
      <c r="Z27" s="44"/>
      <c r="AC27" s="73"/>
      <c r="AD27" s="73"/>
      <c r="AE27" s="73"/>
    </row>
    <row r="28" spans="1:31" x14ac:dyDescent="0.3">
      <c r="A28" s="13" t="str">
        <f t="shared" si="6"/>
        <v>Los Angeles FC</v>
      </c>
      <c r="C28" s="2" t="s">
        <v>47</v>
      </c>
      <c r="E28" s="14" t="str">
        <f t="shared" si="7"/>
        <v>Flamengo</v>
      </c>
      <c r="J28" s="178" t="s">
        <v>255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73"/>
      <c r="X28" s="73"/>
      <c r="Y28" s="73"/>
      <c r="AC28" s="73"/>
      <c r="AD28" s="73"/>
      <c r="AE28" s="73"/>
    </row>
    <row r="29" spans="1:31" x14ac:dyDescent="0.3">
      <c r="A29" s="170" t="s">
        <v>55</v>
      </c>
      <c r="B29" s="170"/>
      <c r="C29" s="170"/>
      <c r="D29" s="170"/>
      <c r="E29" s="170"/>
      <c r="K29" s="167" t="s">
        <v>55</v>
      </c>
      <c r="L29" s="167"/>
      <c r="M29" s="167"/>
      <c r="N29" s="167"/>
      <c r="O29" s="167"/>
      <c r="W29" s="73"/>
      <c r="X29" s="73"/>
      <c r="Y29" s="73"/>
      <c r="AC29" s="73"/>
      <c r="AD29" s="73"/>
      <c r="AE29" s="73"/>
    </row>
    <row r="30" spans="1:31" x14ac:dyDescent="0.3">
      <c r="A30" s="13" t="str">
        <f>K30</f>
        <v>River Plate</v>
      </c>
      <c r="C30" s="2" t="s">
        <v>47</v>
      </c>
      <c r="E30" s="14" t="str">
        <f>O30</f>
        <v>Urawa Reds</v>
      </c>
      <c r="J30" s="178" t="s">
        <v>255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45"/>
      <c r="R30" s="45"/>
      <c r="W30" s="73"/>
      <c r="X30" s="73"/>
      <c r="Y30" s="73"/>
      <c r="AC30" s="73"/>
      <c r="AD30" s="73"/>
      <c r="AE30" s="73"/>
    </row>
    <row r="31" spans="1:31" x14ac:dyDescent="0.3">
      <c r="A31" s="13" t="str">
        <f t="shared" ref="A31:A35" si="8">K31</f>
        <v>Monterrey</v>
      </c>
      <c r="C31" s="2" t="s">
        <v>47</v>
      </c>
      <c r="E31" s="14" t="str">
        <f t="shared" ref="E31:E35" si="9">O31</f>
        <v>Inter de Milão</v>
      </c>
      <c r="J31" s="178" t="s">
        <v>255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45"/>
      <c r="R31" s="45"/>
    </row>
    <row r="32" spans="1:31" x14ac:dyDescent="0.3">
      <c r="A32" s="13" t="str">
        <f t="shared" si="8"/>
        <v>Inter de Milão</v>
      </c>
      <c r="C32" s="2" t="s">
        <v>47</v>
      </c>
      <c r="E32" s="14" t="str">
        <f t="shared" si="9"/>
        <v>Urawa Reds</v>
      </c>
      <c r="J32" s="178" t="s">
        <v>255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3" t="str">
        <f t="shared" si="8"/>
        <v>River Plate</v>
      </c>
      <c r="C33" s="2" t="s">
        <v>47</v>
      </c>
      <c r="E33" s="14" t="str">
        <f t="shared" si="9"/>
        <v>Monterrey</v>
      </c>
      <c r="J33" s="178" t="s">
        <v>255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3" t="str">
        <f t="shared" si="8"/>
        <v>Inter de Milão</v>
      </c>
      <c r="C34" s="2" t="s">
        <v>47</v>
      </c>
      <c r="E34" s="14" t="str">
        <f t="shared" si="9"/>
        <v>River Plate</v>
      </c>
      <c r="J34" s="178" t="s">
        <v>255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3" t="str">
        <f t="shared" si="8"/>
        <v>Urawa Reds</v>
      </c>
      <c r="C35" s="2" t="s">
        <v>47</v>
      </c>
      <c r="E35" s="14" t="str">
        <f t="shared" si="9"/>
        <v>Monterrey</v>
      </c>
      <c r="J35" s="178" t="s">
        <v>255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54</v>
      </c>
      <c r="B36" s="170"/>
      <c r="C36" s="170"/>
      <c r="D36" s="170"/>
      <c r="E36" s="170"/>
      <c r="J36" s="178" t="str">
        <f>IF(Tabela!L9="","",Tabela!L9)</f>
        <v/>
      </c>
      <c r="K36" s="167" t="s">
        <v>54</v>
      </c>
      <c r="L36" s="167"/>
      <c r="M36" s="167"/>
      <c r="N36" s="167"/>
      <c r="O36" s="167"/>
    </row>
    <row r="37" spans="1:15" x14ac:dyDescent="0.3">
      <c r="A37" s="13" t="str">
        <f>K37</f>
        <v>Fluminense</v>
      </c>
      <c r="C37" s="2" t="s">
        <v>47</v>
      </c>
      <c r="E37" s="14" t="str">
        <f>O37</f>
        <v>Borussisa Dortmund</v>
      </c>
      <c r="J37" s="178" t="s">
        <v>255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3" t="str">
        <f t="shared" ref="A38:A42" si="10">K38</f>
        <v>Ulsan HD</v>
      </c>
      <c r="C38" s="2" t="s">
        <v>47</v>
      </c>
      <c r="E38" s="14" t="str">
        <f t="shared" ref="E38:E42" si="11">O38</f>
        <v>Mamelodi Sundowns</v>
      </c>
      <c r="J38" s="178" t="s">
        <v>255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3" t="str">
        <f t="shared" si="10"/>
        <v>Mamelodi Sundowns</v>
      </c>
      <c r="C39" s="2" t="s">
        <v>47</v>
      </c>
      <c r="E39" s="14" t="str">
        <f t="shared" si="11"/>
        <v>Borussisa Dortmund</v>
      </c>
      <c r="J39" s="178" t="s">
        <v>255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3" t="str">
        <f t="shared" si="10"/>
        <v>Fluminense</v>
      </c>
      <c r="C40" s="2" t="s">
        <v>47</v>
      </c>
      <c r="E40" s="14" t="str">
        <f t="shared" si="11"/>
        <v>Ulsan HD</v>
      </c>
      <c r="J40" s="178" t="s">
        <v>255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3" t="str">
        <f t="shared" si="10"/>
        <v>Mamelodi Sundowns</v>
      </c>
      <c r="C41" s="2" t="s">
        <v>47</v>
      </c>
      <c r="E41" s="14" t="str">
        <f t="shared" si="11"/>
        <v>Fluminense</v>
      </c>
      <c r="J41" s="178" t="s">
        <v>255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3" t="str">
        <f t="shared" si="10"/>
        <v>Borussia Dortmund</v>
      </c>
      <c r="C42" s="2" t="s">
        <v>47</v>
      </c>
      <c r="E42" s="14" t="str">
        <f t="shared" si="11"/>
        <v>Ulsan HD</v>
      </c>
      <c r="J42" s="178" t="s">
        <v>255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53</v>
      </c>
      <c r="B43" s="170"/>
      <c r="C43" s="170"/>
      <c r="D43" s="170"/>
      <c r="E43" s="170"/>
      <c r="J43" s="178" t="str">
        <f>IF(Tabela!L16="","",Tabela!L16)</f>
        <v/>
      </c>
      <c r="K43" s="167" t="s">
        <v>53</v>
      </c>
      <c r="L43" s="167"/>
      <c r="M43" s="167"/>
      <c r="N43" s="167"/>
      <c r="O43" s="167"/>
    </row>
    <row r="44" spans="1:15" x14ac:dyDescent="0.3">
      <c r="A44" s="13" t="str">
        <f>K44</f>
        <v>Manchester City</v>
      </c>
      <c r="C44" s="2" t="s">
        <v>47</v>
      </c>
      <c r="E44" s="14" t="str">
        <f>O44</f>
        <v>Wydad Casablanca</v>
      </c>
      <c r="J44" s="178" t="s">
        <v>255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3" t="str">
        <f t="shared" ref="A45:A49" si="12">K45</f>
        <v>Al-Ain</v>
      </c>
      <c r="C45" s="2" t="s">
        <v>47</v>
      </c>
      <c r="E45" s="14" t="str">
        <f t="shared" ref="E45:E49" si="13">O45</f>
        <v>Juventus</v>
      </c>
      <c r="J45" s="178" t="s">
        <v>255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3" t="str">
        <f t="shared" si="12"/>
        <v>Juventus</v>
      </c>
      <c r="C46" s="2" t="s">
        <v>47</v>
      </c>
      <c r="E46" s="14" t="str">
        <f t="shared" si="13"/>
        <v>Wydad Casablanca</v>
      </c>
      <c r="J46" s="178" t="s">
        <v>255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3" t="str">
        <f t="shared" si="12"/>
        <v>Manchester City</v>
      </c>
      <c r="C47" s="2" t="s">
        <v>47</v>
      </c>
      <c r="E47" s="14" t="str">
        <f t="shared" si="13"/>
        <v>Al-Ain</v>
      </c>
      <c r="J47" s="178" t="s">
        <v>255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3" t="str">
        <f t="shared" si="12"/>
        <v>Juventus</v>
      </c>
      <c r="C48" s="2" t="s">
        <v>47</v>
      </c>
      <c r="E48" s="14" t="str">
        <f t="shared" si="13"/>
        <v>Manchester City</v>
      </c>
      <c r="J48" s="178" t="s">
        <v>255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3" t="str">
        <f t="shared" si="12"/>
        <v>Wydad Casablanca</v>
      </c>
      <c r="C49" s="2" t="s">
        <v>47</v>
      </c>
      <c r="E49" s="14" t="str">
        <f t="shared" si="13"/>
        <v>Al-Ain</v>
      </c>
      <c r="J49" s="178" t="s">
        <v>255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52</v>
      </c>
      <c r="B50" s="170"/>
      <c r="C50" s="170"/>
      <c r="D50" s="170"/>
      <c r="E50" s="170"/>
      <c r="J50" s="178" t="str">
        <f>IF(Tabela!L23="","",Tabela!L23)</f>
        <v/>
      </c>
      <c r="K50" s="167" t="s">
        <v>52</v>
      </c>
      <c r="L50" s="167"/>
      <c r="M50" s="167"/>
      <c r="N50" s="167"/>
      <c r="O50" s="167"/>
    </row>
    <row r="51" spans="1:15" x14ac:dyDescent="0.3">
      <c r="A51" s="13" t="str">
        <f>K51</f>
        <v>Real Madrid</v>
      </c>
      <c r="C51" s="2" t="s">
        <v>47</v>
      </c>
      <c r="E51" s="14" t="str">
        <f>O51</f>
        <v>Al-Hilal</v>
      </c>
      <c r="J51" s="178" t="s">
        <v>255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3" t="str">
        <f t="shared" ref="A52:A56" si="14">K52</f>
        <v>Pachuca</v>
      </c>
      <c r="C52" s="2" t="s">
        <v>47</v>
      </c>
      <c r="E52" s="14" t="str">
        <f t="shared" ref="E52:E56" si="15">O52</f>
        <v>RB Salzburg</v>
      </c>
      <c r="J52" s="178" t="s">
        <v>255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3" t="str">
        <f t="shared" si="14"/>
        <v>Real Madrid</v>
      </c>
      <c r="C53" s="2" t="s">
        <v>47</v>
      </c>
      <c r="E53" s="14" t="str">
        <f t="shared" si="15"/>
        <v>Pachuca</v>
      </c>
      <c r="J53" s="178" t="s">
        <v>255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3" t="str">
        <f t="shared" si="14"/>
        <v>RB Salzburg</v>
      </c>
      <c r="C54" s="2" t="s">
        <v>47</v>
      </c>
      <c r="E54" s="14" t="str">
        <f t="shared" si="15"/>
        <v>Al-Hilal</v>
      </c>
      <c r="J54" s="178" t="s">
        <v>255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3" t="str">
        <f t="shared" si="14"/>
        <v>RB Salzburg</v>
      </c>
      <c r="C55" s="2" t="s">
        <v>47</v>
      </c>
      <c r="E55" s="14" t="str">
        <f t="shared" si="15"/>
        <v>Real Madrid</v>
      </c>
      <c r="J55" s="178" t="s">
        <v>255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3" t="str">
        <f t="shared" si="14"/>
        <v>Al-Hilal</v>
      </c>
      <c r="C56" s="2" t="s">
        <v>47</v>
      </c>
      <c r="E56" s="14" t="str">
        <f t="shared" si="15"/>
        <v>Pachuca</v>
      </c>
      <c r="J56" s="178" t="s">
        <v>255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49" t="s">
        <v>162</v>
      </c>
    </row>
    <row r="58" spans="1:15" x14ac:dyDescent="0.3">
      <c r="A58" s="172" t="str">
        <f>_xlfn.CONCAT(W2,A57)</f>
        <v>Julio Oliveira - Oitavas de Final</v>
      </c>
      <c r="B58" s="172"/>
      <c r="C58" s="172"/>
      <c r="D58" s="172"/>
      <c r="E58" s="172"/>
      <c r="K58" s="173" t="s">
        <v>161</v>
      </c>
      <c r="L58" s="173"/>
      <c r="M58" s="173"/>
      <c r="N58" s="173"/>
      <c r="O58" s="173"/>
    </row>
    <row r="59" spans="1:15" x14ac:dyDescent="0.3">
      <c r="A59" s="161">
        <f>K59</f>
        <v>0</v>
      </c>
      <c r="B59" s="162"/>
      <c r="C59" s="162" t="s">
        <v>47</v>
      </c>
      <c r="D59" s="162"/>
      <c r="E59" s="163">
        <f>O59</f>
        <v>0</v>
      </c>
      <c r="J59" s="178" t="s">
        <v>255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161">
        <f t="shared" ref="A60:A66" si="16">K60</f>
        <v>0</v>
      </c>
      <c r="B60" s="162"/>
      <c r="C60" s="162" t="s">
        <v>47</v>
      </c>
      <c r="D60" s="162"/>
      <c r="E60" s="163">
        <f t="shared" ref="E60:E66" si="17">O60</f>
        <v>0</v>
      </c>
      <c r="J60" s="178" t="s">
        <v>255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161">
        <f t="shared" si="16"/>
        <v>0</v>
      </c>
      <c r="B61" s="162"/>
      <c r="C61" s="162" t="s">
        <v>47</v>
      </c>
      <c r="D61" s="162"/>
      <c r="E61" s="163">
        <f t="shared" si="17"/>
        <v>0</v>
      </c>
      <c r="J61" s="178" t="s">
        <v>255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161">
        <f t="shared" si="16"/>
        <v>0</v>
      </c>
      <c r="B62" s="162"/>
      <c r="C62" s="162" t="s">
        <v>47</v>
      </c>
      <c r="D62" s="162"/>
      <c r="E62" s="163">
        <f t="shared" si="17"/>
        <v>0</v>
      </c>
      <c r="J62" s="178" t="s">
        <v>255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161">
        <f t="shared" si="16"/>
        <v>0</v>
      </c>
      <c r="B63" s="162"/>
      <c r="C63" s="162" t="s">
        <v>47</v>
      </c>
      <c r="D63" s="162"/>
      <c r="E63" s="163">
        <f t="shared" si="17"/>
        <v>0</v>
      </c>
      <c r="J63" s="178" t="s">
        <v>255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161">
        <f t="shared" si="16"/>
        <v>0</v>
      </c>
      <c r="B64" s="162"/>
      <c r="C64" s="162" t="s">
        <v>47</v>
      </c>
      <c r="D64" s="162"/>
      <c r="E64" s="163">
        <f t="shared" si="17"/>
        <v>0</v>
      </c>
      <c r="J64" s="178" t="s">
        <v>255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161">
        <f t="shared" si="16"/>
        <v>0</v>
      </c>
      <c r="B65" s="162"/>
      <c r="C65" s="162" t="s">
        <v>47</v>
      </c>
      <c r="D65" s="162"/>
      <c r="E65" s="163">
        <f t="shared" si="17"/>
        <v>0</v>
      </c>
      <c r="J65" s="178" t="s">
        <v>255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161">
        <f t="shared" si="16"/>
        <v>0</v>
      </c>
      <c r="B66" s="162"/>
      <c r="C66" s="162" t="s">
        <v>47</v>
      </c>
      <c r="D66" s="162"/>
      <c r="E66" s="163">
        <f t="shared" si="17"/>
        <v>0</v>
      </c>
      <c r="J66" s="178" t="s">
        <v>255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51" t="s">
        <v>163</v>
      </c>
      <c r="B67" s="52"/>
      <c r="C67" s="52"/>
      <c r="D67" s="52"/>
      <c r="E67" s="53"/>
      <c r="J67" s="178" t="s">
        <v>255</v>
      </c>
    </row>
    <row r="68" spans="1:15" x14ac:dyDescent="0.3">
      <c r="A68" s="172" t="str">
        <f>_xlfn.CONCAT(W2,A67)</f>
        <v>Julio Oliveira - Quartas de Final</v>
      </c>
      <c r="B68" s="172"/>
      <c r="C68" s="172"/>
      <c r="D68" s="172"/>
      <c r="E68" s="172"/>
      <c r="J68" s="178" t="str">
        <f>IF(Tabela!F41="","",Tabela!F41)</f>
        <v/>
      </c>
      <c r="K68" s="173" t="s">
        <v>130</v>
      </c>
      <c r="L68" s="173"/>
      <c r="M68" s="173"/>
      <c r="N68" s="173"/>
      <c r="O68" s="173"/>
    </row>
    <row r="69" spans="1:15" x14ac:dyDescent="0.3">
      <c r="A69" s="161" t="str">
        <f>K69</f>
        <v/>
      </c>
      <c r="B69" s="162"/>
      <c r="C69" s="162" t="s">
        <v>47</v>
      </c>
      <c r="D69" s="162"/>
      <c r="E69" s="163" t="str">
        <f>O69</f>
        <v/>
      </c>
      <c r="J69" s="178" t="s">
        <v>255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161" t="str">
        <f t="shared" ref="A70:A72" si="18">K70</f>
        <v/>
      </c>
      <c r="B70" s="162"/>
      <c r="C70" s="162" t="s">
        <v>47</v>
      </c>
      <c r="D70" s="162"/>
      <c r="E70" s="163" t="str">
        <f t="shared" ref="E70:E72" si="19">O70</f>
        <v/>
      </c>
      <c r="J70" s="178" t="s">
        <v>255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161" t="str">
        <f t="shared" si="18"/>
        <v/>
      </c>
      <c r="B71" s="162"/>
      <c r="C71" s="162" t="s">
        <v>47</v>
      </c>
      <c r="D71" s="162"/>
      <c r="E71" s="163" t="str">
        <f t="shared" si="19"/>
        <v/>
      </c>
      <c r="J71" s="178" t="s">
        <v>255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161" t="str">
        <f t="shared" si="18"/>
        <v/>
      </c>
      <c r="B72" s="162"/>
      <c r="C72" s="162" t="s">
        <v>47</v>
      </c>
      <c r="D72" s="162"/>
      <c r="E72" s="163" t="str">
        <f t="shared" si="19"/>
        <v/>
      </c>
      <c r="J72" s="178" t="s">
        <v>255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164" t="s">
        <v>168</v>
      </c>
      <c r="B73" s="165"/>
      <c r="C73" s="165"/>
      <c r="D73" s="165"/>
      <c r="E73" s="166"/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1" t="str">
        <f>_xlfn.CONCAT(W$2,A73)</f>
        <v>Julio Oliveira - Semi Final</v>
      </c>
      <c r="B74" s="171"/>
      <c r="C74" s="171"/>
      <c r="D74" s="171"/>
      <c r="E74" s="171"/>
      <c r="J74" s="178" t="str">
        <f>IF(Tabela!F47="","",Tabela!F47)</f>
        <v/>
      </c>
      <c r="K74" s="173" t="s">
        <v>131</v>
      </c>
      <c r="L74" s="173"/>
      <c r="M74" s="173"/>
      <c r="N74" s="173"/>
      <c r="O74" s="173"/>
    </row>
    <row r="75" spans="1:15" x14ac:dyDescent="0.3">
      <c r="A75" s="13" t="str">
        <f>K75</f>
        <v/>
      </c>
      <c r="C75" s="2" t="s">
        <v>47</v>
      </c>
      <c r="E75" s="14" t="str">
        <f>O75</f>
        <v/>
      </c>
      <c r="J75" s="178" t="s">
        <v>255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3" t="str">
        <f>K76</f>
        <v/>
      </c>
      <c r="C76" s="2" t="s">
        <v>47</v>
      </c>
      <c r="E76" s="14" t="str">
        <f>O76</f>
        <v/>
      </c>
      <c r="J76" s="178" t="s">
        <v>255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49" t="s">
        <v>169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1" t="str">
        <f>_xlfn.CONCAT(W$2,A77)</f>
        <v>Julio Oliveira - Final</v>
      </c>
      <c r="B78" s="171"/>
      <c r="C78" s="171"/>
      <c r="D78" s="171"/>
      <c r="E78" s="171"/>
      <c r="J78" s="178" t="str">
        <f>IF(Tabela!F54="","",Tabela!F54)</f>
        <v/>
      </c>
      <c r="K78" s="173" t="s">
        <v>133</v>
      </c>
      <c r="L78" s="173"/>
      <c r="M78" s="173"/>
      <c r="N78" s="173"/>
      <c r="O78" s="173"/>
    </row>
    <row r="79" spans="1:15" x14ac:dyDescent="0.3">
      <c r="A79" s="13" t="str">
        <f>K79</f>
        <v/>
      </c>
      <c r="C79" s="2" t="s">
        <v>47</v>
      </c>
      <c r="E79" s="14" t="str">
        <f>O79</f>
        <v/>
      </c>
      <c r="J79" s="178" t="s">
        <v>255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4" t="s">
        <v>164</v>
      </c>
      <c r="J81" s="178" t="s">
        <v>255</v>
      </c>
    </row>
    <row r="82" spans="5:10" x14ac:dyDescent="0.3">
      <c r="E82" s="14" t="s">
        <v>117</v>
      </c>
      <c r="J82" s="178" t="s">
        <v>255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Placar Exato</vt:lpstr>
      <vt:lpstr>Campeão</vt:lpstr>
      <vt:lpstr>Classificação</vt:lpstr>
      <vt:lpstr>Oitavas</vt:lpstr>
      <vt:lpstr>Tabela</vt:lpstr>
      <vt:lpstr>Ivan</vt:lpstr>
      <vt:lpstr>INPUTAR</vt:lpstr>
      <vt:lpstr>Jean</vt:lpstr>
      <vt:lpstr>Sérginho</vt:lpstr>
      <vt:lpstr>Mateus Aires</vt:lpstr>
      <vt:lpstr>Macélio Henrique</vt:lpstr>
      <vt:lpstr>Macélio</vt:lpstr>
      <vt:lpstr>Mateus Ferreira</vt:lpstr>
      <vt:lpstr>Julio Santos</vt:lpstr>
      <vt:lpstr>Naldinho</vt:lpstr>
      <vt:lpstr>Juninho</vt:lpstr>
      <vt:lpstr>Joseir</vt:lpstr>
      <vt:lpstr>Ivani</vt:lpstr>
      <vt:lpstr>Manoel</vt:lpstr>
      <vt:lpstr>Gabriel</vt:lpstr>
      <vt:lpstr>Marcel</vt:lpstr>
      <vt:lpstr>Luana</vt:lpstr>
      <vt:lpstr>Julio Oliveira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2025-06-15T01:33:53Z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