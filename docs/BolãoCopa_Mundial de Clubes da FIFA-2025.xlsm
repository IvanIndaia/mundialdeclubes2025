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AD744040-6837-4BF3-A744-57EF6D7092D3}" xr6:coauthVersionLast="47" xr6:coauthVersionMax="47" xr10:uidLastSave="{00000000-0000-0000-0000-000000000000}"/>
  <bookViews>
    <workbookView xWindow="-120" yWindow="-120" windowWidth="20730" windowHeight="11160" tabRatio="791" firstSheet="1" activeTab="1" xr2:uid="{779A00DC-359A-4F42-A9CB-BE9275E20E22}"/>
  </bookViews>
  <sheets>
    <sheet name="Placar Exato" sheetId="41" r:id="rId1"/>
    <sheet name="Classificação" sheetId="31" r:id="rId2"/>
    <sheet name="Oitavas" sheetId="42" state="hidden" r:id="rId3"/>
    <sheet name="Tabela" sheetId="1" r:id="rId4"/>
    <sheet name="Campeão" sheetId="43" r:id="rId5"/>
    <sheet name="Macélio" sheetId="11" r:id="rId6"/>
    <sheet name="Ivan Alex_1" sheetId="3" r:id="rId7"/>
    <sheet name="Bruno Flores" sheetId="6" r:id="rId8"/>
    <sheet name="Ivan Alex_2" sheetId="10" r:id="rId9"/>
    <sheet name="Gabriel" sheetId="28" r:id="rId10"/>
    <sheet name="Luis" sheetId="29" r:id="rId11"/>
    <sheet name="Juninho_1" sheetId="17" r:id="rId12"/>
    <sheet name="Juninho_2" sheetId="18" r:id="rId13"/>
    <sheet name="Luana" sheetId="12" r:id="rId14"/>
    <sheet name="Mácio" sheetId="16" r:id="rId15"/>
    <sheet name="Alex" sheetId="13" r:id="rId16"/>
    <sheet name="Jean" sheetId="19" r:id="rId17"/>
    <sheet name="Robert" sheetId="20" r:id="rId18"/>
    <sheet name="Roberto" sheetId="21" r:id="rId19"/>
    <sheet name="Andréia" sheetId="22" r:id="rId20"/>
    <sheet name="Joseir_1" sheetId="23" r:id="rId21"/>
    <sheet name="Joseir_2" sheetId="24" r:id="rId22"/>
    <sheet name="Ivani" sheetId="25" r:id="rId23"/>
    <sheet name="Josimar" sheetId="26" r:id="rId24"/>
    <sheet name="Julio" sheetId="27" r:id="rId25"/>
    <sheet name="Talita" sheetId="30" r:id="rId26"/>
    <sheet name="Anderson" sheetId="32" r:id="rId27"/>
    <sheet name="Cléofaz" sheetId="34" r:id="rId2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6" i="10" l="1"/>
  <c r="A76" i="10"/>
  <c r="E75" i="10"/>
  <c r="A75" i="10"/>
  <c r="A58" i="3"/>
  <c r="E82" i="34"/>
  <c r="A82" i="34"/>
  <c r="E79" i="34"/>
  <c r="A79" i="34"/>
  <c r="E76" i="34"/>
  <c r="A76" i="34"/>
  <c r="A75" i="34"/>
  <c r="E75" i="34"/>
  <c r="E82" i="32"/>
  <c r="A82" i="32"/>
  <c r="E79" i="32"/>
  <c r="A79" i="32"/>
  <c r="E76" i="32"/>
  <c r="A76" i="32"/>
  <c r="A75" i="32"/>
  <c r="E75" i="32"/>
  <c r="E82" i="30"/>
  <c r="A82" i="30"/>
  <c r="E79" i="30"/>
  <c r="A79" i="30"/>
  <c r="E76" i="30"/>
  <c r="A76" i="30"/>
  <c r="A75" i="30"/>
  <c r="E75" i="30"/>
  <c r="E82" i="27"/>
  <c r="A82" i="27"/>
  <c r="E79" i="27"/>
  <c r="A79" i="27"/>
  <c r="E76" i="27"/>
  <c r="A76" i="27"/>
  <c r="A75" i="27"/>
  <c r="E75" i="27"/>
  <c r="E82" i="26"/>
  <c r="A82" i="26"/>
  <c r="E79" i="26"/>
  <c r="A79" i="26"/>
  <c r="E76" i="26"/>
  <c r="A76" i="26"/>
  <c r="A75" i="26"/>
  <c r="E75" i="26"/>
  <c r="E82" i="25"/>
  <c r="A82" i="25"/>
  <c r="E79" i="25"/>
  <c r="A79" i="25"/>
  <c r="E76" i="25"/>
  <c r="A76" i="25"/>
  <c r="A75" i="25"/>
  <c r="E75" i="25"/>
  <c r="E82" i="24"/>
  <c r="A82" i="24"/>
  <c r="E79" i="24"/>
  <c r="A79" i="24"/>
  <c r="E76" i="24"/>
  <c r="A76" i="24"/>
  <c r="A75" i="24"/>
  <c r="E75" i="24"/>
  <c r="E82" i="23"/>
  <c r="A82" i="23"/>
  <c r="E79" i="23"/>
  <c r="A79" i="23"/>
  <c r="E76" i="23"/>
  <c r="A76" i="23"/>
  <c r="A75" i="23"/>
  <c r="E75" i="23"/>
  <c r="E82" i="22"/>
  <c r="A82" i="22"/>
  <c r="E79" i="22"/>
  <c r="A79" i="22"/>
  <c r="E76" i="22"/>
  <c r="A76" i="22"/>
  <c r="A75" i="22"/>
  <c r="E75" i="22"/>
  <c r="E82" i="21"/>
  <c r="A82" i="21"/>
  <c r="E79" i="21"/>
  <c r="A79" i="21"/>
  <c r="E76" i="21"/>
  <c r="A76" i="21"/>
  <c r="A75" i="21"/>
  <c r="E75" i="21"/>
  <c r="E82" i="20"/>
  <c r="A82" i="20"/>
  <c r="E79" i="20"/>
  <c r="A79" i="20"/>
  <c r="E76" i="20"/>
  <c r="A76" i="20"/>
  <c r="A75" i="20"/>
  <c r="E75" i="20"/>
  <c r="E82" i="19"/>
  <c r="A82" i="19"/>
  <c r="E79" i="19"/>
  <c r="A79" i="19"/>
  <c r="E76" i="19"/>
  <c r="A76" i="19"/>
  <c r="A75" i="19"/>
  <c r="E75" i="19"/>
  <c r="E82" i="13"/>
  <c r="A82" i="13"/>
  <c r="E79" i="13"/>
  <c r="A79" i="13"/>
  <c r="E76" i="13"/>
  <c r="A76" i="13"/>
  <c r="A75" i="13"/>
  <c r="E75" i="13"/>
  <c r="E82" i="16"/>
  <c r="A82" i="16"/>
  <c r="E79" i="16"/>
  <c r="A79" i="16"/>
  <c r="E76" i="16"/>
  <c r="A76" i="16"/>
  <c r="A75" i="16"/>
  <c r="E75" i="16"/>
  <c r="E82" i="12"/>
  <c r="A82" i="12"/>
  <c r="E79" i="12"/>
  <c r="A79" i="12"/>
  <c r="E76" i="12"/>
  <c r="A76" i="12"/>
  <c r="A75" i="12"/>
  <c r="E75" i="12"/>
  <c r="E82" i="18"/>
  <c r="A82" i="18"/>
  <c r="E79" i="18"/>
  <c r="A79" i="18"/>
  <c r="E76" i="18"/>
  <c r="A76" i="18"/>
  <c r="A75" i="18"/>
  <c r="E75" i="18"/>
  <c r="E82" i="17"/>
  <c r="A82" i="17"/>
  <c r="E79" i="17"/>
  <c r="A79" i="17"/>
  <c r="E76" i="17"/>
  <c r="A76" i="17"/>
  <c r="A75" i="17"/>
  <c r="E75" i="17"/>
  <c r="E82" i="29"/>
  <c r="A82" i="29"/>
  <c r="E79" i="29"/>
  <c r="A79" i="29"/>
  <c r="E76" i="29"/>
  <c r="A76" i="29"/>
  <c r="A75" i="29"/>
  <c r="E75" i="29"/>
  <c r="E82" i="28"/>
  <c r="A82" i="28"/>
  <c r="E79" i="28"/>
  <c r="A79" i="28"/>
  <c r="E76" i="28"/>
  <c r="A76" i="28"/>
  <c r="A75" i="28"/>
  <c r="E75" i="28"/>
  <c r="E82" i="10"/>
  <c r="A82" i="10"/>
  <c r="E79" i="10"/>
  <c r="A79" i="10"/>
  <c r="E82" i="6"/>
  <c r="A82" i="6"/>
  <c r="E79" i="6"/>
  <c r="A79" i="6"/>
  <c r="E76" i="6"/>
  <c r="A76" i="6"/>
  <c r="A75" i="6"/>
  <c r="E75" i="6"/>
  <c r="E82" i="3"/>
  <c r="A82" i="3"/>
  <c r="E79" i="3"/>
  <c r="A79" i="3"/>
  <c r="E76" i="3"/>
  <c r="A76" i="3"/>
  <c r="A75" i="3"/>
  <c r="E75" i="3"/>
  <c r="E82" i="11"/>
  <c r="A82" i="11"/>
  <c r="E79" i="11"/>
  <c r="A79" i="11"/>
  <c r="E76" i="11"/>
  <c r="A76" i="11"/>
  <c r="A75" i="11"/>
  <c r="E75" i="11"/>
  <c r="O75" i="11"/>
  <c r="Q11" i="3"/>
  <c r="Q11" i="10"/>
  <c r="P6" i="31" s="1"/>
  <c r="Q11" i="6"/>
  <c r="P5" i="31" s="1"/>
  <c r="Q11" i="11"/>
  <c r="L3" i="31" s="1"/>
  <c r="Q11" i="34"/>
  <c r="L18" i="31" s="1"/>
  <c r="Q11" i="32"/>
  <c r="P24" i="31" s="1"/>
  <c r="Q11" i="30"/>
  <c r="L15" i="31" s="1"/>
  <c r="Q11" i="27"/>
  <c r="P22" i="31" s="1"/>
  <c r="Q11" i="26"/>
  <c r="L25" i="31" s="1"/>
  <c r="Q11" i="25"/>
  <c r="L22" i="31" s="1"/>
  <c r="Q11" i="24"/>
  <c r="P19" i="31" s="1"/>
  <c r="Q11" i="23"/>
  <c r="L24" i="31" s="1"/>
  <c r="Q11" i="22"/>
  <c r="P17" i="31" s="1"/>
  <c r="Q11" i="21"/>
  <c r="L20" i="31" s="1"/>
  <c r="Q11" i="20"/>
  <c r="P15" i="31" s="1"/>
  <c r="Q11" i="19"/>
  <c r="L10" i="31" s="1"/>
  <c r="Q11" i="13"/>
  <c r="L21" i="31" s="1"/>
  <c r="Q11" i="16"/>
  <c r="L7" i="31" s="1"/>
  <c r="Q11" i="12"/>
  <c r="L5" i="31" s="1"/>
  <c r="Q11" i="18"/>
  <c r="L17" i="31" s="1"/>
  <c r="Q11" i="17"/>
  <c r="P9" i="31" s="1"/>
  <c r="Q11" i="29"/>
  <c r="P8" i="31" s="1"/>
  <c r="Q11" i="28"/>
  <c r="P7" i="31" s="1"/>
  <c r="J65" i="34"/>
  <c r="J66" i="34"/>
  <c r="J67" i="34"/>
  <c r="J68" i="34"/>
  <c r="J69" i="34"/>
  <c r="J70" i="34"/>
  <c r="J71" i="34"/>
  <c r="J72" i="34"/>
  <c r="J73" i="34"/>
  <c r="J74" i="34"/>
  <c r="J75" i="34"/>
  <c r="J76" i="34"/>
  <c r="J77" i="34"/>
  <c r="J78" i="34"/>
  <c r="J80" i="34"/>
  <c r="J81" i="34"/>
  <c r="J82" i="34"/>
  <c r="J65" i="32"/>
  <c r="J66" i="32"/>
  <c r="J67" i="32"/>
  <c r="J68" i="32"/>
  <c r="J69" i="32"/>
  <c r="J70" i="32"/>
  <c r="J71" i="32"/>
  <c r="J72" i="32"/>
  <c r="J73" i="32"/>
  <c r="J74" i="32"/>
  <c r="J75" i="32"/>
  <c r="J76" i="32"/>
  <c r="J77" i="32"/>
  <c r="J78" i="32"/>
  <c r="J79" i="32"/>
  <c r="J80" i="32"/>
  <c r="J81" i="32"/>
  <c r="J82" i="32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65" i="26"/>
  <c r="J66" i="26"/>
  <c r="J67" i="26"/>
  <c r="J68" i="26"/>
  <c r="J69" i="26"/>
  <c r="J70" i="26"/>
  <c r="J71" i="26"/>
  <c r="J72" i="26"/>
  <c r="J73" i="26"/>
  <c r="J74" i="26"/>
  <c r="J75" i="26"/>
  <c r="J76" i="26"/>
  <c r="J77" i="26"/>
  <c r="J78" i="26"/>
  <c r="J79" i="26"/>
  <c r="J80" i="26"/>
  <c r="J81" i="26"/>
  <c r="J82" i="26"/>
  <c r="J65" i="25"/>
  <c r="J66" i="25"/>
  <c r="J67" i="25"/>
  <c r="J68" i="25"/>
  <c r="J69" i="25"/>
  <c r="J70" i="25"/>
  <c r="J71" i="25"/>
  <c r="J72" i="25"/>
  <c r="J73" i="25"/>
  <c r="J74" i="25"/>
  <c r="J75" i="25"/>
  <c r="J76" i="25"/>
  <c r="J77" i="25"/>
  <c r="J78" i="25"/>
  <c r="J79" i="25"/>
  <c r="J80" i="25"/>
  <c r="J81" i="25"/>
  <c r="J82" i="25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80" i="20"/>
  <c r="J81" i="20"/>
  <c r="J82" i="20"/>
  <c r="J65" i="19"/>
  <c r="J66" i="19"/>
  <c r="J67" i="19"/>
  <c r="J68" i="19"/>
  <c r="J69" i="19"/>
  <c r="J70" i="19"/>
  <c r="J71" i="19"/>
  <c r="J72" i="19"/>
  <c r="J73" i="19"/>
  <c r="J74" i="19"/>
  <c r="J75" i="19"/>
  <c r="J76" i="19"/>
  <c r="J77" i="19"/>
  <c r="J78" i="19"/>
  <c r="J79" i="19"/>
  <c r="J80" i="19"/>
  <c r="J81" i="19"/>
  <c r="J82" i="19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80" i="18"/>
  <c r="J81" i="18"/>
  <c r="J82" i="18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80" i="17"/>
  <c r="J81" i="17"/>
  <c r="J82" i="17"/>
  <c r="J65" i="29"/>
  <c r="J66" i="29"/>
  <c r="J67" i="29"/>
  <c r="J68" i="29"/>
  <c r="J69" i="29"/>
  <c r="J70" i="29"/>
  <c r="J71" i="29"/>
  <c r="J72" i="29"/>
  <c r="J73" i="29"/>
  <c r="J74" i="29"/>
  <c r="J75" i="29"/>
  <c r="J76" i="29"/>
  <c r="J77" i="29"/>
  <c r="J78" i="29"/>
  <c r="J80" i="29"/>
  <c r="J81" i="29"/>
  <c r="J82" i="29"/>
  <c r="J65" i="28"/>
  <c r="J66" i="28"/>
  <c r="J67" i="28"/>
  <c r="J68" i="28"/>
  <c r="J69" i="28"/>
  <c r="J70" i="28"/>
  <c r="J71" i="28"/>
  <c r="J72" i="28"/>
  <c r="J73" i="28"/>
  <c r="J74" i="28"/>
  <c r="J75" i="28"/>
  <c r="J76" i="28"/>
  <c r="J77" i="28"/>
  <c r="J78" i="28"/>
  <c r="J79" i="28"/>
  <c r="J80" i="28"/>
  <c r="J81" i="28"/>
  <c r="J82" i="28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E72" i="34"/>
  <c r="A72" i="34"/>
  <c r="E69" i="34"/>
  <c r="A69" i="34"/>
  <c r="A81" i="34"/>
  <c r="A78" i="34"/>
  <c r="A74" i="34"/>
  <c r="K70" i="34"/>
  <c r="L70" i="34"/>
  <c r="M70" i="34"/>
  <c r="N70" i="34"/>
  <c r="O70" i="34"/>
  <c r="K71" i="34"/>
  <c r="L71" i="34"/>
  <c r="M71" i="34"/>
  <c r="N71" i="34"/>
  <c r="O71" i="34"/>
  <c r="K72" i="34"/>
  <c r="L72" i="34"/>
  <c r="M72" i="34"/>
  <c r="N72" i="34"/>
  <c r="O72" i="34"/>
  <c r="K73" i="34"/>
  <c r="L73" i="34"/>
  <c r="M73" i="34"/>
  <c r="N73" i="34"/>
  <c r="O73" i="34"/>
  <c r="K75" i="34"/>
  <c r="L75" i="34"/>
  <c r="M75" i="34"/>
  <c r="N75" i="34"/>
  <c r="O75" i="34"/>
  <c r="K76" i="34"/>
  <c r="L76" i="34"/>
  <c r="M76" i="34"/>
  <c r="N76" i="34"/>
  <c r="O76" i="34"/>
  <c r="K77" i="34"/>
  <c r="L77" i="34"/>
  <c r="M77" i="34"/>
  <c r="N77" i="34"/>
  <c r="O77" i="34"/>
  <c r="K79" i="34"/>
  <c r="L79" i="34"/>
  <c r="M79" i="34"/>
  <c r="N79" i="34"/>
  <c r="O79" i="34"/>
  <c r="K80" i="34"/>
  <c r="L80" i="34"/>
  <c r="M80" i="34"/>
  <c r="N80" i="34"/>
  <c r="O80" i="34"/>
  <c r="K82" i="34"/>
  <c r="L82" i="34"/>
  <c r="M82" i="34"/>
  <c r="N82" i="34"/>
  <c r="O82" i="34"/>
  <c r="L69" i="34"/>
  <c r="M69" i="34"/>
  <c r="N69" i="34"/>
  <c r="O69" i="34"/>
  <c r="K69" i="34"/>
  <c r="E72" i="32"/>
  <c r="A72" i="32"/>
  <c r="E69" i="32"/>
  <c r="A69" i="32"/>
  <c r="A81" i="32"/>
  <c r="A78" i="32"/>
  <c r="A74" i="32"/>
  <c r="K70" i="32"/>
  <c r="L70" i="32"/>
  <c r="M70" i="32"/>
  <c r="N70" i="32"/>
  <c r="O70" i="32"/>
  <c r="K71" i="32"/>
  <c r="L71" i="32"/>
  <c r="M71" i="32"/>
  <c r="N71" i="32"/>
  <c r="O71" i="32"/>
  <c r="K72" i="32"/>
  <c r="L72" i="32"/>
  <c r="M72" i="32"/>
  <c r="N72" i="32"/>
  <c r="O72" i="32"/>
  <c r="K73" i="32"/>
  <c r="L73" i="32"/>
  <c r="M73" i="32"/>
  <c r="N73" i="32"/>
  <c r="O73" i="32"/>
  <c r="K75" i="32"/>
  <c r="L75" i="32"/>
  <c r="M75" i="32"/>
  <c r="N75" i="32"/>
  <c r="O75" i="32"/>
  <c r="K76" i="32"/>
  <c r="L76" i="32"/>
  <c r="M76" i="32"/>
  <c r="N76" i="32"/>
  <c r="O76" i="32"/>
  <c r="K77" i="32"/>
  <c r="L77" i="32"/>
  <c r="M77" i="32"/>
  <c r="N77" i="32"/>
  <c r="O77" i="32"/>
  <c r="K79" i="32"/>
  <c r="L79" i="32"/>
  <c r="M79" i="32"/>
  <c r="N79" i="32"/>
  <c r="O79" i="32"/>
  <c r="K80" i="32"/>
  <c r="L80" i="32"/>
  <c r="M80" i="32"/>
  <c r="N80" i="32"/>
  <c r="O80" i="32"/>
  <c r="K82" i="32"/>
  <c r="L82" i="32"/>
  <c r="M82" i="32"/>
  <c r="N82" i="32"/>
  <c r="O82" i="32"/>
  <c r="L69" i="32"/>
  <c r="M69" i="32"/>
  <c r="N69" i="32"/>
  <c r="O69" i="32"/>
  <c r="K69" i="32"/>
  <c r="E72" i="30"/>
  <c r="A72" i="30"/>
  <c r="E69" i="30"/>
  <c r="A69" i="30"/>
  <c r="A81" i="30"/>
  <c r="A78" i="30"/>
  <c r="A74" i="30"/>
  <c r="K70" i="30"/>
  <c r="L70" i="30"/>
  <c r="M70" i="30"/>
  <c r="N70" i="30"/>
  <c r="O70" i="30"/>
  <c r="K71" i="30"/>
  <c r="L71" i="30"/>
  <c r="M71" i="30"/>
  <c r="N71" i="30"/>
  <c r="O71" i="30"/>
  <c r="K72" i="30"/>
  <c r="L72" i="30"/>
  <c r="M72" i="30"/>
  <c r="N72" i="30"/>
  <c r="O72" i="30"/>
  <c r="K73" i="30"/>
  <c r="L73" i="30"/>
  <c r="M73" i="30"/>
  <c r="N73" i="30"/>
  <c r="O73" i="30"/>
  <c r="K75" i="30"/>
  <c r="L75" i="30"/>
  <c r="M75" i="30"/>
  <c r="N75" i="30"/>
  <c r="O75" i="30"/>
  <c r="K76" i="30"/>
  <c r="L76" i="30"/>
  <c r="M76" i="30"/>
  <c r="N76" i="30"/>
  <c r="O76" i="30"/>
  <c r="K77" i="30"/>
  <c r="L77" i="30"/>
  <c r="M77" i="30"/>
  <c r="N77" i="30"/>
  <c r="O77" i="30"/>
  <c r="K79" i="30"/>
  <c r="L79" i="30"/>
  <c r="M79" i="30"/>
  <c r="N79" i="30"/>
  <c r="O79" i="30"/>
  <c r="K80" i="30"/>
  <c r="L80" i="30"/>
  <c r="M80" i="30"/>
  <c r="N80" i="30"/>
  <c r="O80" i="30"/>
  <c r="K82" i="30"/>
  <c r="L82" i="30"/>
  <c r="M82" i="30"/>
  <c r="N82" i="30"/>
  <c r="O82" i="30"/>
  <c r="L69" i="30"/>
  <c r="M69" i="30"/>
  <c r="N69" i="30"/>
  <c r="O69" i="30"/>
  <c r="K69" i="30"/>
  <c r="E72" i="27"/>
  <c r="A72" i="27"/>
  <c r="E69" i="27"/>
  <c r="A69" i="27"/>
  <c r="A81" i="27"/>
  <c r="A78" i="27"/>
  <c r="A74" i="27"/>
  <c r="K70" i="27"/>
  <c r="L70" i="27"/>
  <c r="M70" i="27"/>
  <c r="N70" i="27"/>
  <c r="O70" i="27"/>
  <c r="K71" i="27"/>
  <c r="L71" i="27"/>
  <c r="M71" i="27"/>
  <c r="N71" i="27"/>
  <c r="O71" i="27"/>
  <c r="K72" i="27"/>
  <c r="L72" i="27"/>
  <c r="M72" i="27"/>
  <c r="N72" i="27"/>
  <c r="O72" i="27"/>
  <c r="K73" i="27"/>
  <c r="L73" i="27"/>
  <c r="M73" i="27"/>
  <c r="N73" i="27"/>
  <c r="O73" i="27"/>
  <c r="K75" i="27"/>
  <c r="L75" i="27"/>
  <c r="M75" i="27"/>
  <c r="N75" i="27"/>
  <c r="O75" i="27"/>
  <c r="K76" i="27"/>
  <c r="L76" i="27"/>
  <c r="M76" i="27"/>
  <c r="N76" i="27"/>
  <c r="O76" i="27"/>
  <c r="K77" i="27"/>
  <c r="L77" i="27"/>
  <c r="M77" i="27"/>
  <c r="N77" i="27"/>
  <c r="O77" i="27"/>
  <c r="K79" i="27"/>
  <c r="L79" i="27"/>
  <c r="M79" i="27"/>
  <c r="N79" i="27"/>
  <c r="O79" i="27"/>
  <c r="K80" i="27"/>
  <c r="L80" i="27"/>
  <c r="M80" i="27"/>
  <c r="N80" i="27"/>
  <c r="O80" i="27"/>
  <c r="K82" i="27"/>
  <c r="L82" i="27"/>
  <c r="M82" i="27"/>
  <c r="N82" i="27"/>
  <c r="O82" i="27"/>
  <c r="L69" i="27"/>
  <c r="M69" i="27"/>
  <c r="N69" i="27"/>
  <c r="O69" i="27"/>
  <c r="K69" i="27"/>
  <c r="E72" i="26"/>
  <c r="A72" i="26"/>
  <c r="E69" i="26"/>
  <c r="A69" i="26"/>
  <c r="A81" i="26"/>
  <c r="A78" i="26"/>
  <c r="A74" i="26"/>
  <c r="K70" i="26"/>
  <c r="L70" i="26"/>
  <c r="M70" i="26"/>
  <c r="N70" i="26"/>
  <c r="O70" i="26"/>
  <c r="K71" i="26"/>
  <c r="L71" i="26"/>
  <c r="M71" i="26"/>
  <c r="N71" i="26"/>
  <c r="O71" i="26"/>
  <c r="K72" i="26"/>
  <c r="L72" i="26"/>
  <c r="M72" i="26"/>
  <c r="N72" i="26"/>
  <c r="O72" i="26"/>
  <c r="K73" i="26"/>
  <c r="L73" i="26"/>
  <c r="M73" i="26"/>
  <c r="N73" i="26"/>
  <c r="O73" i="26"/>
  <c r="K75" i="26"/>
  <c r="L75" i="26"/>
  <c r="M75" i="26"/>
  <c r="N75" i="26"/>
  <c r="O75" i="26"/>
  <c r="K76" i="26"/>
  <c r="L76" i="26"/>
  <c r="M76" i="26"/>
  <c r="N76" i="26"/>
  <c r="O76" i="26"/>
  <c r="K77" i="26"/>
  <c r="L77" i="26"/>
  <c r="M77" i="26"/>
  <c r="N77" i="26"/>
  <c r="O77" i="26"/>
  <c r="K79" i="26"/>
  <c r="L79" i="26"/>
  <c r="M79" i="26"/>
  <c r="N79" i="26"/>
  <c r="O79" i="26"/>
  <c r="K80" i="26"/>
  <c r="L80" i="26"/>
  <c r="M80" i="26"/>
  <c r="N80" i="26"/>
  <c r="O80" i="26"/>
  <c r="K82" i="26"/>
  <c r="L82" i="26"/>
  <c r="M82" i="26"/>
  <c r="N82" i="26"/>
  <c r="O82" i="26"/>
  <c r="L69" i="26"/>
  <c r="M69" i="26"/>
  <c r="N69" i="26"/>
  <c r="O69" i="26"/>
  <c r="K69" i="26"/>
  <c r="E72" i="25"/>
  <c r="A72" i="25"/>
  <c r="E69" i="25"/>
  <c r="A69" i="25"/>
  <c r="A81" i="25"/>
  <c r="A78" i="25"/>
  <c r="A74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9" i="25"/>
  <c r="L79" i="25"/>
  <c r="M79" i="25"/>
  <c r="N79" i="25"/>
  <c r="O79" i="25"/>
  <c r="K80" i="25"/>
  <c r="L80" i="25"/>
  <c r="M80" i="25"/>
  <c r="N80" i="25"/>
  <c r="O80" i="25"/>
  <c r="K82" i="25"/>
  <c r="L82" i="25"/>
  <c r="M82" i="25"/>
  <c r="N82" i="25"/>
  <c r="O82" i="25"/>
  <c r="L69" i="25"/>
  <c r="M69" i="25"/>
  <c r="N69" i="25"/>
  <c r="O69" i="25"/>
  <c r="K69" i="25"/>
  <c r="E72" i="24"/>
  <c r="A72" i="24"/>
  <c r="E69" i="24"/>
  <c r="A69" i="24"/>
  <c r="A81" i="24"/>
  <c r="A78" i="24"/>
  <c r="A74" i="24"/>
  <c r="K70" i="24"/>
  <c r="L70" i="24"/>
  <c r="M70" i="24"/>
  <c r="N70" i="24"/>
  <c r="O70" i="24"/>
  <c r="K71" i="24"/>
  <c r="L71" i="24"/>
  <c r="M71" i="24"/>
  <c r="N71" i="24"/>
  <c r="O71" i="24"/>
  <c r="K72" i="24"/>
  <c r="L72" i="24"/>
  <c r="M72" i="24"/>
  <c r="N72" i="24"/>
  <c r="O72" i="24"/>
  <c r="K73" i="24"/>
  <c r="L73" i="24"/>
  <c r="M73" i="24"/>
  <c r="N73" i="24"/>
  <c r="O73" i="24"/>
  <c r="K75" i="24"/>
  <c r="L75" i="24"/>
  <c r="M75" i="24"/>
  <c r="N75" i="24"/>
  <c r="O75" i="24"/>
  <c r="K76" i="24"/>
  <c r="L76" i="24"/>
  <c r="M76" i="24"/>
  <c r="N76" i="24"/>
  <c r="O76" i="24"/>
  <c r="K77" i="24"/>
  <c r="L77" i="24"/>
  <c r="M77" i="24"/>
  <c r="N77" i="24"/>
  <c r="O77" i="24"/>
  <c r="K79" i="24"/>
  <c r="L79" i="24"/>
  <c r="M79" i="24"/>
  <c r="N79" i="24"/>
  <c r="O79" i="24"/>
  <c r="K80" i="24"/>
  <c r="L80" i="24"/>
  <c r="M80" i="24"/>
  <c r="N80" i="24"/>
  <c r="O80" i="24"/>
  <c r="K82" i="24"/>
  <c r="L82" i="24"/>
  <c r="M82" i="24"/>
  <c r="N82" i="24"/>
  <c r="O82" i="24"/>
  <c r="L69" i="24"/>
  <c r="M69" i="24"/>
  <c r="N69" i="24"/>
  <c r="O69" i="24"/>
  <c r="K69" i="24"/>
  <c r="E72" i="23"/>
  <c r="A72" i="23"/>
  <c r="E69" i="23"/>
  <c r="A69" i="23"/>
  <c r="A81" i="23"/>
  <c r="A78" i="23"/>
  <c r="A74" i="23"/>
  <c r="K70" i="23"/>
  <c r="L70" i="23"/>
  <c r="M70" i="23"/>
  <c r="N70" i="23"/>
  <c r="O70" i="23"/>
  <c r="K71" i="23"/>
  <c r="L71" i="23"/>
  <c r="M71" i="23"/>
  <c r="N71" i="23"/>
  <c r="O71" i="23"/>
  <c r="K72" i="23"/>
  <c r="L72" i="23"/>
  <c r="M72" i="23"/>
  <c r="N72" i="23"/>
  <c r="O72" i="23"/>
  <c r="K73" i="23"/>
  <c r="L73" i="23"/>
  <c r="M73" i="23"/>
  <c r="N73" i="23"/>
  <c r="O73" i="23"/>
  <c r="K75" i="23"/>
  <c r="L75" i="23"/>
  <c r="M75" i="23"/>
  <c r="N75" i="23"/>
  <c r="O75" i="23"/>
  <c r="K76" i="23"/>
  <c r="L76" i="23"/>
  <c r="M76" i="23"/>
  <c r="N76" i="23"/>
  <c r="O76" i="23"/>
  <c r="K77" i="23"/>
  <c r="L77" i="23"/>
  <c r="M77" i="23"/>
  <c r="N77" i="23"/>
  <c r="O77" i="23"/>
  <c r="K79" i="23"/>
  <c r="L79" i="23"/>
  <c r="M79" i="23"/>
  <c r="N79" i="23"/>
  <c r="O79" i="23"/>
  <c r="K80" i="23"/>
  <c r="L80" i="23"/>
  <c r="M80" i="23"/>
  <c r="N80" i="23"/>
  <c r="O80" i="23"/>
  <c r="K82" i="23"/>
  <c r="L82" i="23"/>
  <c r="M82" i="23"/>
  <c r="N82" i="23"/>
  <c r="O82" i="23"/>
  <c r="L69" i="23"/>
  <c r="M69" i="23"/>
  <c r="N69" i="23"/>
  <c r="O69" i="23"/>
  <c r="K69" i="23"/>
  <c r="E72" i="22"/>
  <c r="A72" i="22"/>
  <c r="E69" i="22"/>
  <c r="A69" i="22"/>
  <c r="A81" i="22"/>
  <c r="A78" i="22"/>
  <c r="A74" i="22"/>
  <c r="K70" i="22"/>
  <c r="L70" i="22"/>
  <c r="M70" i="22"/>
  <c r="N70" i="22"/>
  <c r="O70" i="22"/>
  <c r="K71" i="22"/>
  <c r="L71" i="22"/>
  <c r="M71" i="22"/>
  <c r="N71" i="22"/>
  <c r="O71" i="22"/>
  <c r="K72" i="22"/>
  <c r="L72" i="22"/>
  <c r="M72" i="22"/>
  <c r="N72" i="22"/>
  <c r="O72" i="22"/>
  <c r="K73" i="22"/>
  <c r="L73" i="22"/>
  <c r="M73" i="22"/>
  <c r="N73" i="22"/>
  <c r="O73" i="22"/>
  <c r="K75" i="22"/>
  <c r="L75" i="22"/>
  <c r="M75" i="22"/>
  <c r="N75" i="22"/>
  <c r="O75" i="22"/>
  <c r="K76" i="22"/>
  <c r="L76" i="22"/>
  <c r="M76" i="22"/>
  <c r="N76" i="22"/>
  <c r="O76" i="22"/>
  <c r="K77" i="22"/>
  <c r="L77" i="22"/>
  <c r="M77" i="22"/>
  <c r="N77" i="22"/>
  <c r="O77" i="22"/>
  <c r="K79" i="22"/>
  <c r="L79" i="22"/>
  <c r="M79" i="22"/>
  <c r="N79" i="22"/>
  <c r="O79" i="22"/>
  <c r="K80" i="22"/>
  <c r="L80" i="22"/>
  <c r="M80" i="22"/>
  <c r="N80" i="22"/>
  <c r="O80" i="22"/>
  <c r="K82" i="22"/>
  <c r="L82" i="22"/>
  <c r="M82" i="22"/>
  <c r="N82" i="22"/>
  <c r="O82" i="22"/>
  <c r="L69" i="22"/>
  <c r="M69" i="22"/>
  <c r="N69" i="22"/>
  <c r="O69" i="22"/>
  <c r="K69" i="22"/>
  <c r="E72" i="21"/>
  <c r="A72" i="21"/>
  <c r="E69" i="21"/>
  <c r="A69" i="21"/>
  <c r="A81" i="21"/>
  <c r="A78" i="21"/>
  <c r="A74" i="21"/>
  <c r="K70" i="21"/>
  <c r="L70" i="21"/>
  <c r="M70" i="21"/>
  <c r="N70" i="21"/>
  <c r="O70" i="21"/>
  <c r="K71" i="21"/>
  <c r="L71" i="21"/>
  <c r="M71" i="21"/>
  <c r="N71" i="21"/>
  <c r="O71" i="21"/>
  <c r="K72" i="21"/>
  <c r="L72" i="21"/>
  <c r="M72" i="21"/>
  <c r="N72" i="21"/>
  <c r="O72" i="21"/>
  <c r="K73" i="21"/>
  <c r="L73" i="21"/>
  <c r="M73" i="21"/>
  <c r="N73" i="21"/>
  <c r="O73" i="21"/>
  <c r="K75" i="21"/>
  <c r="L75" i="21"/>
  <c r="M75" i="21"/>
  <c r="N75" i="21"/>
  <c r="O75" i="21"/>
  <c r="K76" i="21"/>
  <c r="L76" i="21"/>
  <c r="M76" i="21"/>
  <c r="N76" i="21"/>
  <c r="O76" i="21"/>
  <c r="K77" i="21"/>
  <c r="L77" i="21"/>
  <c r="M77" i="21"/>
  <c r="N77" i="21"/>
  <c r="O77" i="21"/>
  <c r="K79" i="21"/>
  <c r="L79" i="21"/>
  <c r="M79" i="21"/>
  <c r="N79" i="21"/>
  <c r="O79" i="21"/>
  <c r="K80" i="21"/>
  <c r="L80" i="21"/>
  <c r="M80" i="21"/>
  <c r="N80" i="21"/>
  <c r="O80" i="21"/>
  <c r="K82" i="21"/>
  <c r="L82" i="21"/>
  <c r="M82" i="21"/>
  <c r="N82" i="21"/>
  <c r="O82" i="21"/>
  <c r="L69" i="21"/>
  <c r="M69" i="21"/>
  <c r="N69" i="21"/>
  <c r="O69" i="21"/>
  <c r="K69" i="21"/>
  <c r="E72" i="20"/>
  <c r="A72" i="20"/>
  <c r="E69" i="20"/>
  <c r="A69" i="20"/>
  <c r="A81" i="20"/>
  <c r="A78" i="20"/>
  <c r="A74" i="20"/>
  <c r="K70" i="20"/>
  <c r="L70" i="20"/>
  <c r="M70" i="20"/>
  <c r="N70" i="20"/>
  <c r="O70" i="20"/>
  <c r="K71" i="20"/>
  <c r="L71" i="20"/>
  <c r="M71" i="20"/>
  <c r="N71" i="20"/>
  <c r="O71" i="20"/>
  <c r="K72" i="20"/>
  <c r="L72" i="20"/>
  <c r="M72" i="20"/>
  <c r="N72" i="20"/>
  <c r="O72" i="20"/>
  <c r="K73" i="20"/>
  <c r="L73" i="20"/>
  <c r="M73" i="20"/>
  <c r="N73" i="20"/>
  <c r="O73" i="20"/>
  <c r="K75" i="20"/>
  <c r="L75" i="20"/>
  <c r="M75" i="20"/>
  <c r="N75" i="20"/>
  <c r="O75" i="20"/>
  <c r="K76" i="20"/>
  <c r="L76" i="20"/>
  <c r="M76" i="20"/>
  <c r="N76" i="20"/>
  <c r="O76" i="20"/>
  <c r="K77" i="20"/>
  <c r="L77" i="20"/>
  <c r="M77" i="20"/>
  <c r="N77" i="20"/>
  <c r="O77" i="20"/>
  <c r="K79" i="20"/>
  <c r="L79" i="20"/>
  <c r="M79" i="20"/>
  <c r="N79" i="20"/>
  <c r="O79" i="20"/>
  <c r="K80" i="20"/>
  <c r="L80" i="20"/>
  <c r="M80" i="20"/>
  <c r="N80" i="20"/>
  <c r="O80" i="20"/>
  <c r="K82" i="20"/>
  <c r="L82" i="20"/>
  <c r="M82" i="20"/>
  <c r="N82" i="20"/>
  <c r="O82" i="20"/>
  <c r="L69" i="20"/>
  <c r="M69" i="20"/>
  <c r="N69" i="20"/>
  <c r="O69" i="20"/>
  <c r="K69" i="20"/>
  <c r="E72" i="19"/>
  <c r="A72" i="19"/>
  <c r="E69" i="19"/>
  <c r="A69" i="19"/>
  <c r="A81" i="19"/>
  <c r="A78" i="19"/>
  <c r="A74" i="19"/>
  <c r="K70" i="19"/>
  <c r="L70" i="19"/>
  <c r="M70" i="19"/>
  <c r="N70" i="19"/>
  <c r="O70" i="19"/>
  <c r="K71" i="19"/>
  <c r="L71" i="19"/>
  <c r="M71" i="19"/>
  <c r="N71" i="19"/>
  <c r="O71" i="19"/>
  <c r="K72" i="19"/>
  <c r="L72" i="19"/>
  <c r="M72" i="19"/>
  <c r="N72" i="19"/>
  <c r="O72" i="19"/>
  <c r="K73" i="19"/>
  <c r="L73" i="19"/>
  <c r="M73" i="19"/>
  <c r="N73" i="19"/>
  <c r="O73" i="19"/>
  <c r="K75" i="19"/>
  <c r="L75" i="19"/>
  <c r="M75" i="19"/>
  <c r="N75" i="19"/>
  <c r="O75" i="19"/>
  <c r="K76" i="19"/>
  <c r="L76" i="19"/>
  <c r="M76" i="19"/>
  <c r="N76" i="19"/>
  <c r="O76" i="19"/>
  <c r="K77" i="19"/>
  <c r="L77" i="19"/>
  <c r="M77" i="19"/>
  <c r="N77" i="19"/>
  <c r="O77" i="19"/>
  <c r="K79" i="19"/>
  <c r="L79" i="19"/>
  <c r="M79" i="19"/>
  <c r="N79" i="19"/>
  <c r="O79" i="19"/>
  <c r="K80" i="19"/>
  <c r="L80" i="19"/>
  <c r="M80" i="19"/>
  <c r="N80" i="19"/>
  <c r="O80" i="19"/>
  <c r="K82" i="19"/>
  <c r="L82" i="19"/>
  <c r="M82" i="19"/>
  <c r="N82" i="19"/>
  <c r="O82" i="19"/>
  <c r="L69" i="19"/>
  <c r="M69" i="19"/>
  <c r="N69" i="19"/>
  <c r="O69" i="19"/>
  <c r="K69" i="19"/>
  <c r="E72" i="13"/>
  <c r="A72" i="13"/>
  <c r="E69" i="13"/>
  <c r="A69" i="13"/>
  <c r="A81" i="13"/>
  <c r="A78" i="13"/>
  <c r="A74" i="13"/>
  <c r="K70" i="13"/>
  <c r="L70" i="13"/>
  <c r="M70" i="13"/>
  <c r="N70" i="13"/>
  <c r="O70" i="13"/>
  <c r="K71" i="13"/>
  <c r="L71" i="13"/>
  <c r="M71" i="13"/>
  <c r="N71" i="13"/>
  <c r="O71" i="13"/>
  <c r="K72" i="13"/>
  <c r="L72" i="13"/>
  <c r="M72" i="13"/>
  <c r="N72" i="13"/>
  <c r="O72" i="13"/>
  <c r="K73" i="13"/>
  <c r="L73" i="13"/>
  <c r="M73" i="13"/>
  <c r="N73" i="13"/>
  <c r="O73" i="13"/>
  <c r="K75" i="13"/>
  <c r="L75" i="13"/>
  <c r="M75" i="13"/>
  <c r="N75" i="13"/>
  <c r="O75" i="13"/>
  <c r="K76" i="13"/>
  <c r="L76" i="13"/>
  <c r="M76" i="13"/>
  <c r="N76" i="13"/>
  <c r="O76" i="13"/>
  <c r="K77" i="13"/>
  <c r="L77" i="13"/>
  <c r="M77" i="13"/>
  <c r="N77" i="13"/>
  <c r="O77" i="13"/>
  <c r="K79" i="13"/>
  <c r="L79" i="13"/>
  <c r="M79" i="13"/>
  <c r="N79" i="13"/>
  <c r="O79" i="13"/>
  <c r="K80" i="13"/>
  <c r="L80" i="13"/>
  <c r="M80" i="13"/>
  <c r="N80" i="13"/>
  <c r="O80" i="13"/>
  <c r="K82" i="13"/>
  <c r="L82" i="13"/>
  <c r="M82" i="13"/>
  <c r="N82" i="13"/>
  <c r="O82" i="13"/>
  <c r="L69" i="13"/>
  <c r="M69" i="13"/>
  <c r="N69" i="13"/>
  <c r="O69" i="13"/>
  <c r="K69" i="13"/>
  <c r="E72" i="16"/>
  <c r="A72" i="16"/>
  <c r="E69" i="16"/>
  <c r="A69" i="16"/>
  <c r="A81" i="16"/>
  <c r="A78" i="16"/>
  <c r="A74" i="16"/>
  <c r="K70" i="16"/>
  <c r="L70" i="16"/>
  <c r="M70" i="16"/>
  <c r="N70" i="16"/>
  <c r="O70" i="16"/>
  <c r="K71" i="16"/>
  <c r="L71" i="16"/>
  <c r="M71" i="16"/>
  <c r="N71" i="16"/>
  <c r="O71" i="16"/>
  <c r="K72" i="16"/>
  <c r="L72" i="16"/>
  <c r="M72" i="16"/>
  <c r="N72" i="16"/>
  <c r="O72" i="16"/>
  <c r="K73" i="16"/>
  <c r="L73" i="16"/>
  <c r="M73" i="16"/>
  <c r="N73" i="16"/>
  <c r="O73" i="16"/>
  <c r="K75" i="16"/>
  <c r="L75" i="16"/>
  <c r="M75" i="16"/>
  <c r="N75" i="16"/>
  <c r="O75" i="16"/>
  <c r="K76" i="16"/>
  <c r="L76" i="16"/>
  <c r="M76" i="16"/>
  <c r="N76" i="16"/>
  <c r="O76" i="16"/>
  <c r="K77" i="16"/>
  <c r="L77" i="16"/>
  <c r="M77" i="16"/>
  <c r="N77" i="16"/>
  <c r="O77" i="16"/>
  <c r="K79" i="16"/>
  <c r="L79" i="16"/>
  <c r="M79" i="16"/>
  <c r="N79" i="16"/>
  <c r="O79" i="16"/>
  <c r="K80" i="16"/>
  <c r="L80" i="16"/>
  <c r="M80" i="16"/>
  <c r="N80" i="16"/>
  <c r="O80" i="16"/>
  <c r="K82" i="16"/>
  <c r="L82" i="16"/>
  <c r="M82" i="16"/>
  <c r="N82" i="16"/>
  <c r="O82" i="16"/>
  <c r="L69" i="16"/>
  <c r="M69" i="16"/>
  <c r="N69" i="16"/>
  <c r="O69" i="16"/>
  <c r="K69" i="16"/>
  <c r="E72" i="12"/>
  <c r="A72" i="12"/>
  <c r="E69" i="12"/>
  <c r="A69" i="12"/>
  <c r="A81" i="12"/>
  <c r="A78" i="12"/>
  <c r="A74" i="12"/>
  <c r="K70" i="12"/>
  <c r="L70" i="12"/>
  <c r="M70" i="12"/>
  <c r="N70" i="12"/>
  <c r="O70" i="12"/>
  <c r="K71" i="12"/>
  <c r="L71" i="12"/>
  <c r="M71" i="12"/>
  <c r="N71" i="12"/>
  <c r="O71" i="12"/>
  <c r="K72" i="12"/>
  <c r="L72" i="12"/>
  <c r="M72" i="12"/>
  <c r="N72" i="12"/>
  <c r="O72" i="12"/>
  <c r="K73" i="12"/>
  <c r="L73" i="12"/>
  <c r="M73" i="12"/>
  <c r="N73" i="12"/>
  <c r="O73" i="12"/>
  <c r="K75" i="12"/>
  <c r="L75" i="12"/>
  <c r="M75" i="12"/>
  <c r="N75" i="12"/>
  <c r="O75" i="12"/>
  <c r="K76" i="12"/>
  <c r="L76" i="12"/>
  <c r="M76" i="12"/>
  <c r="N76" i="12"/>
  <c r="O76" i="12"/>
  <c r="K77" i="12"/>
  <c r="L77" i="12"/>
  <c r="M77" i="12"/>
  <c r="N77" i="12"/>
  <c r="O77" i="12"/>
  <c r="K79" i="12"/>
  <c r="L79" i="12"/>
  <c r="M79" i="12"/>
  <c r="N79" i="12"/>
  <c r="O79" i="12"/>
  <c r="K80" i="12"/>
  <c r="L80" i="12"/>
  <c r="M80" i="12"/>
  <c r="N80" i="12"/>
  <c r="O80" i="12"/>
  <c r="K82" i="12"/>
  <c r="L82" i="12"/>
  <c r="M82" i="12"/>
  <c r="N82" i="12"/>
  <c r="O82" i="12"/>
  <c r="L69" i="12"/>
  <c r="M69" i="12"/>
  <c r="N69" i="12"/>
  <c r="O69" i="12"/>
  <c r="K69" i="12"/>
  <c r="E72" i="18"/>
  <c r="A72" i="18"/>
  <c r="E69" i="18"/>
  <c r="A69" i="18"/>
  <c r="A81" i="18"/>
  <c r="A78" i="18"/>
  <c r="A74" i="18"/>
  <c r="K70" i="18"/>
  <c r="L70" i="18"/>
  <c r="M70" i="18"/>
  <c r="N70" i="18"/>
  <c r="O70" i="18"/>
  <c r="K71" i="18"/>
  <c r="L71" i="18"/>
  <c r="M71" i="18"/>
  <c r="N71" i="18"/>
  <c r="O71" i="18"/>
  <c r="K72" i="18"/>
  <c r="L72" i="18"/>
  <c r="M72" i="18"/>
  <c r="N72" i="18"/>
  <c r="O72" i="18"/>
  <c r="K73" i="18"/>
  <c r="L73" i="18"/>
  <c r="M73" i="18"/>
  <c r="N73" i="18"/>
  <c r="O73" i="18"/>
  <c r="K75" i="18"/>
  <c r="L75" i="18"/>
  <c r="M75" i="18"/>
  <c r="N75" i="18"/>
  <c r="O75" i="18"/>
  <c r="K76" i="18"/>
  <c r="L76" i="18"/>
  <c r="M76" i="18"/>
  <c r="N76" i="18"/>
  <c r="O76" i="18"/>
  <c r="K77" i="18"/>
  <c r="L77" i="18"/>
  <c r="M77" i="18"/>
  <c r="N77" i="18"/>
  <c r="O77" i="18"/>
  <c r="K79" i="18"/>
  <c r="L79" i="18"/>
  <c r="M79" i="18"/>
  <c r="N79" i="18"/>
  <c r="O79" i="18"/>
  <c r="K80" i="18"/>
  <c r="L80" i="18"/>
  <c r="M80" i="18"/>
  <c r="N80" i="18"/>
  <c r="O80" i="18"/>
  <c r="K82" i="18"/>
  <c r="L82" i="18"/>
  <c r="M82" i="18"/>
  <c r="N82" i="18"/>
  <c r="O82" i="18"/>
  <c r="L69" i="18"/>
  <c r="M69" i="18"/>
  <c r="N69" i="18"/>
  <c r="O69" i="18"/>
  <c r="K69" i="18"/>
  <c r="E72" i="17"/>
  <c r="A72" i="17"/>
  <c r="E69" i="17"/>
  <c r="A69" i="17"/>
  <c r="A81" i="17"/>
  <c r="A78" i="17"/>
  <c r="A74" i="17"/>
  <c r="K70" i="17"/>
  <c r="L70" i="17"/>
  <c r="M70" i="17"/>
  <c r="N70" i="17"/>
  <c r="O70" i="17"/>
  <c r="K71" i="17"/>
  <c r="L71" i="17"/>
  <c r="M71" i="17"/>
  <c r="N71" i="17"/>
  <c r="O71" i="17"/>
  <c r="K72" i="17"/>
  <c r="L72" i="17"/>
  <c r="M72" i="17"/>
  <c r="N72" i="17"/>
  <c r="O72" i="17"/>
  <c r="K73" i="17"/>
  <c r="L73" i="17"/>
  <c r="M73" i="17"/>
  <c r="N73" i="17"/>
  <c r="O73" i="17"/>
  <c r="K75" i="17"/>
  <c r="L75" i="17"/>
  <c r="M75" i="17"/>
  <c r="N75" i="17"/>
  <c r="O75" i="17"/>
  <c r="K76" i="17"/>
  <c r="L76" i="17"/>
  <c r="M76" i="17"/>
  <c r="N76" i="17"/>
  <c r="O76" i="17"/>
  <c r="K77" i="17"/>
  <c r="L77" i="17"/>
  <c r="M77" i="17"/>
  <c r="N77" i="17"/>
  <c r="O77" i="17"/>
  <c r="K79" i="17"/>
  <c r="L79" i="17"/>
  <c r="M79" i="17"/>
  <c r="N79" i="17"/>
  <c r="O79" i="17"/>
  <c r="K80" i="17"/>
  <c r="L80" i="17"/>
  <c r="M80" i="17"/>
  <c r="N80" i="17"/>
  <c r="O80" i="17"/>
  <c r="K82" i="17"/>
  <c r="L82" i="17"/>
  <c r="M82" i="17"/>
  <c r="N82" i="17"/>
  <c r="O82" i="17"/>
  <c r="L69" i="17"/>
  <c r="M69" i="17"/>
  <c r="N69" i="17"/>
  <c r="O69" i="17"/>
  <c r="K69" i="17"/>
  <c r="E72" i="29"/>
  <c r="A72" i="29"/>
  <c r="E69" i="29"/>
  <c r="A69" i="29"/>
  <c r="A81" i="29"/>
  <c r="A78" i="29"/>
  <c r="A74" i="29"/>
  <c r="K70" i="29"/>
  <c r="L70" i="29"/>
  <c r="M70" i="29"/>
  <c r="N70" i="29"/>
  <c r="O70" i="29"/>
  <c r="K71" i="29"/>
  <c r="L71" i="29"/>
  <c r="M71" i="29"/>
  <c r="N71" i="29"/>
  <c r="O71" i="29"/>
  <c r="K72" i="29"/>
  <c r="L72" i="29"/>
  <c r="M72" i="29"/>
  <c r="N72" i="29"/>
  <c r="O72" i="29"/>
  <c r="K73" i="29"/>
  <c r="L73" i="29"/>
  <c r="M73" i="29"/>
  <c r="N73" i="29"/>
  <c r="O73" i="29"/>
  <c r="K75" i="29"/>
  <c r="L75" i="29"/>
  <c r="M75" i="29"/>
  <c r="N75" i="29"/>
  <c r="O75" i="29"/>
  <c r="K76" i="29"/>
  <c r="L76" i="29"/>
  <c r="M76" i="29"/>
  <c r="N76" i="29"/>
  <c r="O76" i="29"/>
  <c r="K77" i="29"/>
  <c r="L77" i="29"/>
  <c r="M77" i="29"/>
  <c r="N77" i="29"/>
  <c r="O77" i="29"/>
  <c r="K79" i="29"/>
  <c r="L79" i="29"/>
  <c r="M79" i="29"/>
  <c r="N79" i="29"/>
  <c r="O79" i="29"/>
  <c r="K80" i="29"/>
  <c r="L80" i="29"/>
  <c r="M80" i="29"/>
  <c r="N80" i="29"/>
  <c r="O80" i="29"/>
  <c r="K82" i="29"/>
  <c r="L82" i="29"/>
  <c r="M82" i="29"/>
  <c r="N82" i="29"/>
  <c r="O82" i="29"/>
  <c r="L69" i="29"/>
  <c r="M69" i="29"/>
  <c r="N69" i="29"/>
  <c r="O69" i="29"/>
  <c r="K69" i="29"/>
  <c r="E72" i="28"/>
  <c r="A72" i="28"/>
  <c r="E69" i="28"/>
  <c r="A69" i="28"/>
  <c r="A81" i="28"/>
  <c r="A78" i="28"/>
  <c r="A74" i="28"/>
  <c r="K70" i="28"/>
  <c r="L70" i="28"/>
  <c r="M70" i="28"/>
  <c r="N70" i="28"/>
  <c r="O70" i="28"/>
  <c r="K71" i="28"/>
  <c r="L71" i="28"/>
  <c r="M71" i="28"/>
  <c r="N71" i="28"/>
  <c r="O71" i="28"/>
  <c r="K72" i="28"/>
  <c r="L72" i="28"/>
  <c r="M72" i="28"/>
  <c r="N72" i="28"/>
  <c r="O72" i="28"/>
  <c r="K73" i="28"/>
  <c r="L73" i="28"/>
  <c r="M73" i="28"/>
  <c r="N73" i="28"/>
  <c r="O73" i="28"/>
  <c r="K75" i="28"/>
  <c r="L75" i="28"/>
  <c r="M75" i="28"/>
  <c r="N75" i="28"/>
  <c r="O75" i="28"/>
  <c r="K76" i="28"/>
  <c r="L76" i="28"/>
  <c r="M76" i="28"/>
  <c r="N76" i="28"/>
  <c r="O76" i="28"/>
  <c r="K77" i="28"/>
  <c r="L77" i="28"/>
  <c r="M77" i="28"/>
  <c r="N77" i="28"/>
  <c r="O77" i="28"/>
  <c r="K79" i="28"/>
  <c r="L79" i="28"/>
  <c r="M79" i="28"/>
  <c r="N79" i="28"/>
  <c r="O79" i="28"/>
  <c r="K80" i="28"/>
  <c r="L80" i="28"/>
  <c r="M80" i="28"/>
  <c r="N80" i="28"/>
  <c r="O80" i="28"/>
  <c r="K82" i="28"/>
  <c r="L82" i="28"/>
  <c r="M82" i="28"/>
  <c r="N82" i="28"/>
  <c r="O82" i="28"/>
  <c r="L69" i="28"/>
  <c r="M69" i="28"/>
  <c r="N69" i="28"/>
  <c r="O69" i="28"/>
  <c r="K69" i="28"/>
  <c r="E72" i="10"/>
  <c r="A72" i="10"/>
  <c r="E69" i="10"/>
  <c r="A69" i="10"/>
  <c r="A81" i="10"/>
  <c r="A78" i="10"/>
  <c r="A74" i="10"/>
  <c r="K70" i="10"/>
  <c r="L70" i="10"/>
  <c r="M70" i="10"/>
  <c r="N70" i="10"/>
  <c r="O70" i="10"/>
  <c r="K71" i="10"/>
  <c r="L71" i="10"/>
  <c r="M71" i="10"/>
  <c r="N71" i="10"/>
  <c r="O71" i="10"/>
  <c r="K72" i="10"/>
  <c r="L72" i="10"/>
  <c r="M72" i="10"/>
  <c r="N72" i="10"/>
  <c r="O72" i="10"/>
  <c r="K73" i="10"/>
  <c r="L73" i="10"/>
  <c r="M73" i="10"/>
  <c r="N73" i="10"/>
  <c r="O73" i="10"/>
  <c r="K75" i="10"/>
  <c r="L75" i="10"/>
  <c r="M75" i="10"/>
  <c r="N75" i="10"/>
  <c r="O75" i="10"/>
  <c r="K76" i="10"/>
  <c r="L76" i="10"/>
  <c r="M76" i="10"/>
  <c r="N76" i="10"/>
  <c r="O76" i="10"/>
  <c r="K77" i="10"/>
  <c r="L77" i="10"/>
  <c r="M77" i="10"/>
  <c r="N77" i="10"/>
  <c r="O77" i="10"/>
  <c r="K79" i="10"/>
  <c r="L79" i="10"/>
  <c r="M79" i="10"/>
  <c r="N79" i="10"/>
  <c r="O79" i="10"/>
  <c r="K80" i="10"/>
  <c r="L80" i="10"/>
  <c r="M80" i="10"/>
  <c r="N80" i="10"/>
  <c r="O80" i="10"/>
  <c r="K82" i="10"/>
  <c r="L82" i="10"/>
  <c r="M82" i="10"/>
  <c r="N82" i="10"/>
  <c r="O82" i="10"/>
  <c r="L69" i="10"/>
  <c r="M69" i="10"/>
  <c r="N69" i="10"/>
  <c r="O69" i="10"/>
  <c r="K69" i="10"/>
  <c r="E72" i="6"/>
  <c r="A72" i="6"/>
  <c r="E69" i="6"/>
  <c r="A69" i="6"/>
  <c r="A81" i="6"/>
  <c r="A78" i="6"/>
  <c r="A74" i="6"/>
  <c r="K70" i="6"/>
  <c r="L70" i="6"/>
  <c r="M70" i="6"/>
  <c r="N70" i="6"/>
  <c r="O70" i="6"/>
  <c r="K71" i="6"/>
  <c r="L71" i="6"/>
  <c r="M71" i="6"/>
  <c r="N71" i="6"/>
  <c r="O71" i="6"/>
  <c r="K72" i="6"/>
  <c r="L72" i="6"/>
  <c r="M72" i="6"/>
  <c r="N72" i="6"/>
  <c r="O72" i="6"/>
  <c r="K73" i="6"/>
  <c r="L73" i="6"/>
  <c r="M73" i="6"/>
  <c r="N73" i="6"/>
  <c r="O73" i="6"/>
  <c r="K75" i="6"/>
  <c r="L75" i="6"/>
  <c r="M75" i="6"/>
  <c r="N75" i="6"/>
  <c r="O75" i="6"/>
  <c r="K76" i="6"/>
  <c r="L76" i="6"/>
  <c r="M76" i="6"/>
  <c r="N76" i="6"/>
  <c r="O76" i="6"/>
  <c r="K77" i="6"/>
  <c r="L77" i="6"/>
  <c r="M77" i="6"/>
  <c r="N77" i="6"/>
  <c r="O77" i="6"/>
  <c r="K79" i="6"/>
  <c r="L79" i="6"/>
  <c r="M79" i="6"/>
  <c r="N79" i="6"/>
  <c r="O79" i="6"/>
  <c r="K80" i="6"/>
  <c r="L80" i="6"/>
  <c r="M80" i="6"/>
  <c r="N80" i="6"/>
  <c r="O80" i="6"/>
  <c r="K82" i="6"/>
  <c r="L82" i="6"/>
  <c r="M82" i="6"/>
  <c r="N82" i="6"/>
  <c r="O82" i="6"/>
  <c r="L69" i="6"/>
  <c r="M69" i="6"/>
  <c r="N69" i="6"/>
  <c r="O69" i="6"/>
  <c r="K69" i="6"/>
  <c r="E72" i="3"/>
  <c r="A72" i="3"/>
  <c r="E69" i="3"/>
  <c r="A69" i="3"/>
  <c r="A81" i="3"/>
  <c r="A78" i="3"/>
  <c r="A74" i="3"/>
  <c r="K70" i="3"/>
  <c r="L70" i="3"/>
  <c r="M70" i="3"/>
  <c r="N70" i="3"/>
  <c r="O70" i="3"/>
  <c r="K71" i="3"/>
  <c r="L71" i="3"/>
  <c r="M71" i="3"/>
  <c r="N71" i="3"/>
  <c r="O71" i="3"/>
  <c r="K72" i="3"/>
  <c r="L72" i="3"/>
  <c r="M72" i="3"/>
  <c r="N72" i="3"/>
  <c r="O72" i="3"/>
  <c r="K73" i="3"/>
  <c r="L73" i="3"/>
  <c r="M73" i="3"/>
  <c r="N73" i="3"/>
  <c r="O73" i="3"/>
  <c r="K75" i="3"/>
  <c r="L75" i="3"/>
  <c r="M75" i="3"/>
  <c r="N75" i="3"/>
  <c r="O75" i="3"/>
  <c r="K76" i="3"/>
  <c r="L76" i="3"/>
  <c r="M76" i="3"/>
  <c r="N76" i="3"/>
  <c r="O76" i="3"/>
  <c r="K77" i="3"/>
  <c r="L77" i="3"/>
  <c r="M77" i="3"/>
  <c r="N77" i="3"/>
  <c r="O77" i="3"/>
  <c r="K79" i="3"/>
  <c r="L79" i="3"/>
  <c r="M79" i="3"/>
  <c r="N79" i="3"/>
  <c r="O79" i="3"/>
  <c r="K80" i="3"/>
  <c r="L80" i="3"/>
  <c r="M80" i="3"/>
  <c r="N80" i="3"/>
  <c r="O80" i="3"/>
  <c r="K82" i="3"/>
  <c r="L82" i="3"/>
  <c r="M82" i="3"/>
  <c r="N82" i="3"/>
  <c r="O82" i="3"/>
  <c r="L69" i="3"/>
  <c r="M69" i="3"/>
  <c r="N69" i="3"/>
  <c r="O69" i="3"/>
  <c r="K69" i="3"/>
  <c r="E72" i="11"/>
  <c r="A72" i="11"/>
  <c r="E69" i="11"/>
  <c r="A69" i="11"/>
  <c r="A81" i="11"/>
  <c r="A78" i="11"/>
  <c r="A74" i="11"/>
  <c r="K70" i="11"/>
  <c r="L70" i="11"/>
  <c r="M70" i="11"/>
  <c r="N70" i="11"/>
  <c r="O70" i="11"/>
  <c r="K71" i="11"/>
  <c r="L71" i="11"/>
  <c r="M71" i="11"/>
  <c r="N71" i="11"/>
  <c r="O71" i="11"/>
  <c r="K72" i="11"/>
  <c r="L72" i="11"/>
  <c r="M72" i="11"/>
  <c r="N72" i="11"/>
  <c r="O72" i="11"/>
  <c r="K73" i="11"/>
  <c r="L73" i="11"/>
  <c r="M73" i="11"/>
  <c r="N73" i="11"/>
  <c r="O73" i="11"/>
  <c r="K75" i="11"/>
  <c r="L75" i="11"/>
  <c r="M75" i="11"/>
  <c r="N75" i="11"/>
  <c r="K76" i="11"/>
  <c r="L76" i="11"/>
  <c r="M76" i="11"/>
  <c r="N76" i="11"/>
  <c r="O76" i="11"/>
  <c r="K77" i="11"/>
  <c r="L77" i="11"/>
  <c r="M77" i="11"/>
  <c r="N77" i="11"/>
  <c r="O77" i="11"/>
  <c r="K79" i="11"/>
  <c r="L79" i="11"/>
  <c r="M79" i="11"/>
  <c r="N79" i="11"/>
  <c r="O79" i="11"/>
  <c r="K80" i="11"/>
  <c r="L80" i="11"/>
  <c r="M80" i="11"/>
  <c r="N80" i="11"/>
  <c r="O80" i="11"/>
  <c r="K82" i="11"/>
  <c r="L82" i="11"/>
  <c r="M82" i="11"/>
  <c r="N82" i="11"/>
  <c r="O82" i="11"/>
  <c r="L69" i="11"/>
  <c r="M69" i="11"/>
  <c r="N69" i="11"/>
  <c r="O69" i="11"/>
  <c r="K69" i="11"/>
  <c r="J83" i="3"/>
  <c r="L60" i="34"/>
  <c r="M60" i="34"/>
  <c r="N60" i="34"/>
  <c r="L61" i="34"/>
  <c r="M61" i="34"/>
  <c r="N61" i="34"/>
  <c r="L62" i="34"/>
  <c r="M62" i="34"/>
  <c r="N62" i="34"/>
  <c r="L63" i="34"/>
  <c r="M63" i="34"/>
  <c r="N63" i="34"/>
  <c r="L64" i="34"/>
  <c r="M64" i="34"/>
  <c r="N64" i="34"/>
  <c r="L65" i="34"/>
  <c r="M65" i="34"/>
  <c r="N65" i="34"/>
  <c r="L66" i="34"/>
  <c r="M66" i="34"/>
  <c r="N66" i="34"/>
  <c r="M59" i="34"/>
  <c r="N59" i="34"/>
  <c r="L59" i="34"/>
  <c r="L60" i="32"/>
  <c r="M60" i="32"/>
  <c r="N60" i="32"/>
  <c r="L61" i="32"/>
  <c r="M61" i="32"/>
  <c r="N61" i="32"/>
  <c r="L62" i="32"/>
  <c r="M62" i="32"/>
  <c r="N62" i="32"/>
  <c r="L63" i="32"/>
  <c r="M63" i="32"/>
  <c r="N63" i="32"/>
  <c r="L64" i="32"/>
  <c r="M64" i="32"/>
  <c r="N64" i="32"/>
  <c r="L65" i="32"/>
  <c r="M65" i="32"/>
  <c r="N65" i="32"/>
  <c r="L66" i="32"/>
  <c r="M66" i="32"/>
  <c r="N66" i="32"/>
  <c r="M59" i="32"/>
  <c r="N59" i="32"/>
  <c r="L59" i="32"/>
  <c r="L60" i="30"/>
  <c r="M60" i="30"/>
  <c r="N60" i="30"/>
  <c r="L61" i="30"/>
  <c r="M61" i="30"/>
  <c r="N61" i="30"/>
  <c r="L62" i="30"/>
  <c r="M62" i="30"/>
  <c r="N62" i="30"/>
  <c r="L63" i="30"/>
  <c r="M63" i="30"/>
  <c r="N63" i="30"/>
  <c r="L64" i="30"/>
  <c r="M64" i="30"/>
  <c r="N64" i="30"/>
  <c r="L65" i="30"/>
  <c r="M65" i="30"/>
  <c r="N65" i="30"/>
  <c r="L66" i="30"/>
  <c r="M66" i="30"/>
  <c r="N66" i="30"/>
  <c r="M59" i="30"/>
  <c r="N59" i="30"/>
  <c r="L59" i="30"/>
  <c r="L60" i="27"/>
  <c r="M60" i="27"/>
  <c r="N60" i="27"/>
  <c r="L61" i="27"/>
  <c r="M61" i="27"/>
  <c r="N61" i="27"/>
  <c r="L62" i="27"/>
  <c r="M62" i="27"/>
  <c r="N62" i="27"/>
  <c r="L63" i="27"/>
  <c r="M63" i="27"/>
  <c r="N63" i="27"/>
  <c r="L64" i="27"/>
  <c r="M64" i="27"/>
  <c r="N64" i="27"/>
  <c r="L65" i="27"/>
  <c r="M65" i="27"/>
  <c r="N65" i="27"/>
  <c r="L66" i="27"/>
  <c r="M66" i="27"/>
  <c r="N66" i="27"/>
  <c r="M59" i="27"/>
  <c r="N59" i="27"/>
  <c r="L59" i="27"/>
  <c r="L60" i="26"/>
  <c r="M60" i="26"/>
  <c r="N60" i="26"/>
  <c r="L61" i="26"/>
  <c r="M61" i="26"/>
  <c r="N61" i="26"/>
  <c r="L62" i="26"/>
  <c r="M62" i="26"/>
  <c r="N62" i="26"/>
  <c r="L63" i="26"/>
  <c r="M63" i="26"/>
  <c r="N63" i="26"/>
  <c r="L64" i="26"/>
  <c r="M64" i="26"/>
  <c r="N64" i="26"/>
  <c r="L65" i="26"/>
  <c r="M65" i="26"/>
  <c r="N65" i="26"/>
  <c r="L66" i="26"/>
  <c r="M66" i="26"/>
  <c r="N66" i="26"/>
  <c r="M59" i="26"/>
  <c r="N59" i="26"/>
  <c r="L59" i="26"/>
  <c r="L60" i="25"/>
  <c r="M60" i="25"/>
  <c r="N60" i="25"/>
  <c r="L61" i="25"/>
  <c r="M61" i="25"/>
  <c r="N61" i="25"/>
  <c r="L62" i="25"/>
  <c r="M62" i="25"/>
  <c r="N62" i="25"/>
  <c r="L63" i="25"/>
  <c r="M63" i="25"/>
  <c r="N63" i="25"/>
  <c r="L64" i="25"/>
  <c r="M64" i="25"/>
  <c r="N64" i="25"/>
  <c r="L65" i="25"/>
  <c r="M65" i="25"/>
  <c r="N65" i="25"/>
  <c r="L66" i="25"/>
  <c r="M66" i="25"/>
  <c r="N66" i="25"/>
  <c r="M59" i="25"/>
  <c r="N59" i="25"/>
  <c r="L59" i="25"/>
  <c r="L60" i="24"/>
  <c r="M60" i="24"/>
  <c r="N60" i="24"/>
  <c r="L61" i="24"/>
  <c r="M61" i="24"/>
  <c r="N61" i="24"/>
  <c r="L62" i="24"/>
  <c r="M62" i="24"/>
  <c r="N62" i="24"/>
  <c r="L63" i="24"/>
  <c r="M63" i="24"/>
  <c r="N63" i="24"/>
  <c r="L64" i="24"/>
  <c r="M64" i="24"/>
  <c r="N64" i="24"/>
  <c r="L65" i="24"/>
  <c r="M65" i="24"/>
  <c r="N65" i="24"/>
  <c r="L66" i="24"/>
  <c r="M66" i="24"/>
  <c r="N66" i="24"/>
  <c r="M59" i="24"/>
  <c r="N59" i="24"/>
  <c r="L59" i="24"/>
  <c r="L60" i="23"/>
  <c r="M60" i="23"/>
  <c r="N60" i="23"/>
  <c r="L61" i="23"/>
  <c r="M61" i="23"/>
  <c r="N61" i="23"/>
  <c r="L62" i="23"/>
  <c r="M62" i="23"/>
  <c r="N62" i="23"/>
  <c r="L63" i="23"/>
  <c r="M63" i="23"/>
  <c r="N63" i="23"/>
  <c r="L64" i="23"/>
  <c r="M64" i="23"/>
  <c r="N64" i="23"/>
  <c r="L65" i="23"/>
  <c r="M65" i="23"/>
  <c r="N65" i="23"/>
  <c r="L66" i="23"/>
  <c r="M66" i="23"/>
  <c r="N66" i="23"/>
  <c r="M59" i="23"/>
  <c r="N59" i="23"/>
  <c r="L59" i="23"/>
  <c r="L60" i="22"/>
  <c r="M60" i="22"/>
  <c r="N60" i="22"/>
  <c r="L61" i="22"/>
  <c r="M61" i="22"/>
  <c r="N61" i="22"/>
  <c r="L62" i="22"/>
  <c r="M62" i="22"/>
  <c r="N62" i="22"/>
  <c r="L63" i="22"/>
  <c r="M63" i="22"/>
  <c r="N63" i="22"/>
  <c r="L64" i="22"/>
  <c r="M64" i="22"/>
  <c r="N64" i="22"/>
  <c r="L65" i="22"/>
  <c r="M65" i="22"/>
  <c r="N65" i="22"/>
  <c r="L66" i="22"/>
  <c r="M66" i="22"/>
  <c r="N66" i="22"/>
  <c r="M59" i="22"/>
  <c r="N59" i="22"/>
  <c r="L59" i="22"/>
  <c r="L60" i="21"/>
  <c r="M60" i="21"/>
  <c r="N60" i="21"/>
  <c r="L61" i="21"/>
  <c r="M61" i="21"/>
  <c r="N61" i="21"/>
  <c r="L62" i="21"/>
  <c r="M62" i="21"/>
  <c r="N62" i="21"/>
  <c r="L63" i="21"/>
  <c r="M63" i="21"/>
  <c r="N63" i="21"/>
  <c r="L64" i="21"/>
  <c r="M64" i="21"/>
  <c r="N64" i="21"/>
  <c r="L65" i="21"/>
  <c r="M65" i="21"/>
  <c r="N65" i="21"/>
  <c r="L66" i="21"/>
  <c r="M66" i="21"/>
  <c r="N66" i="21"/>
  <c r="M59" i="21"/>
  <c r="N59" i="21"/>
  <c r="L59" i="21"/>
  <c r="L60" i="20"/>
  <c r="M60" i="20"/>
  <c r="N60" i="20"/>
  <c r="L61" i="20"/>
  <c r="M61" i="20"/>
  <c r="N61" i="20"/>
  <c r="L62" i="20"/>
  <c r="M62" i="20"/>
  <c r="N62" i="20"/>
  <c r="L63" i="20"/>
  <c r="M63" i="20"/>
  <c r="N63" i="20"/>
  <c r="L64" i="20"/>
  <c r="M64" i="20"/>
  <c r="N64" i="20"/>
  <c r="L65" i="20"/>
  <c r="M65" i="20"/>
  <c r="N65" i="20"/>
  <c r="L66" i="20"/>
  <c r="M66" i="20"/>
  <c r="N66" i="20"/>
  <c r="M59" i="20"/>
  <c r="N59" i="20"/>
  <c r="L59" i="20"/>
  <c r="L60" i="19"/>
  <c r="M60" i="19"/>
  <c r="N60" i="19"/>
  <c r="L61" i="19"/>
  <c r="M61" i="19"/>
  <c r="N61" i="19"/>
  <c r="L62" i="19"/>
  <c r="M62" i="19"/>
  <c r="N62" i="19"/>
  <c r="L63" i="19"/>
  <c r="M63" i="19"/>
  <c r="N63" i="19"/>
  <c r="L64" i="19"/>
  <c r="M64" i="19"/>
  <c r="N64" i="19"/>
  <c r="L65" i="19"/>
  <c r="M65" i="19"/>
  <c r="N65" i="19"/>
  <c r="L66" i="19"/>
  <c r="M66" i="19"/>
  <c r="N66" i="19"/>
  <c r="M59" i="19"/>
  <c r="N59" i="19"/>
  <c r="L59" i="19"/>
  <c r="L60" i="13"/>
  <c r="M60" i="13"/>
  <c r="N60" i="13"/>
  <c r="L61" i="13"/>
  <c r="M61" i="13"/>
  <c r="N61" i="13"/>
  <c r="L62" i="13"/>
  <c r="M62" i="13"/>
  <c r="N62" i="13"/>
  <c r="L63" i="13"/>
  <c r="M63" i="13"/>
  <c r="N63" i="13"/>
  <c r="L64" i="13"/>
  <c r="M64" i="13"/>
  <c r="N64" i="13"/>
  <c r="L65" i="13"/>
  <c r="M65" i="13"/>
  <c r="N65" i="13"/>
  <c r="L66" i="13"/>
  <c r="M66" i="13"/>
  <c r="N66" i="13"/>
  <c r="M59" i="13"/>
  <c r="N59" i="13"/>
  <c r="L59" i="13"/>
  <c r="L60" i="16"/>
  <c r="M60" i="16"/>
  <c r="N60" i="16"/>
  <c r="L61" i="16"/>
  <c r="M61" i="16"/>
  <c r="N61" i="16"/>
  <c r="L62" i="16"/>
  <c r="M62" i="16"/>
  <c r="N62" i="16"/>
  <c r="L63" i="16"/>
  <c r="M63" i="16"/>
  <c r="N63" i="16"/>
  <c r="L64" i="16"/>
  <c r="M64" i="16"/>
  <c r="N64" i="16"/>
  <c r="L65" i="16"/>
  <c r="M65" i="16"/>
  <c r="N65" i="16"/>
  <c r="L66" i="16"/>
  <c r="M66" i="16"/>
  <c r="N66" i="16"/>
  <c r="M59" i="16"/>
  <c r="N59" i="16"/>
  <c r="L59" i="16"/>
  <c r="L60" i="12"/>
  <c r="M60" i="12"/>
  <c r="N60" i="12"/>
  <c r="L61" i="12"/>
  <c r="M61" i="12"/>
  <c r="N61" i="12"/>
  <c r="L62" i="12"/>
  <c r="M62" i="12"/>
  <c r="N62" i="12"/>
  <c r="L63" i="12"/>
  <c r="M63" i="12"/>
  <c r="N63" i="12"/>
  <c r="L64" i="12"/>
  <c r="M64" i="12"/>
  <c r="N64" i="12"/>
  <c r="L65" i="12"/>
  <c r="M65" i="12"/>
  <c r="N65" i="12"/>
  <c r="L66" i="12"/>
  <c r="M66" i="12"/>
  <c r="N66" i="12"/>
  <c r="M59" i="12"/>
  <c r="N59" i="12"/>
  <c r="L59" i="12"/>
  <c r="L60" i="18"/>
  <c r="M60" i="18"/>
  <c r="N60" i="18"/>
  <c r="L61" i="18"/>
  <c r="M61" i="18"/>
  <c r="N61" i="18"/>
  <c r="L62" i="18"/>
  <c r="M62" i="18"/>
  <c r="N62" i="18"/>
  <c r="L63" i="18"/>
  <c r="M63" i="18"/>
  <c r="N63" i="18"/>
  <c r="L64" i="18"/>
  <c r="M64" i="18"/>
  <c r="N64" i="18"/>
  <c r="L65" i="18"/>
  <c r="M65" i="18"/>
  <c r="N65" i="18"/>
  <c r="L66" i="18"/>
  <c r="M66" i="18"/>
  <c r="N66" i="18"/>
  <c r="M59" i="18"/>
  <c r="N59" i="18"/>
  <c r="L59" i="18"/>
  <c r="L60" i="17"/>
  <c r="M60" i="17"/>
  <c r="N60" i="17"/>
  <c r="L61" i="17"/>
  <c r="M61" i="17"/>
  <c r="N61" i="17"/>
  <c r="L62" i="17"/>
  <c r="M62" i="17"/>
  <c r="N62" i="17"/>
  <c r="L63" i="17"/>
  <c r="M63" i="17"/>
  <c r="N63" i="17"/>
  <c r="L64" i="17"/>
  <c r="M64" i="17"/>
  <c r="N64" i="17"/>
  <c r="L65" i="17"/>
  <c r="M65" i="17"/>
  <c r="N65" i="17"/>
  <c r="L66" i="17"/>
  <c r="M66" i="17"/>
  <c r="N66" i="17"/>
  <c r="M59" i="17"/>
  <c r="N59" i="17"/>
  <c r="L59" i="17"/>
  <c r="L60" i="29"/>
  <c r="M60" i="29"/>
  <c r="N60" i="29"/>
  <c r="L61" i="29"/>
  <c r="M61" i="29"/>
  <c r="N61" i="29"/>
  <c r="L62" i="29"/>
  <c r="M62" i="29"/>
  <c r="N62" i="29"/>
  <c r="L63" i="29"/>
  <c r="M63" i="29"/>
  <c r="N63" i="29"/>
  <c r="L64" i="29"/>
  <c r="M64" i="29"/>
  <c r="N64" i="29"/>
  <c r="L65" i="29"/>
  <c r="M65" i="29"/>
  <c r="N65" i="29"/>
  <c r="L66" i="29"/>
  <c r="M66" i="29"/>
  <c r="N66" i="29"/>
  <c r="M59" i="29"/>
  <c r="N59" i="29"/>
  <c r="L59" i="29"/>
  <c r="L60" i="28"/>
  <c r="M60" i="28"/>
  <c r="N60" i="28"/>
  <c r="L61" i="28"/>
  <c r="M61" i="28"/>
  <c r="N61" i="28"/>
  <c r="L62" i="28"/>
  <c r="M62" i="28"/>
  <c r="N62" i="28"/>
  <c r="L63" i="28"/>
  <c r="M63" i="28"/>
  <c r="N63" i="28"/>
  <c r="L64" i="28"/>
  <c r="M64" i="28"/>
  <c r="N64" i="28"/>
  <c r="L65" i="28"/>
  <c r="M65" i="28"/>
  <c r="N65" i="28"/>
  <c r="L66" i="28"/>
  <c r="M66" i="28"/>
  <c r="N66" i="28"/>
  <c r="M59" i="28"/>
  <c r="N59" i="28"/>
  <c r="L59" i="28"/>
  <c r="L60" i="10"/>
  <c r="M60" i="10"/>
  <c r="N60" i="10"/>
  <c r="L61" i="10"/>
  <c r="M61" i="10"/>
  <c r="N61" i="10"/>
  <c r="L62" i="10"/>
  <c r="M62" i="10"/>
  <c r="N62" i="10"/>
  <c r="L63" i="10"/>
  <c r="M63" i="10"/>
  <c r="N63" i="10"/>
  <c r="L64" i="10"/>
  <c r="M64" i="10"/>
  <c r="N64" i="10"/>
  <c r="L65" i="10"/>
  <c r="M65" i="10"/>
  <c r="N65" i="10"/>
  <c r="L66" i="10"/>
  <c r="M66" i="10"/>
  <c r="N66" i="10"/>
  <c r="M59" i="10"/>
  <c r="N59" i="10"/>
  <c r="L59" i="10"/>
  <c r="L60" i="6"/>
  <c r="M60" i="6"/>
  <c r="N60" i="6"/>
  <c r="L61" i="6"/>
  <c r="M61" i="6"/>
  <c r="N61" i="6"/>
  <c r="L62" i="6"/>
  <c r="M62" i="6"/>
  <c r="N62" i="6"/>
  <c r="L63" i="6"/>
  <c r="M63" i="6"/>
  <c r="N63" i="6"/>
  <c r="L64" i="6"/>
  <c r="M64" i="6"/>
  <c r="N64" i="6"/>
  <c r="L65" i="6"/>
  <c r="M65" i="6"/>
  <c r="N65" i="6"/>
  <c r="L66" i="6"/>
  <c r="M66" i="6"/>
  <c r="N66" i="6"/>
  <c r="M59" i="6"/>
  <c r="N59" i="6"/>
  <c r="L59" i="6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L60" i="11"/>
  <c r="M60" i="11"/>
  <c r="N60" i="11"/>
  <c r="L61" i="11"/>
  <c r="M61" i="11"/>
  <c r="N61" i="11"/>
  <c r="L62" i="11"/>
  <c r="M62" i="11"/>
  <c r="N62" i="11"/>
  <c r="L63" i="11"/>
  <c r="M63" i="11"/>
  <c r="N63" i="11"/>
  <c r="L64" i="11"/>
  <c r="M64" i="11"/>
  <c r="N64" i="11"/>
  <c r="L65" i="11"/>
  <c r="M65" i="11"/>
  <c r="N65" i="11"/>
  <c r="L66" i="11"/>
  <c r="M66" i="11"/>
  <c r="N66" i="11"/>
  <c r="M59" i="11"/>
  <c r="N59" i="11"/>
  <c r="L59" i="11"/>
  <c r="A68" i="34"/>
  <c r="A68" i="32"/>
  <c r="A68" i="30"/>
  <c r="A68" i="27"/>
  <c r="A68" i="26"/>
  <c r="A68" i="25"/>
  <c r="A68" i="24"/>
  <c r="A68" i="23"/>
  <c r="A68" i="22"/>
  <c r="A68" i="21"/>
  <c r="A68" i="20"/>
  <c r="A68" i="19"/>
  <c r="A68" i="13"/>
  <c r="A68" i="16"/>
  <c r="A68" i="12"/>
  <c r="A68" i="18"/>
  <c r="A68" i="17"/>
  <c r="A68" i="29"/>
  <c r="A68" i="28"/>
  <c r="A68" i="10"/>
  <c r="A68" i="6"/>
  <c r="A68" i="3"/>
  <c r="A68" i="11"/>
  <c r="A58" i="34"/>
  <c r="A58" i="32"/>
  <c r="A58" i="30"/>
  <c r="A58" i="27"/>
  <c r="A58" i="26"/>
  <c r="A58" i="25"/>
  <c r="A58" i="24"/>
  <c r="A58" i="23"/>
  <c r="A58" i="22"/>
  <c r="A58" i="21"/>
  <c r="A58" i="20"/>
  <c r="A58" i="19"/>
  <c r="A58" i="13"/>
  <c r="A58" i="16"/>
  <c r="A58" i="12"/>
  <c r="A58" i="18"/>
  <c r="A58" i="17"/>
  <c r="A58" i="29"/>
  <c r="A58" i="28"/>
  <c r="A58" i="10"/>
  <c r="A58" i="6"/>
  <c r="A58" i="11"/>
  <c r="J59" i="34"/>
  <c r="J59" i="32"/>
  <c r="J59" i="30"/>
  <c r="J59" i="27"/>
  <c r="J59" i="26"/>
  <c r="J59" i="25"/>
  <c r="J59" i="24"/>
  <c r="J59" i="23"/>
  <c r="J59" i="22"/>
  <c r="J59" i="21"/>
  <c r="J59" i="20"/>
  <c r="J59" i="19"/>
  <c r="J59" i="13"/>
  <c r="J59" i="16"/>
  <c r="J59" i="12"/>
  <c r="J59" i="18"/>
  <c r="J59" i="17"/>
  <c r="J59" i="29"/>
  <c r="J59" i="28"/>
  <c r="J59" i="10"/>
  <c r="J59" i="6"/>
  <c r="J59" i="3"/>
  <c r="J59" i="11"/>
  <c r="J60" i="34"/>
  <c r="J61" i="34"/>
  <c r="J62" i="34"/>
  <c r="J63" i="34"/>
  <c r="J64" i="34"/>
  <c r="J60" i="32"/>
  <c r="J61" i="32"/>
  <c r="J62" i="32"/>
  <c r="J63" i="32"/>
  <c r="J64" i="32"/>
  <c r="J60" i="30"/>
  <c r="J61" i="30"/>
  <c r="J62" i="30"/>
  <c r="J63" i="30"/>
  <c r="J64" i="30"/>
  <c r="J60" i="27"/>
  <c r="J61" i="27"/>
  <c r="J62" i="27"/>
  <c r="J63" i="27"/>
  <c r="J64" i="27"/>
  <c r="J60" i="26"/>
  <c r="J61" i="26"/>
  <c r="J62" i="26"/>
  <c r="J63" i="26"/>
  <c r="J64" i="26"/>
  <c r="J60" i="25"/>
  <c r="J61" i="25"/>
  <c r="J62" i="25"/>
  <c r="J63" i="25"/>
  <c r="J64" i="25"/>
  <c r="J60" i="24"/>
  <c r="J61" i="24"/>
  <c r="J62" i="24"/>
  <c r="J63" i="24"/>
  <c r="J64" i="24"/>
  <c r="J60" i="23"/>
  <c r="J61" i="23"/>
  <c r="J62" i="23"/>
  <c r="J63" i="23"/>
  <c r="J64" i="23"/>
  <c r="J60" i="22"/>
  <c r="J61" i="22"/>
  <c r="J62" i="22"/>
  <c r="J63" i="22"/>
  <c r="J64" i="22"/>
  <c r="J60" i="21"/>
  <c r="J61" i="21"/>
  <c r="J62" i="21"/>
  <c r="J63" i="21"/>
  <c r="J64" i="21"/>
  <c r="J60" i="20"/>
  <c r="J61" i="20"/>
  <c r="J62" i="20"/>
  <c r="J63" i="20"/>
  <c r="J64" i="20"/>
  <c r="J60" i="19"/>
  <c r="J61" i="19"/>
  <c r="J62" i="19"/>
  <c r="J63" i="19"/>
  <c r="J64" i="19"/>
  <c r="J60" i="13"/>
  <c r="J61" i="13"/>
  <c r="J62" i="13"/>
  <c r="J63" i="13"/>
  <c r="J64" i="13"/>
  <c r="J60" i="16"/>
  <c r="J61" i="16"/>
  <c r="J62" i="16"/>
  <c r="J63" i="16"/>
  <c r="J64" i="16"/>
  <c r="J60" i="12"/>
  <c r="J61" i="12"/>
  <c r="J62" i="12"/>
  <c r="J63" i="12"/>
  <c r="J64" i="12"/>
  <c r="J60" i="18"/>
  <c r="J61" i="18"/>
  <c r="J62" i="18"/>
  <c r="J63" i="18"/>
  <c r="J64" i="18"/>
  <c r="J60" i="17"/>
  <c r="J61" i="17"/>
  <c r="J62" i="17"/>
  <c r="J63" i="17"/>
  <c r="J64" i="17"/>
  <c r="J60" i="29"/>
  <c r="J61" i="29"/>
  <c r="J62" i="29"/>
  <c r="J63" i="29"/>
  <c r="J64" i="29"/>
  <c r="J60" i="28"/>
  <c r="J61" i="28"/>
  <c r="J62" i="28"/>
  <c r="J63" i="28"/>
  <c r="J64" i="28"/>
  <c r="J60" i="10"/>
  <c r="J61" i="10"/>
  <c r="J62" i="10"/>
  <c r="J63" i="10"/>
  <c r="J64" i="10"/>
  <c r="J60" i="6"/>
  <c r="J61" i="6"/>
  <c r="J62" i="6"/>
  <c r="J63" i="6"/>
  <c r="J64" i="6"/>
  <c r="J60" i="3"/>
  <c r="J61" i="3"/>
  <c r="J62" i="3"/>
  <c r="J63" i="3"/>
  <c r="J64" i="3"/>
  <c r="J60" i="11"/>
  <c r="J61" i="11"/>
  <c r="J62" i="11"/>
  <c r="J63" i="11"/>
  <c r="J64" i="11"/>
  <c r="J57" i="11"/>
  <c r="J58" i="11"/>
  <c r="K60" i="34"/>
  <c r="O60" i="34"/>
  <c r="K61" i="34"/>
  <c r="O61" i="34"/>
  <c r="K62" i="34"/>
  <c r="O62" i="34"/>
  <c r="K63" i="34"/>
  <c r="O63" i="34"/>
  <c r="K64" i="34"/>
  <c r="O64" i="34"/>
  <c r="K65" i="34"/>
  <c r="O65" i="34"/>
  <c r="K66" i="34"/>
  <c r="O66" i="34"/>
  <c r="O59" i="34"/>
  <c r="K59" i="34"/>
  <c r="K60" i="32"/>
  <c r="O60" i="32"/>
  <c r="K61" i="32"/>
  <c r="O61" i="32"/>
  <c r="K62" i="32"/>
  <c r="O62" i="32"/>
  <c r="K63" i="32"/>
  <c r="O63" i="32"/>
  <c r="K64" i="32"/>
  <c r="O64" i="32"/>
  <c r="K65" i="32"/>
  <c r="O65" i="32"/>
  <c r="K66" i="32"/>
  <c r="O66" i="32"/>
  <c r="O59" i="32"/>
  <c r="K59" i="32"/>
  <c r="K60" i="30"/>
  <c r="O60" i="30"/>
  <c r="K61" i="30"/>
  <c r="O61" i="30"/>
  <c r="K62" i="30"/>
  <c r="O62" i="30"/>
  <c r="K63" i="30"/>
  <c r="O63" i="30"/>
  <c r="K64" i="30"/>
  <c r="O64" i="30"/>
  <c r="K65" i="30"/>
  <c r="O65" i="30"/>
  <c r="K66" i="30"/>
  <c r="O66" i="30"/>
  <c r="O59" i="30"/>
  <c r="K59" i="30"/>
  <c r="K60" i="27"/>
  <c r="O60" i="27"/>
  <c r="K61" i="27"/>
  <c r="O61" i="27"/>
  <c r="K62" i="27"/>
  <c r="O62" i="27"/>
  <c r="K63" i="27"/>
  <c r="O63" i="27"/>
  <c r="K64" i="27"/>
  <c r="O64" i="27"/>
  <c r="K65" i="27"/>
  <c r="O65" i="27"/>
  <c r="K66" i="27"/>
  <c r="O66" i="27"/>
  <c r="O59" i="27"/>
  <c r="K59" i="27"/>
  <c r="K60" i="26"/>
  <c r="O60" i="26"/>
  <c r="K61" i="26"/>
  <c r="O61" i="26"/>
  <c r="K62" i="26"/>
  <c r="O62" i="26"/>
  <c r="K63" i="26"/>
  <c r="O63" i="26"/>
  <c r="K64" i="26"/>
  <c r="O64" i="26"/>
  <c r="K65" i="26"/>
  <c r="O65" i="26"/>
  <c r="K66" i="26"/>
  <c r="O66" i="26"/>
  <c r="O59" i="26"/>
  <c r="K59" i="26"/>
  <c r="K60" i="25"/>
  <c r="O60" i="25"/>
  <c r="K61" i="25"/>
  <c r="O61" i="25"/>
  <c r="K62" i="25"/>
  <c r="O62" i="25"/>
  <c r="K63" i="25"/>
  <c r="O63" i="25"/>
  <c r="K64" i="25"/>
  <c r="O64" i="25"/>
  <c r="K65" i="25"/>
  <c r="O65" i="25"/>
  <c r="K66" i="25"/>
  <c r="O66" i="25"/>
  <c r="O59" i="25"/>
  <c r="K59" i="25"/>
  <c r="K60" i="24"/>
  <c r="O60" i="24"/>
  <c r="K61" i="24"/>
  <c r="O61" i="24"/>
  <c r="K62" i="24"/>
  <c r="O62" i="24"/>
  <c r="K63" i="24"/>
  <c r="O63" i="24"/>
  <c r="K64" i="24"/>
  <c r="O64" i="24"/>
  <c r="K65" i="24"/>
  <c r="O65" i="24"/>
  <c r="K66" i="24"/>
  <c r="O66" i="24"/>
  <c r="O59" i="24"/>
  <c r="K59" i="24"/>
  <c r="K60" i="23"/>
  <c r="O60" i="23"/>
  <c r="K61" i="23"/>
  <c r="O61" i="23"/>
  <c r="K62" i="23"/>
  <c r="O62" i="23"/>
  <c r="K63" i="23"/>
  <c r="O63" i="23"/>
  <c r="K64" i="23"/>
  <c r="O64" i="23"/>
  <c r="K65" i="23"/>
  <c r="O65" i="23"/>
  <c r="K66" i="23"/>
  <c r="O66" i="23"/>
  <c r="O59" i="23"/>
  <c r="K59" i="23"/>
  <c r="K60" i="22"/>
  <c r="O60" i="22"/>
  <c r="K61" i="22"/>
  <c r="O61" i="22"/>
  <c r="K62" i="22"/>
  <c r="O62" i="22"/>
  <c r="K63" i="22"/>
  <c r="O63" i="22"/>
  <c r="K64" i="22"/>
  <c r="O64" i="22"/>
  <c r="K65" i="22"/>
  <c r="O65" i="22"/>
  <c r="K66" i="22"/>
  <c r="O66" i="22"/>
  <c r="O59" i="22"/>
  <c r="K59" i="22"/>
  <c r="K60" i="21"/>
  <c r="O60" i="21"/>
  <c r="K61" i="21"/>
  <c r="O61" i="21"/>
  <c r="K62" i="21"/>
  <c r="O62" i="21"/>
  <c r="K63" i="21"/>
  <c r="O63" i="21"/>
  <c r="K64" i="21"/>
  <c r="O64" i="21"/>
  <c r="K65" i="21"/>
  <c r="O65" i="21"/>
  <c r="K66" i="21"/>
  <c r="O66" i="21"/>
  <c r="O59" i="21"/>
  <c r="K59" i="21"/>
  <c r="K60" i="20"/>
  <c r="O60" i="20"/>
  <c r="K61" i="20"/>
  <c r="O61" i="20"/>
  <c r="K62" i="20"/>
  <c r="O62" i="20"/>
  <c r="K63" i="20"/>
  <c r="O63" i="20"/>
  <c r="K64" i="20"/>
  <c r="O64" i="20"/>
  <c r="K65" i="20"/>
  <c r="O65" i="20"/>
  <c r="K66" i="20"/>
  <c r="O66" i="20"/>
  <c r="O59" i="20"/>
  <c r="K59" i="20"/>
  <c r="K60" i="19"/>
  <c r="O60" i="19"/>
  <c r="K61" i="19"/>
  <c r="O61" i="19"/>
  <c r="K62" i="19"/>
  <c r="O62" i="19"/>
  <c r="K63" i="19"/>
  <c r="O63" i="19"/>
  <c r="K64" i="19"/>
  <c r="O64" i="19"/>
  <c r="K65" i="19"/>
  <c r="O65" i="19"/>
  <c r="K66" i="19"/>
  <c r="O66" i="19"/>
  <c r="O59" i="19"/>
  <c r="K59" i="19"/>
  <c r="K60" i="13"/>
  <c r="O60" i="13"/>
  <c r="K61" i="13"/>
  <c r="O61" i="13"/>
  <c r="K62" i="13"/>
  <c r="O62" i="13"/>
  <c r="K63" i="13"/>
  <c r="O63" i="13"/>
  <c r="K64" i="13"/>
  <c r="O64" i="13"/>
  <c r="K65" i="13"/>
  <c r="O65" i="13"/>
  <c r="K66" i="13"/>
  <c r="O66" i="13"/>
  <c r="O59" i="13"/>
  <c r="K59" i="13"/>
  <c r="K60" i="16"/>
  <c r="O60" i="16"/>
  <c r="K61" i="16"/>
  <c r="O61" i="16"/>
  <c r="K62" i="16"/>
  <c r="O62" i="16"/>
  <c r="K63" i="16"/>
  <c r="O63" i="16"/>
  <c r="K64" i="16"/>
  <c r="O64" i="16"/>
  <c r="K65" i="16"/>
  <c r="O65" i="16"/>
  <c r="K66" i="16"/>
  <c r="O66" i="16"/>
  <c r="O59" i="16"/>
  <c r="K59" i="16"/>
  <c r="K60" i="12"/>
  <c r="O60" i="12"/>
  <c r="K61" i="12"/>
  <c r="O61" i="12"/>
  <c r="K62" i="12"/>
  <c r="O62" i="12"/>
  <c r="K63" i="12"/>
  <c r="O63" i="12"/>
  <c r="K64" i="12"/>
  <c r="O64" i="12"/>
  <c r="K65" i="12"/>
  <c r="O65" i="12"/>
  <c r="K66" i="12"/>
  <c r="O66" i="12"/>
  <c r="O59" i="12"/>
  <c r="K59" i="12"/>
  <c r="K60" i="18"/>
  <c r="O60" i="18"/>
  <c r="K61" i="18"/>
  <c r="O61" i="18"/>
  <c r="K62" i="18"/>
  <c r="O62" i="18"/>
  <c r="K63" i="18"/>
  <c r="O63" i="18"/>
  <c r="K64" i="18"/>
  <c r="O64" i="18"/>
  <c r="K65" i="18"/>
  <c r="O65" i="18"/>
  <c r="K66" i="18"/>
  <c r="O66" i="18"/>
  <c r="O59" i="18"/>
  <c r="K59" i="18"/>
  <c r="K60" i="17"/>
  <c r="O60" i="17"/>
  <c r="K61" i="17"/>
  <c r="O61" i="17"/>
  <c r="K62" i="17"/>
  <c r="O62" i="17"/>
  <c r="K63" i="17"/>
  <c r="O63" i="17"/>
  <c r="K64" i="17"/>
  <c r="O64" i="17"/>
  <c r="K65" i="17"/>
  <c r="O65" i="17"/>
  <c r="K66" i="17"/>
  <c r="O66" i="17"/>
  <c r="O59" i="17"/>
  <c r="K59" i="17"/>
  <c r="K60" i="29"/>
  <c r="O60" i="29"/>
  <c r="K61" i="29"/>
  <c r="O61" i="29"/>
  <c r="K62" i="29"/>
  <c r="O62" i="29"/>
  <c r="K63" i="29"/>
  <c r="O63" i="29"/>
  <c r="K64" i="29"/>
  <c r="O64" i="29"/>
  <c r="K65" i="29"/>
  <c r="O65" i="29"/>
  <c r="K66" i="29"/>
  <c r="O66" i="29"/>
  <c r="O59" i="29"/>
  <c r="K59" i="29"/>
  <c r="K60" i="28"/>
  <c r="O60" i="28"/>
  <c r="K61" i="28"/>
  <c r="O61" i="28"/>
  <c r="K62" i="28"/>
  <c r="O62" i="28"/>
  <c r="K63" i="28"/>
  <c r="O63" i="28"/>
  <c r="K64" i="28"/>
  <c r="O64" i="28"/>
  <c r="K65" i="28"/>
  <c r="O65" i="28"/>
  <c r="K66" i="28"/>
  <c r="O66" i="28"/>
  <c r="O59" i="28"/>
  <c r="K59" i="28"/>
  <c r="K60" i="10"/>
  <c r="O60" i="10"/>
  <c r="K61" i="10"/>
  <c r="O61" i="10"/>
  <c r="K62" i="10"/>
  <c r="O62" i="10"/>
  <c r="K63" i="10"/>
  <c r="O63" i="10"/>
  <c r="K64" i="10"/>
  <c r="O64" i="10"/>
  <c r="K65" i="10"/>
  <c r="O65" i="10"/>
  <c r="K66" i="10"/>
  <c r="O66" i="10"/>
  <c r="O59" i="10"/>
  <c r="K59" i="10"/>
  <c r="K60" i="6"/>
  <c r="O60" i="6"/>
  <c r="K61" i="6"/>
  <c r="O61" i="6"/>
  <c r="K62" i="6"/>
  <c r="O62" i="6"/>
  <c r="K63" i="6"/>
  <c r="O63" i="6"/>
  <c r="K64" i="6"/>
  <c r="O64" i="6"/>
  <c r="K65" i="6"/>
  <c r="O65" i="6"/>
  <c r="K66" i="6"/>
  <c r="O66" i="6"/>
  <c r="O59" i="6"/>
  <c r="K59" i="6"/>
  <c r="K60" i="3"/>
  <c r="O60" i="3"/>
  <c r="K61" i="3"/>
  <c r="O61" i="3"/>
  <c r="K62" i="3"/>
  <c r="O62" i="3"/>
  <c r="K63" i="3"/>
  <c r="O63" i="3"/>
  <c r="K64" i="3"/>
  <c r="O64" i="3"/>
  <c r="K65" i="3"/>
  <c r="O65" i="3"/>
  <c r="K66" i="3"/>
  <c r="O66" i="3"/>
  <c r="O59" i="3"/>
  <c r="K59" i="3"/>
  <c r="K60" i="11"/>
  <c r="O60" i="11"/>
  <c r="K61" i="11"/>
  <c r="O61" i="11"/>
  <c r="K62" i="11"/>
  <c r="O62" i="11"/>
  <c r="K63" i="11"/>
  <c r="O63" i="11"/>
  <c r="K64" i="11"/>
  <c r="O64" i="11"/>
  <c r="K65" i="11"/>
  <c r="O65" i="11"/>
  <c r="K66" i="11"/>
  <c r="O66" i="11"/>
  <c r="O59" i="11"/>
  <c r="K59" i="11"/>
  <c r="J16" i="10"/>
  <c r="J17" i="10"/>
  <c r="J18" i="10"/>
  <c r="J19" i="10"/>
  <c r="J10" i="3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H23" i="31" l="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4" i="31"/>
  <c r="P23" i="31"/>
  <c r="L13" i="31"/>
  <c r="P20" i="31"/>
  <c r="L16" i="31"/>
  <c r="P18" i="31"/>
  <c r="L23" i="31"/>
  <c r="P16" i="31"/>
  <c r="L9" i="31"/>
  <c r="P14" i="31"/>
  <c r="P13" i="31"/>
  <c r="P12" i="31"/>
  <c r="P11" i="31"/>
  <c r="P10" i="31"/>
  <c r="L19" i="31"/>
  <c r="L11" i="31"/>
  <c r="L12" i="31"/>
  <c r="L6" i="31"/>
  <c r="L8" i="31"/>
  <c r="P3" i="31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D15" i="31" l="1"/>
  <c r="D17" i="31"/>
  <c r="D21" i="31"/>
  <c r="D25" i="31"/>
  <c r="D24" i="31"/>
  <c r="D16" i="31"/>
  <c r="D22" i="31"/>
  <c r="D20" i="31"/>
  <c r="D19" i="31"/>
  <c r="D18" i="31"/>
  <c r="D23" i="31"/>
  <c r="D14" i="31"/>
  <c r="P4" i="31"/>
  <c r="D10" i="31" s="1"/>
  <c r="L4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V16" i="1" s="1"/>
  <c r="D3" i="31" l="1"/>
  <c r="D4" i="31"/>
  <c r="D12" i="31"/>
  <c r="D13" i="31"/>
  <c r="D11" i="31"/>
  <c r="D7" i="31"/>
  <c r="D9" i="31"/>
  <c r="D6" i="31"/>
  <c r="D8" i="31"/>
  <c r="D5" i="31"/>
  <c r="R16" i="1"/>
  <c r="R12" i="1"/>
  <c r="R8" i="1"/>
</calcChain>
</file>

<file path=xl/sharedStrings.xml><?xml version="1.0" encoding="utf-8"?>
<sst xmlns="http://schemas.openxmlformats.org/spreadsheetml/2006/main" count="6768" uniqueCount="230">
  <si>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</si>
  <si>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</si>
  <si>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</si>
  <si>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</si>
  <si>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</si>
  <si>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</si>
  <si>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</si>
  <si>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</si>
  <si>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</si>
  <si>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Camarões</t>
  </si>
  <si>
    <t>Canadá</t>
  </si>
  <si>
    <t>Catar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</si>
  <si>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</si>
  <si>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</si>
  <si>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</si>
  <si>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</si>
  <si>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</si>
  <si>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</si>
  <si>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</si>
  <si>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</si>
  <si>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</si>
  <si>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</si>
  <si>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</si>
  <si>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</si>
  <si>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</si>
  <si>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</si>
  <si>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</si>
  <si>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</si>
  <si>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</si>
  <si>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</si>
  <si>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</si>
  <si>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</si>
  <si>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</si>
  <si>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</si>
  <si>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</si>
  <si>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</si>
  <si>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</si>
  <si>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</si>
  <si>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</si>
  <si>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</si>
  <si>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</si>
  <si>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ARTILHEIRO:</t>
  </si>
  <si>
    <t>CAMPEÃO: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</si>
  <si>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</si>
  <si>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</si>
  <si>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</si>
  <si>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</si>
  <si>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</si>
  <si>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</si>
  <si>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</si>
  <si>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</si>
  <si>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</si>
  <si>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TOTAL DE PONTOS</t>
  </si>
  <si>
    <t>X</t>
  </si>
  <si>
    <t>EUA</t>
  </si>
  <si>
    <t>ArábiaSaudita</t>
  </si>
  <si>
    <t>CostaRica</t>
  </si>
  <si>
    <t>CoreiadoSul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</si>
  <si>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</si>
  <si>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</si>
  <si>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</si>
  <si>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</si>
  <si>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</si>
  <si>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</si>
  <si>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</si>
  <si>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</si>
  <si>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</si>
  <si>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CoreiaDoSul</t>
  </si>
  <si>
    <t>N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</si>
  <si>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</si>
  <si>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</si>
  <si>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</si>
  <si>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</si>
  <si>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</si>
  <si>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</si>
  <si>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</si>
  <si>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</si>
  <si>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</si>
  <si>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</si>
  <si>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</si>
  <si>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</si>
  <si>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</si>
  <si>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</si>
  <si>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</si>
  <si>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</si>
  <si>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</si>
  <si>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</si>
  <si>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</si>
  <si>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</si>
  <si>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</si>
  <si>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</si>
  <si>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</si>
  <si>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</si>
  <si>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</si>
  <si>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</si>
  <si>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</si>
  <si>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</si>
  <si>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</si>
  <si>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</si>
  <si>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</si>
  <si>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</si>
  <si>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</si>
  <si>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</si>
  <si>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</si>
  <si>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</si>
  <si>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</si>
  <si>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</si>
  <si>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</si>
  <si>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</si>
  <si>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</si>
  <si>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</si>
  <si>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</si>
  <si>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</si>
  <si>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</si>
  <si>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</si>
  <si>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</si>
  <si>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</si>
  <si>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</si>
  <si>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</si>
  <si>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</si>
  <si>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</si>
  <si>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</si>
  <si>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</si>
  <si>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</si>
  <si>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</si>
  <si>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</si>
  <si>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</si>
  <si>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</si>
  <si>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</si>
  <si>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</si>
  <si>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</si>
  <si>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</si>
  <si>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</si>
  <si>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</si>
  <si>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</si>
  <si>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</si>
  <si>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</si>
  <si>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</si>
  <si>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</si>
  <si>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</si>
  <si>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</si>
  <si>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</si>
  <si>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</si>
  <si>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</si>
  <si>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</si>
  <si>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</si>
  <si>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</si>
  <si>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</si>
  <si>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</si>
  <si>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</si>
  <si>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</si>
  <si>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</si>
  <si>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</si>
  <si>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</si>
  <si>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</si>
  <si>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</si>
  <si>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</si>
  <si>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</si>
  <si>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</si>
  <si>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</si>
  <si>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</si>
  <si>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</si>
  <si>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</si>
  <si>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</si>
  <si>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</si>
  <si>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</si>
  <si>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</si>
  <si>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</si>
  <si>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</si>
  <si>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Holanda x EUA - INVÁLIDO</t>
  </si>
  <si>
    <t>Oitavas de Final</t>
  </si>
  <si>
    <t xml:space="preserve"> 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</si>
  <si>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</si>
  <si>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</si>
  <si>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</si>
  <si>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</si>
  <si>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</si>
  <si>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</si>
  <si>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</si>
  <si>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Terceiro Lugar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</si>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</sst>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3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0" fontId="20" fillId="13" borderId="5" xfId="0" applyFont="1" applyFill="1" applyBorder="1" applyAlignment="1">
      <alignment horizontal="center" vertical="center" wrapText="1"/>
    </xf>
    <xf numFmtId="0" fontId="20" fillId="13" borderId="6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4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8" fillId="0" borderId="0" xfId="0" applyFont="1" applyFill="1" applyBorder="1" applyAlignment="1">
      <alignment horizontal="right" vertical="center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Border="1" applyAlignment="1">
      <alignment horizontal="right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19" borderId="0" xfId="0" applyFont="1" applyFill="1" applyAlignment="1">
      <alignment horizontal="right" vertical="center"/>
    </xf>
    <xf numFmtId="0" fontId="3" fillId="19" borderId="0" xfId="0" applyFont="1" applyFill="1" applyAlignment="1">
      <alignment horizontal="center" vertical="center"/>
    </xf>
    <xf numFmtId="0" fontId="3" fillId="19" borderId="0" xfId="0" applyFont="1" applyFill="1" applyAlignment="1">
      <alignment horizontal="left" vertical="center"/>
    </xf>
    <xf numFmtId="0" fontId="8" fillId="22" borderId="0" xfId="0" applyFont="1" applyFill="1" applyBorder="1" applyAlignment="1">
      <alignment horizontal="right" vertical="center"/>
    </xf>
    <xf numFmtId="0" fontId="0" fillId="22" borderId="0" xfId="0" applyFill="1" applyBorder="1" applyAlignment="1">
      <alignment horizontal="center" vertical="center"/>
    </xf>
    <xf numFmtId="0" fontId="0" fillId="22" borderId="0" xfId="0" applyFill="1" applyBorder="1" applyAlignment="1">
      <alignment horizontal="left" vertical="center"/>
    </xf>
    <xf numFmtId="0" fontId="3" fillId="19" borderId="0" xfId="0" applyFont="1" applyFill="1" applyBorder="1" applyAlignment="1">
      <alignment horizontal="left" vertical="center"/>
    </xf>
    <xf numFmtId="0" fontId="3" fillId="19" borderId="0" xfId="0" applyFont="1" applyFill="1" applyBorder="1" applyAlignment="1">
      <alignment horizontal="right" vertical="center"/>
    </xf>
    <xf numFmtId="0" fontId="3" fillId="19" borderId="0" xfId="0" applyFont="1" applyFill="1" applyBorder="1" applyAlignment="1">
      <alignment horizontal="center" vertical="center"/>
    </xf>
    <xf numFmtId="0" fontId="8" fillId="22" borderId="0" xfId="0" applyFont="1" applyFill="1" applyBorder="1" applyAlignment="1">
      <alignment vertical="center"/>
    </xf>
    <xf numFmtId="0" fontId="0" fillId="22" borderId="0" xfId="0" applyFill="1" applyBorder="1" applyAlignment="1">
      <alignment vertical="center"/>
    </xf>
    <xf numFmtId="0" fontId="8" fillId="22" borderId="0" xfId="0" applyFont="1" applyFill="1" applyBorder="1"/>
    <xf numFmtId="0" fontId="0" fillId="22" borderId="0" xfId="0" applyFill="1" applyBorder="1"/>
    <xf numFmtId="0" fontId="8" fillId="22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22" borderId="0" xfId="0" applyFill="1" applyAlignment="1">
      <alignment vertical="center"/>
    </xf>
    <xf numFmtId="0" fontId="0" fillId="15" borderId="4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2" borderId="0" xfId="0" applyFont="1" applyFill="1" applyAlignment="1">
      <alignment horizontal="right" vertical="center"/>
    </xf>
    <xf numFmtId="0" fontId="0" fillId="22" borderId="0" xfId="0" applyFont="1" applyFill="1" applyAlignment="1">
      <alignment horizontal="center" vertical="center"/>
    </xf>
    <xf numFmtId="0" fontId="0" fillId="22" borderId="0" xfId="0" applyFont="1" applyFill="1" applyAlignment="1">
      <alignment horizontal="left" vertical="center"/>
    </xf>
    <xf numFmtId="0" fontId="0" fillId="22" borderId="0" xfId="0" applyFont="1" applyFill="1" applyAlignment="1">
      <alignment vertical="center"/>
    </xf>
    <xf numFmtId="0" fontId="0" fillId="22" borderId="5" xfId="0" applyFont="1" applyFill="1" applyBorder="1" applyAlignment="1">
      <alignment horizontal="right" vertical="center"/>
    </xf>
    <xf numFmtId="0" fontId="0" fillId="22" borderId="5" xfId="0" applyFont="1" applyFill="1" applyBorder="1" applyAlignment="1">
      <alignment horizontal="center" vertical="center"/>
    </xf>
    <xf numFmtId="0" fontId="0" fillId="22" borderId="5" xfId="0" applyFont="1" applyFill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2" borderId="5" xfId="0" applyFont="1" applyFill="1" applyBorder="1" applyAlignment="1">
      <alignment vertical="center"/>
    </xf>
    <xf numFmtId="0" fontId="24" fillId="2" borderId="5" xfId="0" applyFont="1" applyFill="1" applyBorder="1" applyAlignment="1">
      <alignment horizontal="center" vertical="center" wrapText="1"/>
    </xf>
    <xf numFmtId="0" fontId="0" fillId="0" borderId="5" xfId="0" applyFont="1" applyFill="1" applyBorder="1" applyAlignment="1">
      <alignment vertical="center"/>
    </xf>
    <xf numFmtId="0" fontId="0" fillId="0" borderId="5" xfId="0" applyFont="1" applyBorder="1" applyAlignment="1">
      <alignment vertical="center"/>
    </xf>
    <xf numFmtId="0" fontId="0" fillId="18" borderId="5" xfId="0" applyFont="1" applyFill="1" applyBorder="1" applyAlignment="1">
      <alignment vertical="center"/>
    </xf>
    <xf numFmtId="0" fontId="10" fillId="18" borderId="5" xfId="0" applyFont="1" applyFill="1" applyBorder="1" applyAlignment="1">
      <alignment horizontal="left" vertical="center"/>
    </xf>
    <xf numFmtId="0" fontId="10" fillId="18" borderId="5" xfId="0" applyFont="1" applyFill="1" applyBorder="1" applyAlignment="1">
      <alignment vertical="center"/>
    </xf>
    <xf numFmtId="0" fontId="0" fillId="18" borderId="5" xfId="0" applyFont="1" applyFill="1" applyBorder="1" applyAlignment="1">
      <alignment horizontal="left" vertical="center"/>
    </xf>
    <xf numFmtId="0" fontId="8" fillId="4" borderId="5" xfId="0" applyFont="1" applyFill="1" applyBorder="1" applyAlignment="1">
      <alignment horizontal="left" vertical="center"/>
    </xf>
    <xf numFmtId="0" fontId="8" fillId="4" borderId="5" xfId="0" applyFont="1" applyFill="1" applyBorder="1" applyAlignment="1">
      <alignment vertical="center"/>
    </xf>
    <xf numFmtId="0" fontId="14" fillId="18" borderId="5" xfId="0" applyFont="1" applyFill="1" applyBorder="1" applyAlignment="1">
      <alignment horizontal="left" vertical="center"/>
    </xf>
    <xf numFmtId="0" fontId="14" fillId="18" borderId="5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3" fillId="3" borderId="4" xfId="0" applyFont="1" applyFill="1" applyBorder="1" applyAlignment="1">
      <alignment horizontal="center" vertical="center"/>
    </xf>
    <xf numFmtId="0" fontId="23" fillId="3" borderId="5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2" fillId="10" borderId="4" xfId="0" applyFont="1" applyFill="1" applyBorder="1" applyAlignment="1">
      <alignment horizontal="center" vertical="center"/>
    </xf>
    <xf numFmtId="0" fontId="22" fillId="10" borderId="5" xfId="0" applyFont="1" applyFill="1" applyBorder="1" applyAlignment="1">
      <alignment horizontal="center" vertical="center"/>
    </xf>
    <xf numFmtId="0" fontId="0" fillId="3" borderId="5" xfId="0" applyFont="1" applyFill="1" applyBorder="1" applyAlignment="1">
      <alignment horizontal="center" vertical="center"/>
    </xf>
    <xf numFmtId="0" fontId="0" fillId="17" borderId="5" xfId="0" applyFont="1" applyFill="1" applyBorder="1" applyAlignment="1">
      <alignment horizontal="center" vertical="center"/>
    </xf>
    <xf numFmtId="0" fontId="8" fillId="9" borderId="5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9" fillId="2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8" fillId="13" borderId="0" xfId="0" applyFont="1" applyFill="1" applyBorder="1" applyAlignment="1">
      <alignment horizontal="right" vertical="center"/>
    </xf>
    <xf numFmtId="0" fontId="0" fillId="9" borderId="0" xfId="0" applyFill="1" applyBorder="1" applyAlignment="1">
      <alignment horizontal="left" vertical="center"/>
    </xf>
    <xf numFmtId="0" fontId="3" fillId="20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16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3" fillId="21" borderId="0" xfId="0" applyFon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3" fillId="7" borderId="0" xfId="0" applyFont="1" applyFill="1" applyBorder="1" applyAlignment="1">
      <alignment horizontal="left" vertical="center"/>
    </xf>
    <xf numFmtId="0" fontId="3" fillId="19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  <color rgb="FFFFFF99"/>
      <color rgb="FFFF9999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268941</xdr:colOff>
      <xdr:row>1</xdr:row>
      <xdr:rowOff>0</xdr:rowOff>
    </xdr:from>
    <xdr:to>
      <xdr:col>18</xdr:col>
      <xdr:colOff>145676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304E90C-5109-45BD-9CBF-86C04A502152}"/>
            </a:ext>
          </a:extLst>
        </xdr:cNvPr>
        <xdr:cNvSpPr/>
      </xdr:nvSpPr>
      <xdr:spPr>
        <a:xfrm>
          <a:off x="8460441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201706</xdr:colOff>
      <xdr:row>1</xdr:row>
      <xdr:rowOff>0</xdr:rowOff>
    </xdr:from>
    <xdr:to>
      <xdr:col>21</xdr:col>
      <xdr:colOff>100853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E6671028-82F0-4A70-B7F9-F1D2E91B1DFD}"/>
            </a:ext>
          </a:extLst>
        </xdr:cNvPr>
        <xdr:cNvSpPr/>
      </xdr:nvSpPr>
      <xdr:spPr>
        <a:xfrm>
          <a:off x="9536206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51259E2D-CBCC-4DE5-B354-7501678E5F98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45F719D0-DD91-4609-AD2E-B08FF9EAD37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EEEE60-6F2D-4D17-884F-F7500780B1AD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D5AA7EA-9DE6-4ABA-8DCC-7C6A8824C2BD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FD22D6C-196A-4162-BE2A-C0BD5D0E941A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9DF29AC-52BC-411E-8654-02C1C2209E20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F5F1AC3-8FE9-477F-A72D-260132EAE197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B27886A-179A-4DF2-B133-6146E88FB8E1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1CF9614-E114-465F-AA94-56E4293C34D4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8BB00FE-897D-446E-9D83-24EB1C1FB9C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05EAAC7-8F70-428B-9AD3-91EA02A6487B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240DCD99-3D6C-49F5-831A-6A32CF7EF975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0741A55-8D57-4DFB-BF0B-FDE382D3224E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FE9FB54-531B-47BF-8DA2-F5D49C2F635F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11636FF-8B28-4BAA-A280-5FE69D2D800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11E47E3-C20E-4B6B-A0F9-6EBE098C34DE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2E74E8B-BCD8-47CC-966B-CD2D64DD5EED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B27AB11B-FA65-4012-A8E9-83138AD4537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0C19881-613A-4ADD-A800-C4F9B5643D4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F22D3F9-DC2C-4F49-BEE5-FAAC013751FF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F69C873-7280-48D7-A13D-B0A189F189B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AF68D9AF-2FFC-4F80-B26A-BEBDE03F64E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F85E276-3548-4424-B0CE-8D250C30F31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85DFF19-9AD2-4DC5-9523-78DDB2FF1F06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D2EC782-F52A-4B60-BEAE-FEE10DAF089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4DE41095-0A1A-40E8-B9E4-493E0CF9E83B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B8EDC81-07DA-417E-AE93-D96B2D51FC0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730E8C2-0CE3-444B-A94F-A600E253957C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4BC829D-8832-4A13-B3DB-64E5A0D1A9B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6E84DEDD-B3EB-46A7-AB61-16B52A9D4510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0C5398C-01A5-4AA5-A2A6-2C220777CF74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F210635-2165-43F5-813B-18F62C69BFA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9C9DB19C-6696-4BDE-BDA5-C018309E98F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830A1F00-C0E8-419A-A0B1-82E004FAD9D1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E6DF4DC-55C3-4890-B9E6-1F150BD74E1F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0DEC19D-59DA-46F1-B967-A5FEE1509C27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9491D31-86EC-456A-B284-A61798225ED7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A8C8B98-0B1D-47B2-A7E5-22304F797D53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04DCF0D-0DCA-477D-89DA-D259437785C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AAF8EE1-B067-450E-9B6C-47D685587EB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89F4BBC-BE53-4263-BA10-E4819B8F556A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9AA0A74-2111-4E32-8D0F-F34ED946913C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58"/>
  <sheetViews>
    <sheetView workbookViewId="0">
      <selection activeCell="L2" sqref="L2"/>
    </sheetView>
  </sheetViews>
  <sheetFormatPr defaultColWidth="4" defaultRowHeight="15" x14ac:dyDescent="0.25"/>
  <sheetData>
    <row r="2" spans="2:12" x14ac:dyDescent="0.25">
      <c r="B2" s="127" t="s">
        <v>16</v>
      </c>
      <c r="C2" s="127"/>
      <c r="D2" s="127"/>
      <c r="E2" s="114">
        <v>1</v>
      </c>
      <c r="F2" s="114"/>
      <c r="G2" s="114">
        <v>1</v>
      </c>
      <c r="H2" s="127" t="s">
        <v>34</v>
      </c>
      <c r="I2" s="127"/>
      <c r="J2" s="127"/>
      <c r="L2" t="s">
        <v>89</v>
      </c>
    </row>
    <row r="3" spans="2:12" x14ac:dyDescent="0.25">
      <c r="B3" s="127" t="s">
        <v>55</v>
      </c>
      <c r="C3" s="127"/>
      <c r="D3" s="127"/>
      <c r="E3" s="114">
        <v>1</v>
      </c>
      <c r="F3" s="114"/>
      <c r="G3" s="114">
        <v>2</v>
      </c>
      <c r="H3" s="127" t="s">
        <v>24</v>
      </c>
      <c r="I3" s="127"/>
      <c r="J3" s="127"/>
    </row>
    <row r="4" spans="2:12" x14ac:dyDescent="0.25">
      <c r="B4" s="127" t="s">
        <v>10</v>
      </c>
      <c r="C4" s="127"/>
      <c r="D4" s="127"/>
      <c r="E4" s="114">
        <v>1</v>
      </c>
      <c r="F4" s="114"/>
      <c r="G4" s="114">
        <v>2</v>
      </c>
      <c r="H4" s="127" t="s">
        <v>23</v>
      </c>
      <c r="I4" s="127"/>
      <c r="J4" s="127"/>
    </row>
    <row r="5" spans="2:12" x14ac:dyDescent="0.25">
      <c r="B5" s="127" t="s">
        <v>5</v>
      </c>
      <c r="C5" s="127"/>
      <c r="D5" s="127"/>
      <c r="E5" s="114">
        <v>2</v>
      </c>
      <c r="F5" s="114"/>
      <c r="G5" s="114">
        <v>1</v>
      </c>
      <c r="H5" s="127" t="s">
        <v>6</v>
      </c>
      <c r="I5" s="127"/>
      <c r="J5" s="127"/>
    </row>
    <row r="6" spans="2:12" x14ac:dyDescent="0.25">
      <c r="B6" s="127" t="s">
        <v>20</v>
      </c>
      <c r="C6" s="127"/>
      <c r="D6" s="127"/>
      <c r="E6" s="114">
        <v>1</v>
      </c>
      <c r="F6" s="114"/>
      <c r="G6" s="114">
        <v>2</v>
      </c>
      <c r="H6" s="127" t="s">
        <v>17</v>
      </c>
      <c r="I6" s="127"/>
      <c r="J6" s="127"/>
    </row>
    <row r="7" spans="2:12" x14ac:dyDescent="0.25">
      <c r="B7" s="127" t="s">
        <v>17</v>
      </c>
      <c r="C7" s="127"/>
      <c r="D7" s="127"/>
      <c r="E7" s="114">
        <v>2</v>
      </c>
      <c r="F7" s="114"/>
      <c r="G7" s="114">
        <v>0</v>
      </c>
      <c r="H7" s="127" t="s">
        <v>23</v>
      </c>
      <c r="I7" s="127"/>
      <c r="J7" s="127"/>
    </row>
    <row r="9" spans="2:12" x14ac:dyDescent="0.25">
      <c r="B9" s="127" t="s">
        <v>28</v>
      </c>
      <c r="C9" s="127"/>
      <c r="D9" s="127"/>
      <c r="E9" s="114">
        <v>0</v>
      </c>
      <c r="F9" s="114"/>
      <c r="G9" s="114">
        <v>2</v>
      </c>
      <c r="H9" s="127" t="s">
        <v>19</v>
      </c>
      <c r="I9" s="127"/>
      <c r="J9" s="127"/>
      <c r="L9" t="s">
        <v>88</v>
      </c>
    </row>
    <row r="10" spans="2:12" x14ac:dyDescent="0.25">
      <c r="B10" s="127" t="s">
        <v>26</v>
      </c>
      <c r="C10" s="127"/>
      <c r="D10" s="127"/>
      <c r="E10" s="114">
        <v>2</v>
      </c>
      <c r="F10" s="114"/>
      <c r="G10" s="114">
        <v>0</v>
      </c>
      <c r="H10" s="127" t="s">
        <v>55</v>
      </c>
      <c r="I10" s="127"/>
      <c r="J10" s="127"/>
    </row>
    <row r="11" spans="2:12" x14ac:dyDescent="0.25">
      <c r="B11" s="127" t="s">
        <v>18</v>
      </c>
      <c r="C11" s="127"/>
      <c r="D11" s="127"/>
      <c r="E11" s="114">
        <v>0</v>
      </c>
      <c r="F11" s="114"/>
      <c r="G11" s="114">
        <v>2</v>
      </c>
      <c r="H11" s="127" t="s">
        <v>32</v>
      </c>
      <c r="I11" s="127"/>
      <c r="J11" s="127"/>
    </row>
    <row r="12" spans="2:12" x14ac:dyDescent="0.25">
      <c r="B12" s="127" t="s">
        <v>5</v>
      </c>
      <c r="C12" s="127"/>
      <c r="D12" s="127"/>
      <c r="E12" s="114">
        <v>2</v>
      </c>
      <c r="F12" s="114"/>
      <c r="G12" s="114">
        <v>1</v>
      </c>
      <c r="H12" s="127" t="s">
        <v>6</v>
      </c>
      <c r="I12" s="127"/>
      <c r="J12" s="127"/>
    </row>
    <row r="13" spans="2:12" x14ac:dyDescent="0.25">
      <c r="B13" s="127" t="s">
        <v>17</v>
      </c>
      <c r="C13" s="127"/>
      <c r="D13" s="127"/>
      <c r="E13" s="114">
        <v>2</v>
      </c>
      <c r="F13" s="114"/>
      <c r="G13" s="114">
        <v>0</v>
      </c>
      <c r="H13" s="127" t="s">
        <v>23</v>
      </c>
      <c r="I13" s="127"/>
      <c r="J13" s="127"/>
    </row>
    <row r="15" spans="2:12" x14ac:dyDescent="0.25">
      <c r="B15" s="127" t="s">
        <v>28</v>
      </c>
      <c r="C15" s="127"/>
      <c r="D15" s="127"/>
      <c r="E15" s="114">
        <v>0</v>
      </c>
      <c r="F15" s="114"/>
      <c r="G15" s="114">
        <v>2</v>
      </c>
      <c r="H15" s="127" t="s">
        <v>19</v>
      </c>
      <c r="I15" s="127"/>
      <c r="J15" s="127"/>
      <c r="L15" t="s">
        <v>87</v>
      </c>
    </row>
    <row r="16" spans="2:12" x14ac:dyDescent="0.25">
      <c r="B16" s="127" t="s">
        <v>19</v>
      </c>
      <c r="C16" s="127"/>
      <c r="D16" s="127"/>
      <c r="E16" s="114">
        <v>1</v>
      </c>
      <c r="F16" s="114"/>
      <c r="G16" s="114">
        <v>1</v>
      </c>
      <c r="H16" s="127" t="s">
        <v>14</v>
      </c>
      <c r="I16" s="127"/>
      <c r="J16" s="127"/>
    </row>
    <row r="17" spans="2:12" x14ac:dyDescent="0.25">
      <c r="B17" s="127" t="s">
        <v>26</v>
      </c>
      <c r="C17" s="127"/>
      <c r="D17" s="127"/>
      <c r="E17" s="114">
        <v>0</v>
      </c>
      <c r="F17" s="114"/>
      <c r="G17" s="114">
        <v>2</v>
      </c>
      <c r="H17" s="127" t="s">
        <v>5</v>
      </c>
      <c r="I17" s="127"/>
      <c r="J17" s="127"/>
    </row>
    <row r="18" spans="2:12" x14ac:dyDescent="0.25">
      <c r="B18" s="127" t="s">
        <v>15</v>
      </c>
      <c r="C18" s="127"/>
      <c r="D18" s="127"/>
      <c r="E18" s="114">
        <v>1</v>
      </c>
      <c r="F18" s="114"/>
      <c r="G18" s="114">
        <v>1</v>
      </c>
      <c r="H18" s="127" t="s">
        <v>4</v>
      </c>
      <c r="I18" s="127"/>
      <c r="J18" s="127"/>
    </row>
    <row r="19" spans="2:12" x14ac:dyDescent="0.25">
      <c r="B19" s="127" t="s">
        <v>18</v>
      </c>
      <c r="C19" s="127"/>
      <c r="D19" s="127"/>
      <c r="E19" s="114">
        <v>0</v>
      </c>
      <c r="F19" s="114"/>
      <c r="G19" s="114">
        <v>2</v>
      </c>
      <c r="H19" s="127" t="s">
        <v>32</v>
      </c>
      <c r="I19" s="127"/>
      <c r="J19" s="127"/>
    </row>
    <row r="20" spans="2:12" x14ac:dyDescent="0.25">
      <c r="B20" s="127" t="s">
        <v>5</v>
      </c>
      <c r="C20" s="127"/>
      <c r="D20" s="127"/>
      <c r="E20" s="114">
        <v>2</v>
      </c>
      <c r="F20" s="114"/>
      <c r="G20" s="114">
        <v>1</v>
      </c>
      <c r="H20" s="127" t="s">
        <v>6</v>
      </c>
      <c r="I20" s="127"/>
      <c r="J20" s="127"/>
    </row>
    <row r="22" spans="2:12" x14ac:dyDescent="0.25">
      <c r="B22" s="127" t="s">
        <v>16</v>
      </c>
      <c r="C22" s="127"/>
      <c r="D22" s="127"/>
      <c r="E22" s="114">
        <v>1</v>
      </c>
      <c r="F22" s="114"/>
      <c r="G22" s="114">
        <v>1</v>
      </c>
      <c r="H22" s="127" t="s">
        <v>34</v>
      </c>
      <c r="I22" s="127"/>
      <c r="J22" s="127"/>
      <c r="L22" t="s">
        <v>86</v>
      </c>
    </row>
    <row r="23" spans="2:12" x14ac:dyDescent="0.25">
      <c r="B23" s="127" t="s">
        <v>34</v>
      </c>
      <c r="C23" s="127"/>
      <c r="D23" s="127"/>
      <c r="E23" s="114">
        <v>0</v>
      </c>
      <c r="F23" s="114"/>
      <c r="G23" s="114">
        <v>3</v>
      </c>
      <c r="H23" s="127" t="s">
        <v>20</v>
      </c>
      <c r="I23" s="127"/>
      <c r="J23" s="127"/>
    </row>
    <row r="24" spans="2:12" x14ac:dyDescent="0.25">
      <c r="B24" s="127" t="s">
        <v>26</v>
      </c>
      <c r="C24" s="127"/>
      <c r="D24" s="127"/>
      <c r="E24" s="114">
        <v>2</v>
      </c>
      <c r="F24" s="114"/>
      <c r="G24" s="114">
        <v>0</v>
      </c>
      <c r="H24" s="127" t="s">
        <v>55</v>
      </c>
      <c r="I24" s="127"/>
      <c r="J24" s="127"/>
    </row>
    <row r="25" spans="2:12" x14ac:dyDescent="0.25">
      <c r="B25" s="127" t="s">
        <v>12</v>
      </c>
      <c r="C25" s="127"/>
      <c r="D25" s="127"/>
      <c r="E25" s="114">
        <v>2</v>
      </c>
      <c r="F25" s="114"/>
      <c r="G25" s="114">
        <v>1</v>
      </c>
      <c r="H25" s="127" t="s">
        <v>23</v>
      </c>
      <c r="I25" s="127"/>
      <c r="J25" s="127"/>
    </row>
    <row r="27" spans="2:12" x14ac:dyDescent="0.25">
      <c r="B27" s="127" t="s">
        <v>31</v>
      </c>
      <c r="C27" s="127"/>
      <c r="D27" s="127"/>
      <c r="E27" s="114">
        <v>0</v>
      </c>
      <c r="F27" s="114"/>
      <c r="G27" s="114">
        <v>1</v>
      </c>
      <c r="H27" s="127" t="s">
        <v>6</v>
      </c>
      <c r="I27" s="127"/>
      <c r="J27" s="127"/>
      <c r="L27" t="s">
        <v>85</v>
      </c>
    </row>
    <row r="28" spans="2:12" x14ac:dyDescent="0.25">
      <c r="B28" s="127" t="s">
        <v>15</v>
      </c>
      <c r="C28" s="127"/>
      <c r="D28" s="127"/>
      <c r="E28" s="114">
        <v>1</v>
      </c>
      <c r="F28" s="114"/>
      <c r="G28" s="114">
        <v>1</v>
      </c>
      <c r="H28" s="127" t="s">
        <v>4</v>
      </c>
      <c r="I28" s="127"/>
      <c r="J28" s="127"/>
    </row>
    <row r="29" spans="2:12" x14ac:dyDescent="0.25">
      <c r="B29" s="127" t="s">
        <v>5</v>
      </c>
      <c r="C29" s="127"/>
      <c r="D29" s="127"/>
      <c r="E29" s="114">
        <v>2</v>
      </c>
      <c r="F29" s="114"/>
      <c r="G29" s="114">
        <v>1</v>
      </c>
      <c r="H29" s="127" t="s">
        <v>6</v>
      </c>
      <c r="I29" s="127"/>
      <c r="J29" s="127"/>
    </row>
    <row r="31" spans="2:12" x14ac:dyDescent="0.25">
      <c r="B31" s="127" t="s">
        <v>4</v>
      </c>
      <c r="C31" s="127"/>
      <c r="D31" s="127"/>
      <c r="E31" s="114">
        <v>1</v>
      </c>
      <c r="F31" s="114"/>
      <c r="G31" s="114">
        <v>2</v>
      </c>
      <c r="H31" s="127" t="s">
        <v>22</v>
      </c>
      <c r="I31" s="127"/>
      <c r="J31" s="127"/>
      <c r="L31" t="s">
        <v>84</v>
      </c>
    </row>
    <row r="32" spans="2:12" x14ac:dyDescent="0.25">
      <c r="B32" s="127" t="s">
        <v>15</v>
      </c>
      <c r="C32" s="127"/>
      <c r="D32" s="127"/>
      <c r="E32" s="114">
        <v>1</v>
      </c>
      <c r="F32" s="114"/>
      <c r="G32" s="114">
        <v>1</v>
      </c>
      <c r="H32" s="127" t="s">
        <v>4</v>
      </c>
      <c r="I32" s="127"/>
      <c r="J32" s="127"/>
    </row>
    <row r="33" spans="2:12" x14ac:dyDescent="0.25">
      <c r="B33" s="127" t="s">
        <v>22</v>
      </c>
      <c r="C33" s="127"/>
      <c r="D33" s="127"/>
      <c r="E33" s="114">
        <v>2</v>
      </c>
      <c r="F33" s="114"/>
      <c r="G33" s="114">
        <v>1</v>
      </c>
      <c r="H33" s="127" t="s">
        <v>15</v>
      </c>
      <c r="I33" s="127"/>
      <c r="J33" s="127"/>
    </row>
    <row r="34" spans="2:12" x14ac:dyDescent="0.25">
      <c r="B34" s="127" t="s">
        <v>7</v>
      </c>
      <c r="C34" s="127"/>
      <c r="D34" s="127"/>
      <c r="E34" s="114">
        <v>1</v>
      </c>
      <c r="F34" s="114"/>
      <c r="G34" s="114">
        <v>0</v>
      </c>
      <c r="H34" s="127" t="s">
        <v>10</v>
      </c>
      <c r="I34" s="127"/>
      <c r="J34" s="127"/>
    </row>
    <row r="35" spans="2:12" x14ac:dyDescent="0.25">
      <c r="B35" s="127" t="s">
        <v>17</v>
      </c>
      <c r="C35" s="127"/>
      <c r="D35" s="127"/>
      <c r="E35" s="114">
        <v>3</v>
      </c>
      <c r="F35" s="114"/>
      <c r="G35" s="114">
        <v>1</v>
      </c>
      <c r="H35" s="127" t="s">
        <v>26</v>
      </c>
      <c r="I35" s="127"/>
      <c r="J35" s="127"/>
    </row>
    <row r="36" spans="2:12" x14ac:dyDescent="0.25">
      <c r="B36" s="127" t="s">
        <v>12</v>
      </c>
      <c r="C36" s="127"/>
      <c r="D36" s="127"/>
      <c r="E36" s="114">
        <v>2</v>
      </c>
      <c r="F36" s="114"/>
      <c r="G36" s="114">
        <v>1</v>
      </c>
      <c r="H36" s="127" t="s">
        <v>23</v>
      </c>
      <c r="I36" s="127"/>
      <c r="J36" s="127"/>
    </row>
    <row r="38" spans="2:12" x14ac:dyDescent="0.25">
      <c r="B38" s="127" t="s">
        <v>31</v>
      </c>
      <c r="C38" s="127"/>
      <c r="D38" s="127"/>
      <c r="E38" s="114">
        <v>1</v>
      </c>
      <c r="F38" s="114"/>
      <c r="G38" s="114">
        <v>0</v>
      </c>
      <c r="H38" s="127" t="s">
        <v>17</v>
      </c>
      <c r="I38" s="127"/>
      <c r="J38" s="127"/>
      <c r="L38" t="s">
        <v>83</v>
      </c>
    </row>
    <row r="39" spans="2:12" x14ac:dyDescent="0.25">
      <c r="B39" s="127" t="s">
        <v>6</v>
      </c>
      <c r="C39" s="127"/>
      <c r="D39" s="127"/>
      <c r="E39" s="114">
        <v>1</v>
      </c>
      <c r="F39" s="114"/>
      <c r="G39" s="114">
        <v>0</v>
      </c>
      <c r="H39" s="127" t="s">
        <v>13</v>
      </c>
      <c r="I39" s="127"/>
      <c r="J39" s="127"/>
    </row>
    <row r="40" spans="2:12" x14ac:dyDescent="0.25">
      <c r="B40" s="127" t="s">
        <v>7</v>
      </c>
      <c r="C40" s="127"/>
      <c r="D40" s="127"/>
      <c r="E40" s="114">
        <v>1</v>
      </c>
      <c r="F40" s="114"/>
      <c r="G40" s="114">
        <v>0</v>
      </c>
      <c r="H40" s="127" t="s">
        <v>10</v>
      </c>
      <c r="I40" s="127"/>
      <c r="J40" s="127"/>
    </row>
    <row r="41" spans="2:12" x14ac:dyDescent="0.25">
      <c r="B41" s="127" t="s">
        <v>30</v>
      </c>
      <c r="C41" s="127"/>
      <c r="D41" s="127"/>
      <c r="E41" s="114">
        <v>1</v>
      </c>
      <c r="F41" s="114"/>
      <c r="G41" s="114">
        <v>0</v>
      </c>
      <c r="H41" s="127" t="s">
        <v>9</v>
      </c>
      <c r="I41" s="127"/>
      <c r="J41" s="127"/>
    </row>
    <row r="42" spans="2:12" x14ac:dyDescent="0.25">
      <c r="B42" s="127" t="s">
        <v>8</v>
      </c>
      <c r="C42" s="127"/>
      <c r="D42" s="127"/>
      <c r="E42" s="114">
        <v>1</v>
      </c>
      <c r="F42" s="114"/>
      <c r="G42" s="114">
        <v>0</v>
      </c>
      <c r="H42" s="127" t="s">
        <v>30</v>
      </c>
      <c r="I42" s="127"/>
      <c r="J42" s="127"/>
    </row>
    <row r="43" spans="2:12" x14ac:dyDescent="0.25">
      <c r="B43" s="127" t="s">
        <v>9</v>
      </c>
      <c r="C43" s="127"/>
      <c r="D43" s="127"/>
      <c r="E43" s="114">
        <v>1</v>
      </c>
      <c r="F43" s="114"/>
      <c r="G43" s="114">
        <v>0</v>
      </c>
      <c r="H43" s="127" t="s">
        <v>8</v>
      </c>
      <c r="I43" s="127"/>
      <c r="J43" s="127"/>
    </row>
    <row r="44" spans="2:12" x14ac:dyDescent="0.25">
      <c r="B44" s="127" t="s">
        <v>12</v>
      </c>
      <c r="C44" s="127"/>
      <c r="D44" s="127"/>
      <c r="E44" s="114">
        <v>1</v>
      </c>
      <c r="F44" s="114"/>
      <c r="G44" s="114">
        <v>1</v>
      </c>
      <c r="H44" s="127" t="s">
        <v>8</v>
      </c>
      <c r="I44" s="127"/>
      <c r="J44" s="127"/>
    </row>
    <row r="46" spans="2:12" x14ac:dyDescent="0.25">
      <c r="B46" s="127" t="s">
        <v>21</v>
      </c>
      <c r="C46" s="127"/>
      <c r="D46" s="127"/>
      <c r="E46" s="114">
        <v>0</v>
      </c>
      <c r="F46" s="114"/>
      <c r="G46" s="114">
        <v>1</v>
      </c>
      <c r="H46" s="127" t="s">
        <v>16</v>
      </c>
      <c r="I46" s="127"/>
      <c r="J46" s="127"/>
      <c r="L46" t="s">
        <v>82</v>
      </c>
    </row>
    <row r="47" spans="2:12" x14ac:dyDescent="0.25">
      <c r="B47" s="127" t="s">
        <v>31</v>
      </c>
      <c r="C47" s="127"/>
      <c r="D47" s="127"/>
      <c r="E47" s="114">
        <v>0</v>
      </c>
      <c r="F47" s="114"/>
      <c r="G47" s="114">
        <v>1</v>
      </c>
      <c r="H47" s="127" t="s">
        <v>6</v>
      </c>
      <c r="I47" s="127"/>
      <c r="J47" s="127"/>
    </row>
    <row r="48" spans="2:12" x14ac:dyDescent="0.25">
      <c r="B48" s="127" t="s">
        <v>22</v>
      </c>
      <c r="C48" s="127"/>
      <c r="D48" s="127"/>
      <c r="E48" s="114">
        <v>0</v>
      </c>
      <c r="F48" s="114"/>
      <c r="G48" s="114">
        <v>1</v>
      </c>
      <c r="H48" s="127" t="s">
        <v>56</v>
      </c>
      <c r="I48" s="127"/>
      <c r="J48" s="127"/>
    </row>
    <row r="49" spans="2:12" x14ac:dyDescent="0.25">
      <c r="B49" s="127" t="s">
        <v>12</v>
      </c>
      <c r="C49" s="127"/>
      <c r="D49" s="127"/>
      <c r="E49" s="114">
        <v>2</v>
      </c>
      <c r="F49" s="114"/>
      <c r="G49" s="114">
        <v>1</v>
      </c>
      <c r="H49" s="127" t="s">
        <v>23</v>
      </c>
      <c r="I49" s="127"/>
      <c r="J49" s="127"/>
    </row>
    <row r="51" spans="2:12" x14ac:dyDescent="0.25">
      <c r="B51" s="127" t="s">
        <v>5</v>
      </c>
      <c r="C51" s="127"/>
      <c r="D51" s="127"/>
      <c r="E51" s="114">
        <v>2</v>
      </c>
      <c r="F51" s="114"/>
      <c r="G51" s="114">
        <v>1</v>
      </c>
      <c r="H51" s="127" t="s">
        <v>6</v>
      </c>
      <c r="I51" s="127"/>
      <c r="J51" s="127"/>
      <c r="L51" t="s">
        <v>81</v>
      </c>
    </row>
    <row r="53" spans="2:12" x14ac:dyDescent="0.25">
      <c r="B53" s="127" t="s">
        <v>19</v>
      </c>
      <c r="C53" s="127"/>
      <c r="D53" s="127"/>
      <c r="E53" s="114">
        <v>2</v>
      </c>
      <c r="F53" s="114"/>
      <c r="G53" s="114">
        <v>0</v>
      </c>
      <c r="H53" s="127" t="s">
        <v>11</v>
      </c>
      <c r="I53" s="127"/>
      <c r="J53" s="127"/>
      <c r="L53" t="s">
        <v>80</v>
      </c>
    </row>
    <row r="54" spans="2:12" x14ac:dyDescent="0.25">
      <c r="B54" s="127" t="s">
        <v>56</v>
      </c>
      <c r="C54" s="127"/>
      <c r="D54" s="127"/>
      <c r="E54" s="114">
        <v>2</v>
      </c>
      <c r="F54" s="114"/>
      <c r="G54" s="114">
        <v>4</v>
      </c>
      <c r="H54" s="127" t="s">
        <v>4</v>
      </c>
      <c r="I54" s="127"/>
      <c r="J54" s="127"/>
    </row>
    <row r="55" spans="2:12" x14ac:dyDescent="0.25">
      <c r="B55" s="127" t="s">
        <v>32</v>
      </c>
      <c r="C55" s="127"/>
      <c r="D55" s="127"/>
      <c r="E55" s="114">
        <v>0</v>
      </c>
      <c r="F55" s="114"/>
      <c r="G55" s="114">
        <v>0</v>
      </c>
      <c r="H55" s="127" t="s">
        <v>67</v>
      </c>
      <c r="I55" s="127"/>
      <c r="J55" s="127"/>
    </row>
    <row r="56" spans="2:12" x14ac:dyDescent="0.25">
      <c r="B56" s="127" t="s">
        <v>20</v>
      </c>
      <c r="C56" s="127"/>
      <c r="D56" s="127"/>
      <c r="E56" s="114">
        <v>1</v>
      </c>
      <c r="F56" s="114"/>
      <c r="G56" s="114">
        <v>2</v>
      </c>
      <c r="H56" s="127" t="s">
        <v>17</v>
      </c>
      <c r="I56" s="127"/>
      <c r="J56" s="127"/>
    </row>
    <row r="58" spans="2:12" x14ac:dyDescent="0.25">
      <c r="B58" s="127" t="s">
        <v>21</v>
      </c>
      <c r="C58" s="127"/>
      <c r="D58" s="127"/>
      <c r="E58" s="114">
        <v>0</v>
      </c>
      <c r="F58" s="114"/>
      <c r="G58" s="114">
        <v>1</v>
      </c>
      <c r="H58" s="127" t="s">
        <v>16</v>
      </c>
      <c r="I58" s="127"/>
      <c r="J58" s="127"/>
      <c r="L58" t="s">
        <v>79</v>
      </c>
    </row>
    <row r="59" spans="2:12" x14ac:dyDescent="0.25">
      <c r="B59" s="127" t="s">
        <v>55</v>
      </c>
      <c r="C59" s="127"/>
      <c r="D59" s="127"/>
      <c r="E59" s="114">
        <v>1</v>
      </c>
      <c r="F59" s="114"/>
      <c r="G59" s="114">
        <v>2</v>
      </c>
      <c r="H59" s="127" t="s">
        <v>24</v>
      </c>
      <c r="I59" s="127"/>
      <c r="J59" s="127"/>
    </row>
    <row r="60" spans="2:12" x14ac:dyDescent="0.25">
      <c r="B60" s="127" t="s">
        <v>31</v>
      </c>
      <c r="C60" s="127"/>
      <c r="D60" s="127"/>
      <c r="E60" s="114">
        <v>0</v>
      </c>
      <c r="F60" s="114"/>
      <c r="G60" s="114">
        <v>1</v>
      </c>
      <c r="H60" s="127" t="s">
        <v>6</v>
      </c>
      <c r="I60" s="127"/>
      <c r="J60" s="127"/>
    </row>
    <row r="61" spans="2:12" x14ac:dyDescent="0.25">
      <c r="B61" s="127" t="s">
        <v>17</v>
      </c>
      <c r="C61" s="127"/>
      <c r="D61" s="127"/>
      <c r="E61" s="114">
        <v>2</v>
      </c>
      <c r="F61" s="114"/>
      <c r="G61" s="114">
        <v>1</v>
      </c>
      <c r="H61" s="127" t="s">
        <v>13</v>
      </c>
      <c r="I61" s="127"/>
      <c r="J61" s="127"/>
    </row>
    <row r="63" spans="2:12" x14ac:dyDescent="0.25">
      <c r="B63" s="127" t="s">
        <v>34</v>
      </c>
      <c r="C63" s="127"/>
      <c r="D63" s="127"/>
      <c r="E63" s="114">
        <v>0</v>
      </c>
      <c r="F63" s="114"/>
      <c r="G63" s="114">
        <v>3</v>
      </c>
      <c r="H63" s="127" t="s">
        <v>20</v>
      </c>
      <c r="I63" s="127"/>
      <c r="J63" s="127"/>
      <c r="L63" t="s">
        <v>78</v>
      </c>
    </row>
    <row r="64" spans="2:12" x14ac:dyDescent="0.25">
      <c r="B64" s="127" t="s">
        <v>55</v>
      </c>
      <c r="C64" s="127"/>
      <c r="D64" s="127"/>
      <c r="E64" s="114">
        <v>1</v>
      </c>
      <c r="F64" s="114"/>
      <c r="G64" s="114">
        <v>2</v>
      </c>
      <c r="H64" s="127" t="s">
        <v>24</v>
      </c>
      <c r="I64" s="127"/>
      <c r="J64" s="127"/>
    </row>
    <row r="65" spans="2:12" x14ac:dyDescent="0.25">
      <c r="B65" s="127" t="s">
        <v>56</v>
      </c>
      <c r="C65" s="127"/>
      <c r="D65" s="127"/>
      <c r="E65" s="114">
        <v>2</v>
      </c>
      <c r="F65" s="114"/>
      <c r="G65" s="114">
        <v>4</v>
      </c>
      <c r="H65" s="127" t="s">
        <v>4</v>
      </c>
      <c r="I65" s="127"/>
      <c r="J65" s="127"/>
    </row>
    <row r="66" spans="2:12" x14ac:dyDescent="0.25">
      <c r="B66" s="127" t="s">
        <v>30</v>
      </c>
      <c r="C66" s="127"/>
      <c r="D66" s="127"/>
      <c r="E66" s="114">
        <v>1</v>
      </c>
      <c r="F66" s="114"/>
      <c r="G66" s="114">
        <v>0</v>
      </c>
      <c r="H66" s="127" t="s">
        <v>9</v>
      </c>
      <c r="I66" s="127"/>
      <c r="J66" s="127"/>
    </row>
    <row r="67" spans="2:12" x14ac:dyDescent="0.25">
      <c r="B67" s="127" t="s">
        <v>5</v>
      </c>
      <c r="C67" s="127"/>
      <c r="D67" s="127"/>
      <c r="E67" s="114">
        <v>2</v>
      </c>
      <c r="F67" s="114"/>
      <c r="G67" s="114">
        <v>1</v>
      </c>
      <c r="H67" s="127" t="s">
        <v>6</v>
      </c>
      <c r="I67" s="127"/>
      <c r="J67" s="127"/>
    </row>
    <row r="68" spans="2:12" x14ac:dyDescent="0.25">
      <c r="B68" s="127" t="s">
        <v>20</v>
      </c>
      <c r="C68" s="127"/>
      <c r="D68" s="127"/>
      <c r="E68" s="114">
        <v>1</v>
      </c>
      <c r="F68" s="114"/>
      <c r="G68" s="114">
        <v>2</v>
      </c>
      <c r="H68" s="127" t="s">
        <v>17</v>
      </c>
      <c r="I68" s="127"/>
      <c r="J68" s="127"/>
    </row>
    <row r="70" spans="2:12" x14ac:dyDescent="0.25">
      <c r="B70" s="127" t="s">
        <v>11</v>
      </c>
      <c r="C70" s="127"/>
      <c r="D70" s="127"/>
      <c r="E70" s="114">
        <v>0</v>
      </c>
      <c r="F70" s="114"/>
      <c r="G70" s="114">
        <v>2</v>
      </c>
      <c r="H70" s="127" t="s">
        <v>14</v>
      </c>
      <c r="I70" s="127"/>
      <c r="J70" s="127"/>
      <c r="L70" t="s">
        <v>77</v>
      </c>
    </row>
    <row r="71" spans="2:12" x14ac:dyDescent="0.25">
      <c r="B71" s="127" t="s">
        <v>14</v>
      </c>
      <c r="C71" s="127"/>
      <c r="D71" s="127"/>
      <c r="E71" s="114">
        <v>1</v>
      </c>
      <c r="F71" s="114"/>
      <c r="G71" s="114">
        <v>2</v>
      </c>
      <c r="H71" s="127" t="s">
        <v>28</v>
      </c>
      <c r="I71" s="127"/>
      <c r="J71" s="127"/>
    </row>
    <row r="72" spans="2:12" x14ac:dyDescent="0.25">
      <c r="B72" s="127" t="s">
        <v>26</v>
      </c>
      <c r="C72" s="127"/>
      <c r="D72" s="127"/>
      <c r="E72" s="114">
        <v>2</v>
      </c>
      <c r="F72" s="114"/>
      <c r="G72" s="114">
        <v>0</v>
      </c>
      <c r="H72" s="127" t="s">
        <v>55</v>
      </c>
      <c r="I72" s="127"/>
      <c r="J72" s="127"/>
    </row>
    <row r="73" spans="2:12" x14ac:dyDescent="0.25">
      <c r="B73" s="127" t="s">
        <v>17</v>
      </c>
      <c r="C73" s="127"/>
      <c r="D73" s="127"/>
      <c r="E73" s="114">
        <v>2</v>
      </c>
      <c r="F73" s="114"/>
      <c r="G73" s="114">
        <v>1</v>
      </c>
      <c r="H73" s="127" t="s">
        <v>13</v>
      </c>
      <c r="I73" s="127"/>
      <c r="J73" s="127"/>
    </row>
    <row r="74" spans="2:12" x14ac:dyDescent="0.25">
      <c r="B74" s="127" t="s">
        <v>30</v>
      </c>
      <c r="C74" s="127"/>
      <c r="D74" s="127"/>
      <c r="E74" s="114">
        <v>1</v>
      </c>
      <c r="F74" s="114"/>
      <c r="G74" s="114">
        <v>0</v>
      </c>
      <c r="H74" s="127" t="s">
        <v>9</v>
      </c>
      <c r="I74" s="127"/>
      <c r="J74" s="127"/>
    </row>
    <row r="75" spans="2:12" x14ac:dyDescent="0.25">
      <c r="B75" s="127" t="s">
        <v>23</v>
      </c>
      <c r="C75" s="127"/>
      <c r="D75" s="127"/>
      <c r="E75" s="114">
        <v>1</v>
      </c>
      <c r="F75" s="114"/>
      <c r="G75" s="114">
        <v>0</v>
      </c>
      <c r="H75" s="127" t="s">
        <v>27</v>
      </c>
      <c r="I75" s="127"/>
      <c r="J75" s="127"/>
    </row>
    <row r="77" spans="2:12" x14ac:dyDescent="0.25">
      <c r="B77" s="127" t="s">
        <v>11</v>
      </c>
      <c r="C77" s="127"/>
      <c r="D77" s="127"/>
      <c r="E77" s="114">
        <v>1</v>
      </c>
      <c r="F77" s="114"/>
      <c r="G77" s="114">
        <v>3</v>
      </c>
      <c r="H77" s="127" t="s">
        <v>28</v>
      </c>
      <c r="I77" s="127"/>
      <c r="J77" s="127"/>
      <c r="L77" t="s">
        <v>76</v>
      </c>
    </row>
    <row r="78" spans="2:12" x14ac:dyDescent="0.25">
      <c r="B78" s="127" t="s">
        <v>19</v>
      </c>
      <c r="C78" s="127"/>
      <c r="D78" s="127"/>
      <c r="E78" s="114">
        <v>2</v>
      </c>
      <c r="F78" s="114"/>
      <c r="G78" s="114">
        <v>0</v>
      </c>
      <c r="H78" s="127" t="s">
        <v>11</v>
      </c>
      <c r="I78" s="127"/>
      <c r="J78" s="127"/>
    </row>
    <row r="79" spans="2:12" x14ac:dyDescent="0.25">
      <c r="B79" s="127" t="s">
        <v>14</v>
      </c>
      <c r="C79" s="127"/>
      <c r="D79" s="127"/>
      <c r="E79" s="114">
        <v>1</v>
      </c>
      <c r="F79" s="114"/>
      <c r="G79" s="114">
        <v>2</v>
      </c>
      <c r="H79" s="127" t="s">
        <v>28</v>
      </c>
      <c r="I79" s="127"/>
      <c r="J79" s="127"/>
    </row>
    <row r="80" spans="2:12" x14ac:dyDescent="0.25">
      <c r="B80" s="127" t="s">
        <v>26</v>
      </c>
      <c r="C80" s="127"/>
      <c r="D80" s="127"/>
      <c r="E80" s="114">
        <v>2</v>
      </c>
      <c r="F80" s="114"/>
      <c r="G80" s="114">
        <v>0</v>
      </c>
      <c r="H80" s="127" t="s">
        <v>55</v>
      </c>
      <c r="I80" s="127"/>
      <c r="J80" s="127"/>
    </row>
    <row r="81" spans="2:12" x14ac:dyDescent="0.25">
      <c r="B81" s="127" t="s">
        <v>30</v>
      </c>
      <c r="C81" s="127"/>
      <c r="D81" s="127"/>
      <c r="E81" s="114">
        <v>1</v>
      </c>
      <c r="F81" s="114"/>
      <c r="G81" s="114">
        <v>0</v>
      </c>
      <c r="H81" s="127" t="s">
        <v>9</v>
      </c>
      <c r="I81" s="127"/>
      <c r="J81" s="127"/>
    </row>
    <row r="82" spans="2:12" x14ac:dyDescent="0.25">
      <c r="B82" s="127" t="s">
        <v>8</v>
      </c>
      <c r="C82" s="127"/>
      <c r="D82" s="127"/>
      <c r="E82" s="114">
        <v>2</v>
      </c>
      <c r="F82" s="114"/>
      <c r="G82" s="114">
        <v>0</v>
      </c>
      <c r="H82" s="127" t="s">
        <v>29</v>
      </c>
      <c r="I82" s="127"/>
      <c r="J82" s="127"/>
    </row>
    <row r="83" spans="2:12" x14ac:dyDescent="0.25">
      <c r="B83" s="127" t="s">
        <v>20</v>
      </c>
      <c r="C83" s="127"/>
      <c r="D83" s="127"/>
      <c r="E83" s="114">
        <v>1</v>
      </c>
      <c r="F83" s="114"/>
      <c r="G83" s="114">
        <v>2</v>
      </c>
      <c r="H83" s="127" t="s">
        <v>17</v>
      </c>
      <c r="I83" s="127"/>
      <c r="J83" s="127"/>
    </row>
    <row r="85" spans="2:12" x14ac:dyDescent="0.25">
      <c r="B85" s="127" t="s">
        <v>26</v>
      </c>
      <c r="C85" s="127"/>
      <c r="D85" s="127"/>
      <c r="E85" s="114">
        <v>2</v>
      </c>
      <c r="F85" s="114"/>
      <c r="G85" s="114">
        <v>0</v>
      </c>
      <c r="H85" s="127" t="s">
        <v>55</v>
      </c>
      <c r="I85" s="127"/>
      <c r="J85" s="127"/>
      <c r="L85" t="s">
        <v>75</v>
      </c>
    </row>
    <row r="86" spans="2:12" x14ac:dyDescent="0.25">
      <c r="B86" s="127" t="s">
        <v>5</v>
      </c>
      <c r="C86" s="127"/>
      <c r="D86" s="127"/>
      <c r="E86" s="114">
        <v>2</v>
      </c>
      <c r="F86" s="114"/>
      <c r="G86" s="114">
        <v>0</v>
      </c>
      <c r="H86" s="127" t="s">
        <v>24</v>
      </c>
      <c r="I86" s="127"/>
      <c r="J86" s="127"/>
    </row>
    <row r="87" spans="2:12" x14ac:dyDescent="0.25">
      <c r="B87" s="127" t="s">
        <v>31</v>
      </c>
      <c r="C87" s="127"/>
      <c r="D87" s="127"/>
      <c r="E87" s="114">
        <v>0</v>
      </c>
      <c r="F87" s="114"/>
      <c r="G87" s="114">
        <v>1</v>
      </c>
      <c r="H87" s="127" t="s">
        <v>6</v>
      </c>
      <c r="I87" s="127"/>
      <c r="J87" s="127"/>
    </row>
    <row r="88" spans="2:12" x14ac:dyDescent="0.25">
      <c r="B88" s="127" t="s">
        <v>6</v>
      </c>
      <c r="C88" s="127"/>
      <c r="D88" s="127"/>
      <c r="E88" s="114">
        <v>1</v>
      </c>
      <c r="F88" s="114"/>
      <c r="G88" s="114">
        <v>0</v>
      </c>
      <c r="H88" s="127" t="s">
        <v>13</v>
      </c>
      <c r="I88" s="127"/>
      <c r="J88" s="127"/>
    </row>
    <row r="89" spans="2:12" x14ac:dyDescent="0.25">
      <c r="B89" s="127" t="s">
        <v>7</v>
      </c>
      <c r="C89" s="127"/>
      <c r="D89" s="127"/>
      <c r="E89" s="114">
        <v>1</v>
      </c>
      <c r="F89" s="114"/>
      <c r="G89" s="114">
        <v>0</v>
      </c>
      <c r="H89" s="127" t="s">
        <v>10</v>
      </c>
      <c r="I89" s="127"/>
      <c r="J89" s="127"/>
    </row>
    <row r="90" spans="2:12" x14ac:dyDescent="0.25">
      <c r="B90" s="127" t="s">
        <v>8</v>
      </c>
      <c r="C90" s="127"/>
      <c r="D90" s="127"/>
      <c r="E90" s="114">
        <v>2</v>
      </c>
      <c r="F90" s="114"/>
      <c r="G90" s="114">
        <v>0</v>
      </c>
      <c r="H90" s="127" t="s">
        <v>29</v>
      </c>
      <c r="I90" s="127"/>
      <c r="J90" s="127"/>
    </row>
    <row r="91" spans="2:12" x14ac:dyDescent="0.25">
      <c r="B91" s="127" t="s">
        <v>8</v>
      </c>
      <c r="C91" s="127"/>
      <c r="D91" s="127"/>
      <c r="E91" s="114">
        <v>1</v>
      </c>
      <c r="F91" s="114"/>
      <c r="G91" s="114">
        <v>0</v>
      </c>
      <c r="H91" s="127" t="s">
        <v>30</v>
      </c>
      <c r="I91" s="127"/>
      <c r="J91" s="127"/>
    </row>
    <row r="92" spans="2:12" x14ac:dyDescent="0.25">
      <c r="B92" s="127" t="s">
        <v>5</v>
      </c>
      <c r="C92" s="127"/>
      <c r="D92" s="127"/>
      <c r="E92" s="114">
        <v>2</v>
      </c>
      <c r="F92" s="114"/>
      <c r="G92" s="114">
        <v>1</v>
      </c>
      <c r="H92" s="127" t="s">
        <v>6</v>
      </c>
      <c r="I92" s="127"/>
      <c r="J92" s="127"/>
    </row>
    <row r="94" spans="2:12" x14ac:dyDescent="0.25">
      <c r="B94" s="127" t="s">
        <v>20</v>
      </c>
      <c r="C94" s="127"/>
      <c r="D94" s="127"/>
      <c r="E94" s="114">
        <v>0</v>
      </c>
      <c r="F94" s="114"/>
      <c r="G94" s="114">
        <v>0</v>
      </c>
      <c r="H94" s="127" t="s">
        <v>16</v>
      </c>
      <c r="I94" s="127"/>
      <c r="J94" s="127"/>
      <c r="L94" t="s">
        <v>74</v>
      </c>
    </row>
    <row r="95" spans="2:12" x14ac:dyDescent="0.25">
      <c r="B95" s="127" t="s">
        <v>21</v>
      </c>
      <c r="C95" s="127"/>
      <c r="D95" s="127"/>
      <c r="E95" s="114">
        <v>0</v>
      </c>
      <c r="F95" s="114"/>
      <c r="G95" s="114">
        <v>1</v>
      </c>
      <c r="H95" s="127" t="s">
        <v>16</v>
      </c>
      <c r="I95" s="127"/>
      <c r="J95" s="127"/>
    </row>
    <row r="96" spans="2:12" x14ac:dyDescent="0.25">
      <c r="B96" s="127" t="s">
        <v>34</v>
      </c>
      <c r="C96" s="127"/>
      <c r="D96" s="127"/>
      <c r="E96" s="114">
        <v>0</v>
      </c>
      <c r="F96" s="114"/>
      <c r="G96" s="114">
        <v>3</v>
      </c>
      <c r="H96" s="127" t="s">
        <v>20</v>
      </c>
      <c r="I96" s="127"/>
      <c r="J96" s="127"/>
    </row>
    <row r="97" spans="2:12" x14ac:dyDescent="0.25">
      <c r="B97" s="127" t="s">
        <v>13</v>
      </c>
      <c r="C97" s="127"/>
      <c r="D97" s="127"/>
      <c r="E97" s="114">
        <v>0</v>
      </c>
      <c r="F97" s="114"/>
      <c r="G97" s="114">
        <v>0</v>
      </c>
      <c r="H97" s="127" t="s">
        <v>31</v>
      </c>
      <c r="I97" s="127"/>
      <c r="J97" s="127"/>
    </row>
    <row r="98" spans="2:12" x14ac:dyDescent="0.25">
      <c r="B98" s="127" t="s">
        <v>20</v>
      </c>
      <c r="C98" s="127"/>
      <c r="D98" s="127"/>
      <c r="E98" s="114">
        <v>1</v>
      </c>
      <c r="F98" s="114"/>
      <c r="G98" s="114">
        <v>2</v>
      </c>
      <c r="H98" s="127" t="s">
        <v>17</v>
      </c>
      <c r="I98" s="127"/>
      <c r="J98" s="127"/>
    </row>
    <row r="99" spans="2:12" x14ac:dyDescent="0.25">
      <c r="B99" s="127" t="s">
        <v>17</v>
      </c>
      <c r="C99" s="127"/>
      <c r="D99" s="127"/>
      <c r="E99" s="114">
        <v>2</v>
      </c>
      <c r="F99" s="114"/>
      <c r="G99" s="114">
        <v>0</v>
      </c>
      <c r="H99" s="127" t="s">
        <v>23</v>
      </c>
      <c r="I99" s="127"/>
      <c r="J99" s="127"/>
    </row>
    <row r="101" spans="2:12" x14ac:dyDescent="0.25">
      <c r="B101" s="127" t="s">
        <v>28</v>
      </c>
      <c r="C101" s="127"/>
      <c r="D101" s="127"/>
      <c r="E101" s="114">
        <v>0</v>
      </c>
      <c r="F101" s="114"/>
      <c r="G101" s="114">
        <v>2</v>
      </c>
      <c r="H101" s="127" t="s">
        <v>19</v>
      </c>
      <c r="I101" s="127"/>
      <c r="J101" s="127"/>
      <c r="L101" t="s">
        <v>73</v>
      </c>
    </row>
    <row r="102" spans="2:12" x14ac:dyDescent="0.25">
      <c r="B102" s="127" t="s">
        <v>34</v>
      </c>
      <c r="C102" s="127"/>
      <c r="D102" s="127"/>
      <c r="E102" s="114">
        <v>0</v>
      </c>
      <c r="F102" s="114"/>
      <c r="G102" s="114">
        <v>3</v>
      </c>
      <c r="H102" s="127" t="s">
        <v>20</v>
      </c>
      <c r="I102" s="127"/>
      <c r="J102" s="127"/>
    </row>
    <row r="103" spans="2:12" x14ac:dyDescent="0.25">
      <c r="B103" s="127" t="s">
        <v>17</v>
      </c>
      <c r="C103" s="127"/>
      <c r="D103" s="127"/>
      <c r="E103" s="114">
        <v>2</v>
      </c>
      <c r="F103" s="114"/>
      <c r="G103" s="114">
        <v>1</v>
      </c>
      <c r="H103" s="127" t="s">
        <v>13</v>
      </c>
      <c r="I103" s="127"/>
      <c r="J103" s="127"/>
    </row>
    <row r="104" spans="2:12" x14ac:dyDescent="0.25">
      <c r="B104" s="127" t="s">
        <v>7</v>
      </c>
      <c r="C104" s="127"/>
      <c r="D104" s="127"/>
      <c r="E104" s="114">
        <v>1</v>
      </c>
      <c r="F104" s="114"/>
      <c r="G104" s="114">
        <v>0</v>
      </c>
      <c r="H104" s="127" t="s">
        <v>10</v>
      </c>
      <c r="I104" s="127"/>
      <c r="J104" s="127"/>
    </row>
    <row r="105" spans="2:12" x14ac:dyDescent="0.25">
      <c r="B105" s="127" t="s">
        <v>8</v>
      </c>
      <c r="C105" s="127"/>
      <c r="D105" s="127"/>
      <c r="E105" s="114">
        <v>2</v>
      </c>
      <c r="F105" s="114"/>
      <c r="G105" s="114">
        <v>0</v>
      </c>
      <c r="H105" s="127" t="s">
        <v>29</v>
      </c>
      <c r="I105" s="127"/>
      <c r="J105" s="127"/>
    </row>
    <row r="106" spans="2:12" x14ac:dyDescent="0.25">
      <c r="B106" s="127" t="s">
        <v>5</v>
      </c>
      <c r="C106" s="127"/>
      <c r="D106" s="127"/>
      <c r="E106" s="114">
        <v>2</v>
      </c>
      <c r="F106" s="114"/>
      <c r="G106" s="114">
        <v>1</v>
      </c>
      <c r="H106" s="127" t="s">
        <v>6</v>
      </c>
      <c r="I106" s="127"/>
      <c r="J106" s="127"/>
    </row>
    <row r="108" spans="2:12" x14ac:dyDescent="0.25">
      <c r="B108" s="127" t="s">
        <v>19</v>
      </c>
      <c r="C108" s="127"/>
      <c r="D108" s="127"/>
      <c r="E108" s="114">
        <v>2</v>
      </c>
      <c r="F108" s="114"/>
      <c r="G108" s="114">
        <v>0</v>
      </c>
      <c r="H108" s="127" t="s">
        <v>11</v>
      </c>
      <c r="I108" s="127"/>
      <c r="J108" s="127"/>
      <c r="L108" t="s">
        <v>71</v>
      </c>
    </row>
    <row r="109" spans="2:12" x14ac:dyDescent="0.25">
      <c r="B109" s="127" t="s">
        <v>16</v>
      </c>
      <c r="C109" s="127"/>
      <c r="D109" s="127"/>
      <c r="E109" s="114">
        <v>1</v>
      </c>
      <c r="F109" s="114"/>
      <c r="G109" s="114">
        <v>1</v>
      </c>
      <c r="H109" s="127" t="s">
        <v>34</v>
      </c>
      <c r="I109" s="127"/>
      <c r="J109" s="127"/>
    </row>
    <row r="110" spans="2:12" x14ac:dyDescent="0.25">
      <c r="B110" s="127" t="s">
        <v>26</v>
      </c>
      <c r="C110" s="127"/>
      <c r="D110" s="127"/>
      <c r="E110" s="114">
        <v>2</v>
      </c>
      <c r="F110" s="114"/>
      <c r="G110" s="114">
        <v>0</v>
      </c>
      <c r="H110" s="127" t="s">
        <v>55</v>
      </c>
      <c r="I110" s="127"/>
      <c r="J110" s="127"/>
    </row>
    <row r="111" spans="2:12" x14ac:dyDescent="0.25">
      <c r="B111" s="127" t="s">
        <v>55</v>
      </c>
      <c r="C111" s="127"/>
      <c r="D111" s="127"/>
      <c r="E111" s="114">
        <v>1</v>
      </c>
      <c r="F111" s="114"/>
      <c r="G111" s="114">
        <v>2</v>
      </c>
      <c r="H111" s="127" t="s">
        <v>24</v>
      </c>
      <c r="I111" s="127"/>
      <c r="J111" s="127"/>
    </row>
    <row r="112" spans="2:12" x14ac:dyDescent="0.25">
      <c r="B112" s="127" t="s">
        <v>6</v>
      </c>
      <c r="C112" s="127"/>
      <c r="D112" s="127"/>
      <c r="E112" s="114">
        <v>1</v>
      </c>
      <c r="F112" s="114"/>
      <c r="G112" s="114">
        <v>0</v>
      </c>
      <c r="H112" s="127" t="s">
        <v>13</v>
      </c>
      <c r="I112" s="127"/>
      <c r="J112" s="127"/>
    </row>
    <row r="113" spans="2:12" x14ac:dyDescent="0.25">
      <c r="B113" s="127" t="s">
        <v>8</v>
      </c>
      <c r="C113" s="127"/>
      <c r="D113" s="127"/>
      <c r="E113" s="114">
        <v>2</v>
      </c>
      <c r="F113" s="114"/>
      <c r="G113" s="114">
        <v>0</v>
      </c>
      <c r="H113" s="127" t="s">
        <v>29</v>
      </c>
      <c r="I113" s="127"/>
      <c r="J113" s="127"/>
    </row>
    <row r="115" spans="2:12" x14ac:dyDescent="0.25">
      <c r="B115" s="127" t="s">
        <v>16</v>
      </c>
      <c r="C115" s="127"/>
      <c r="D115" s="127"/>
      <c r="E115" s="114">
        <v>1</v>
      </c>
      <c r="F115" s="114"/>
      <c r="G115" s="114">
        <v>1</v>
      </c>
      <c r="H115" s="127" t="s">
        <v>34</v>
      </c>
      <c r="I115" s="127"/>
      <c r="J115" s="127"/>
      <c r="L115" t="s">
        <v>72</v>
      </c>
    </row>
    <row r="116" spans="2:12" x14ac:dyDescent="0.25">
      <c r="B116" s="127" t="s">
        <v>26</v>
      </c>
      <c r="C116" s="127"/>
      <c r="D116" s="127"/>
      <c r="E116" s="114">
        <v>2</v>
      </c>
      <c r="F116" s="114"/>
      <c r="G116" s="114">
        <v>0</v>
      </c>
      <c r="H116" s="127" t="s">
        <v>55</v>
      </c>
      <c r="I116" s="127"/>
      <c r="J116" s="127"/>
    </row>
    <row r="117" spans="2:12" x14ac:dyDescent="0.25">
      <c r="B117" s="127" t="s">
        <v>19</v>
      </c>
      <c r="C117" s="127"/>
      <c r="D117" s="127"/>
      <c r="E117" s="114">
        <v>2</v>
      </c>
      <c r="F117" s="114"/>
      <c r="G117" s="114">
        <v>2</v>
      </c>
      <c r="H117" s="127" t="s">
        <v>5</v>
      </c>
      <c r="I117" s="127"/>
      <c r="J117" s="127"/>
    </row>
    <row r="119" spans="2:12" x14ac:dyDescent="0.25">
      <c r="B119" s="127" t="s">
        <v>19</v>
      </c>
      <c r="C119" s="127"/>
      <c r="D119" s="127"/>
      <c r="E119" s="114">
        <v>1</v>
      </c>
      <c r="F119" s="114"/>
      <c r="G119" s="114">
        <v>1</v>
      </c>
      <c r="H119" s="127" t="s">
        <v>14</v>
      </c>
      <c r="I119" s="127"/>
      <c r="J119" s="127"/>
      <c r="L119" t="s">
        <v>69</v>
      </c>
    </row>
    <row r="120" spans="2:12" x14ac:dyDescent="0.25">
      <c r="B120" s="127" t="s">
        <v>19</v>
      </c>
      <c r="C120" s="127"/>
      <c r="D120" s="127"/>
      <c r="E120" s="114">
        <v>2</v>
      </c>
      <c r="F120" s="114"/>
      <c r="G120" s="114">
        <v>0</v>
      </c>
      <c r="H120" s="127" t="s">
        <v>11</v>
      </c>
      <c r="I120" s="127"/>
      <c r="J120" s="127"/>
    </row>
    <row r="121" spans="2:12" x14ac:dyDescent="0.25">
      <c r="B121" s="127" t="s">
        <v>22</v>
      </c>
      <c r="C121" s="127"/>
      <c r="D121" s="127"/>
      <c r="E121" s="114">
        <v>1</v>
      </c>
      <c r="F121" s="114"/>
      <c r="G121" s="114">
        <v>1</v>
      </c>
      <c r="H121" s="127" t="s">
        <v>12</v>
      </c>
      <c r="I121" s="127"/>
      <c r="J121" s="127"/>
    </row>
    <row r="122" spans="2:12" x14ac:dyDescent="0.25">
      <c r="B122" s="127" t="s">
        <v>19</v>
      </c>
      <c r="C122" s="127"/>
      <c r="D122" s="127"/>
      <c r="E122" s="114">
        <v>2</v>
      </c>
      <c r="F122" s="114"/>
      <c r="G122" s="114">
        <v>2</v>
      </c>
      <c r="H122" s="127" t="s">
        <v>5</v>
      </c>
      <c r="I122" s="127"/>
      <c r="J122" s="127"/>
    </row>
    <row r="123" spans="2:12" x14ac:dyDescent="0.25">
      <c r="B123" s="127" t="s">
        <v>20</v>
      </c>
      <c r="C123" s="127"/>
      <c r="D123" s="127"/>
      <c r="E123" s="114">
        <v>1</v>
      </c>
      <c r="F123" s="114"/>
      <c r="G123" s="114">
        <v>2</v>
      </c>
      <c r="H123" s="127" t="s">
        <v>17</v>
      </c>
      <c r="I123" s="127"/>
      <c r="J123" s="127"/>
    </row>
    <row r="124" spans="2:12" x14ac:dyDescent="0.25">
      <c r="B124" s="127" t="s">
        <v>5</v>
      </c>
      <c r="C124" s="127"/>
      <c r="D124" s="127"/>
      <c r="E124" s="114">
        <v>3</v>
      </c>
      <c r="F124" s="114"/>
      <c r="G124" s="114">
        <v>0</v>
      </c>
      <c r="H124" s="127" t="s">
        <v>12</v>
      </c>
      <c r="I124" s="127"/>
      <c r="J124" s="127"/>
    </row>
    <row r="126" spans="2:12" x14ac:dyDescent="0.25">
      <c r="B126" s="127" t="s">
        <v>11</v>
      </c>
      <c r="C126" s="127"/>
      <c r="D126" s="127"/>
      <c r="E126" s="114">
        <v>0</v>
      </c>
      <c r="F126" s="114"/>
      <c r="G126" s="114">
        <v>2</v>
      </c>
      <c r="H126" s="127" t="s">
        <v>14</v>
      </c>
      <c r="I126" s="127"/>
      <c r="J126" s="127"/>
      <c r="L126" t="s">
        <v>92</v>
      </c>
    </row>
    <row r="127" spans="2:12" x14ac:dyDescent="0.25">
      <c r="B127" s="127" t="s">
        <v>28</v>
      </c>
      <c r="C127" s="127"/>
      <c r="D127" s="127"/>
      <c r="E127" s="114">
        <v>0</v>
      </c>
      <c r="F127" s="114"/>
      <c r="G127" s="114">
        <v>2</v>
      </c>
      <c r="H127" s="127" t="s">
        <v>19</v>
      </c>
      <c r="I127" s="127"/>
      <c r="J127" s="127"/>
    </row>
    <row r="128" spans="2:12" x14ac:dyDescent="0.25">
      <c r="B128" s="127" t="s">
        <v>19</v>
      </c>
      <c r="C128" s="127"/>
      <c r="D128" s="127"/>
      <c r="E128" s="114">
        <v>1</v>
      </c>
      <c r="F128" s="114"/>
      <c r="G128" s="114">
        <v>1</v>
      </c>
      <c r="H128" s="127" t="s">
        <v>14</v>
      </c>
      <c r="I128" s="127"/>
      <c r="J128" s="127"/>
    </row>
    <row r="129" spans="2:12" x14ac:dyDescent="0.25">
      <c r="B129" s="127" t="s">
        <v>19</v>
      </c>
      <c r="C129" s="127"/>
      <c r="D129" s="127"/>
      <c r="E129" s="114">
        <v>2</v>
      </c>
      <c r="F129" s="114"/>
      <c r="G129" s="114">
        <v>0</v>
      </c>
      <c r="H129" s="127" t="s">
        <v>11</v>
      </c>
      <c r="I129" s="127"/>
      <c r="J129" s="127"/>
    </row>
    <row r="130" spans="2:12" x14ac:dyDescent="0.25">
      <c r="B130" s="127" t="s">
        <v>21</v>
      </c>
      <c r="C130" s="127"/>
      <c r="D130" s="127"/>
      <c r="E130" s="114">
        <v>0</v>
      </c>
      <c r="F130" s="114"/>
      <c r="G130" s="114">
        <v>1</v>
      </c>
      <c r="H130" s="127" t="s">
        <v>16</v>
      </c>
      <c r="I130" s="127"/>
      <c r="J130" s="127"/>
    </row>
    <row r="131" spans="2:12" x14ac:dyDescent="0.25">
      <c r="B131" s="127" t="s">
        <v>34</v>
      </c>
      <c r="C131" s="127"/>
      <c r="D131" s="127"/>
      <c r="E131" s="114">
        <v>0</v>
      </c>
      <c r="F131" s="114"/>
      <c r="G131" s="114">
        <v>3</v>
      </c>
      <c r="H131" s="127" t="s">
        <v>20</v>
      </c>
      <c r="I131" s="127"/>
      <c r="J131" s="127"/>
    </row>
    <row r="132" spans="2:12" x14ac:dyDescent="0.25">
      <c r="B132" s="127" t="s">
        <v>26</v>
      </c>
      <c r="C132" s="127"/>
      <c r="D132" s="127"/>
      <c r="E132" s="114">
        <v>2</v>
      </c>
      <c r="F132" s="114"/>
      <c r="G132" s="114">
        <v>0</v>
      </c>
      <c r="H132" s="127" t="s">
        <v>55</v>
      </c>
      <c r="I132" s="127"/>
      <c r="J132" s="127"/>
    </row>
    <row r="133" spans="2:12" x14ac:dyDescent="0.25">
      <c r="B133" s="127" t="s">
        <v>31</v>
      </c>
      <c r="C133" s="127"/>
      <c r="D133" s="127"/>
      <c r="E133" s="114">
        <v>0</v>
      </c>
      <c r="F133" s="114"/>
      <c r="G133" s="114">
        <v>1</v>
      </c>
      <c r="H133" s="127" t="s">
        <v>6</v>
      </c>
      <c r="I133" s="127"/>
      <c r="J133" s="127"/>
    </row>
    <row r="134" spans="2:12" x14ac:dyDescent="0.25">
      <c r="B134" s="127" t="s">
        <v>22</v>
      </c>
      <c r="C134" s="127"/>
      <c r="D134" s="127"/>
      <c r="E134" s="114">
        <v>0</v>
      </c>
      <c r="F134" s="114"/>
      <c r="G134" s="114">
        <v>1</v>
      </c>
      <c r="H134" s="127" t="s">
        <v>56</v>
      </c>
      <c r="I134" s="127"/>
      <c r="J134" s="127"/>
    </row>
    <row r="135" spans="2:12" x14ac:dyDescent="0.25">
      <c r="B135" s="127" t="s">
        <v>15</v>
      </c>
      <c r="C135" s="127"/>
      <c r="D135" s="127"/>
      <c r="E135" s="114">
        <v>1</v>
      </c>
      <c r="F135" s="114"/>
      <c r="G135" s="114">
        <v>1</v>
      </c>
      <c r="H135" s="127" t="s">
        <v>4</v>
      </c>
      <c r="I135" s="127"/>
      <c r="J135" s="127"/>
    </row>
    <row r="136" spans="2:12" x14ac:dyDescent="0.25">
      <c r="B136" s="127" t="s">
        <v>30</v>
      </c>
      <c r="C136" s="127"/>
      <c r="D136" s="127"/>
      <c r="E136" s="114">
        <v>1</v>
      </c>
      <c r="F136" s="114"/>
      <c r="G136" s="114">
        <v>0</v>
      </c>
      <c r="H136" s="127" t="s">
        <v>9</v>
      </c>
      <c r="I136" s="127"/>
      <c r="J136" s="127"/>
    </row>
    <row r="137" spans="2:12" x14ac:dyDescent="0.25">
      <c r="B137" s="127" t="s">
        <v>8</v>
      </c>
      <c r="C137" s="127"/>
      <c r="D137" s="127"/>
      <c r="E137" s="114">
        <v>2</v>
      </c>
      <c r="F137" s="114"/>
      <c r="G137" s="114">
        <v>0</v>
      </c>
      <c r="H137" s="127" t="s">
        <v>29</v>
      </c>
      <c r="I137" s="127"/>
      <c r="J137" s="127"/>
    </row>
    <row r="138" spans="2:12" x14ac:dyDescent="0.25">
      <c r="B138" s="127" t="s">
        <v>20</v>
      </c>
      <c r="C138" s="127"/>
      <c r="D138" s="127"/>
      <c r="E138" s="114">
        <v>1</v>
      </c>
      <c r="F138" s="114"/>
      <c r="G138" s="114">
        <v>2</v>
      </c>
      <c r="H138" s="127" t="s">
        <v>17</v>
      </c>
      <c r="I138" s="127"/>
      <c r="J138" s="127"/>
    </row>
    <row r="139" spans="2:12" x14ac:dyDescent="0.25">
      <c r="B139" s="127" t="s">
        <v>17</v>
      </c>
      <c r="C139" s="127"/>
      <c r="D139" s="127"/>
      <c r="E139" s="114">
        <v>2</v>
      </c>
      <c r="F139" s="114"/>
      <c r="G139" s="114">
        <v>0</v>
      </c>
      <c r="H139" s="127" t="s">
        <v>23</v>
      </c>
      <c r="I139" s="127"/>
      <c r="J139" s="127"/>
    </row>
    <row r="141" spans="2:12" x14ac:dyDescent="0.25">
      <c r="B141" s="127" t="s">
        <v>19</v>
      </c>
      <c r="C141" s="127"/>
      <c r="D141" s="127"/>
      <c r="E141" s="114">
        <v>1</v>
      </c>
      <c r="F141" s="114"/>
      <c r="G141" s="114">
        <v>1</v>
      </c>
      <c r="H141" s="127" t="s">
        <v>14</v>
      </c>
      <c r="I141" s="127"/>
      <c r="J141" s="127"/>
      <c r="L141" t="s">
        <v>91</v>
      </c>
    </row>
    <row r="142" spans="2:12" x14ac:dyDescent="0.25">
      <c r="B142" s="127" t="s">
        <v>19</v>
      </c>
      <c r="C142" s="127"/>
      <c r="D142" s="127"/>
      <c r="E142" s="114">
        <v>2</v>
      </c>
      <c r="F142" s="114"/>
      <c r="G142" s="114">
        <v>0</v>
      </c>
      <c r="H142" s="127" t="s">
        <v>11</v>
      </c>
      <c r="I142" s="127"/>
      <c r="J142" s="127"/>
    </row>
    <row r="143" spans="2:12" x14ac:dyDescent="0.25">
      <c r="B143" s="127" t="s">
        <v>34</v>
      </c>
      <c r="C143" s="127"/>
      <c r="D143" s="127"/>
      <c r="E143" s="114">
        <v>0</v>
      </c>
      <c r="F143" s="114"/>
      <c r="G143" s="114">
        <v>3</v>
      </c>
      <c r="H143" s="127" t="s">
        <v>20</v>
      </c>
      <c r="I143" s="127"/>
      <c r="J143" s="127"/>
    </row>
    <row r="144" spans="2:12" x14ac:dyDescent="0.25">
      <c r="B144" s="127" t="s">
        <v>26</v>
      </c>
      <c r="C144" s="127"/>
      <c r="D144" s="127"/>
      <c r="E144" s="114">
        <v>2</v>
      </c>
      <c r="F144" s="114"/>
      <c r="G144" s="114">
        <v>0</v>
      </c>
      <c r="H144" s="127" t="s">
        <v>55</v>
      </c>
      <c r="I144" s="127"/>
      <c r="J144" s="127"/>
    </row>
    <row r="145" spans="2:12" x14ac:dyDescent="0.25">
      <c r="B145" s="127" t="s">
        <v>6</v>
      </c>
      <c r="C145" s="127"/>
      <c r="D145" s="127"/>
      <c r="E145" s="114">
        <v>1</v>
      </c>
      <c r="F145" s="114"/>
      <c r="G145" s="114">
        <v>0</v>
      </c>
      <c r="H145" s="127" t="s">
        <v>13</v>
      </c>
      <c r="I145" s="127"/>
      <c r="J145" s="127"/>
    </row>
    <row r="146" spans="2:12" x14ac:dyDescent="0.25">
      <c r="B146" s="127" t="s">
        <v>8</v>
      </c>
      <c r="C146" s="127"/>
      <c r="D146" s="127"/>
      <c r="E146" s="114">
        <v>2</v>
      </c>
      <c r="F146" s="114"/>
      <c r="G146" s="114">
        <v>0</v>
      </c>
      <c r="H146" s="127" t="s">
        <v>29</v>
      </c>
      <c r="I146" s="127"/>
      <c r="J146" s="127"/>
    </row>
    <row r="147" spans="2:12" x14ac:dyDescent="0.25">
      <c r="B147" s="127" t="s">
        <v>5</v>
      </c>
      <c r="C147" s="127"/>
      <c r="D147" s="127"/>
      <c r="E147" s="114">
        <v>2</v>
      </c>
      <c r="F147" s="114"/>
      <c r="G147" s="114">
        <v>1</v>
      </c>
      <c r="H147" s="127" t="s">
        <v>6</v>
      </c>
      <c r="I147" s="127"/>
      <c r="J147" s="127"/>
    </row>
    <row r="148" spans="2:12" x14ac:dyDescent="0.25">
      <c r="B148" s="127" t="s">
        <v>17</v>
      </c>
      <c r="C148" s="127"/>
      <c r="D148" s="127"/>
      <c r="E148" s="114">
        <v>2</v>
      </c>
      <c r="F148" s="114"/>
      <c r="G148" s="114">
        <v>0</v>
      </c>
      <c r="H148" s="127" t="s">
        <v>23</v>
      </c>
      <c r="I148" s="127"/>
      <c r="J148" s="127"/>
    </row>
    <row r="149" spans="2:12" x14ac:dyDescent="0.25">
      <c r="B149" s="127" t="s">
        <v>12</v>
      </c>
      <c r="C149" s="127"/>
      <c r="D149" s="127"/>
      <c r="E149" s="114">
        <v>2</v>
      </c>
      <c r="F149" s="114"/>
      <c r="G149" s="114">
        <v>1</v>
      </c>
      <c r="H149" s="127" t="s">
        <v>23</v>
      </c>
      <c r="I149" s="127"/>
      <c r="J149" s="127"/>
    </row>
    <row r="151" spans="2:12" x14ac:dyDescent="0.25">
      <c r="B151" s="127" t="s">
        <v>14</v>
      </c>
      <c r="C151" s="127"/>
      <c r="D151" s="127"/>
      <c r="E151" s="114">
        <v>1</v>
      </c>
      <c r="F151" s="114"/>
      <c r="G151" s="114">
        <v>2</v>
      </c>
      <c r="H151" s="127" t="s">
        <v>28</v>
      </c>
      <c r="I151" s="127"/>
      <c r="J151" s="127"/>
      <c r="L151" t="s">
        <v>70</v>
      </c>
    </row>
    <row r="152" spans="2:12" x14ac:dyDescent="0.25">
      <c r="B152" s="127" t="s">
        <v>16</v>
      </c>
      <c r="C152" s="127"/>
      <c r="D152" s="127"/>
      <c r="E152" s="114">
        <v>1</v>
      </c>
      <c r="F152" s="114"/>
      <c r="G152" s="114">
        <v>1</v>
      </c>
      <c r="H152" s="127" t="s">
        <v>34</v>
      </c>
      <c r="I152" s="127"/>
      <c r="J152" s="127"/>
    </row>
    <row r="153" spans="2:12" x14ac:dyDescent="0.25">
      <c r="B153" s="127" t="s">
        <v>5</v>
      </c>
      <c r="C153" s="127"/>
      <c r="D153" s="127"/>
      <c r="E153" s="114">
        <v>2</v>
      </c>
      <c r="F153" s="114"/>
      <c r="G153" s="114">
        <v>0</v>
      </c>
      <c r="H153" s="127" t="s">
        <v>24</v>
      </c>
      <c r="I153" s="127"/>
      <c r="J153" s="127"/>
    </row>
    <row r="154" spans="2:12" x14ac:dyDescent="0.25">
      <c r="B154" s="127" t="s">
        <v>55</v>
      </c>
      <c r="C154" s="127"/>
      <c r="D154" s="127"/>
      <c r="E154" s="114">
        <v>1</v>
      </c>
      <c r="F154" s="114"/>
      <c r="G154" s="114">
        <v>2</v>
      </c>
      <c r="H154" s="127" t="s">
        <v>24</v>
      </c>
      <c r="I154" s="127"/>
      <c r="J154" s="127"/>
    </row>
    <row r="155" spans="2:12" x14ac:dyDescent="0.25">
      <c r="B155" s="127" t="s">
        <v>15</v>
      </c>
      <c r="C155" s="127"/>
      <c r="D155" s="127"/>
      <c r="E155" s="114">
        <v>1</v>
      </c>
      <c r="F155" s="114"/>
      <c r="G155" s="114">
        <v>1</v>
      </c>
      <c r="H155" s="127" t="s">
        <v>4</v>
      </c>
      <c r="I155" s="127"/>
      <c r="J155" s="127"/>
    </row>
    <row r="156" spans="2:12" x14ac:dyDescent="0.25">
      <c r="B156" s="127" t="s">
        <v>10</v>
      </c>
      <c r="C156" s="127"/>
      <c r="D156" s="127"/>
      <c r="E156" s="114">
        <v>1</v>
      </c>
      <c r="F156" s="114"/>
      <c r="G156" s="114">
        <v>2</v>
      </c>
      <c r="H156" s="127" t="s">
        <v>23</v>
      </c>
      <c r="I156" s="127"/>
      <c r="J156" s="127"/>
    </row>
    <row r="157" spans="2:12" x14ac:dyDescent="0.25">
      <c r="B157" s="127" t="s">
        <v>8</v>
      </c>
      <c r="C157" s="127"/>
      <c r="D157" s="127"/>
      <c r="E157" s="114">
        <v>2</v>
      </c>
      <c r="F157" s="114"/>
      <c r="G157" s="114">
        <v>0</v>
      </c>
      <c r="H157" s="127" t="s">
        <v>29</v>
      </c>
      <c r="I157" s="127"/>
      <c r="J157" s="127"/>
    </row>
    <row r="158" spans="2:12" x14ac:dyDescent="0.25">
      <c r="B158" s="127" t="s">
        <v>22</v>
      </c>
      <c r="C158" s="127"/>
      <c r="D158" s="127"/>
      <c r="E158" s="114">
        <v>1</v>
      </c>
      <c r="F158" s="114"/>
      <c r="G158" s="114">
        <v>1</v>
      </c>
      <c r="H158" s="127" t="s">
        <v>12</v>
      </c>
      <c r="I158" s="127"/>
      <c r="J158" s="127"/>
    </row>
  </sheetData>
  <mergeCells count="270">
    <mergeCell ref="B139:D139"/>
    <mergeCell ref="H139:J139"/>
    <mergeCell ref="B153:D153"/>
    <mergeCell ref="H153:J153"/>
    <mergeCell ref="B154:D154"/>
    <mergeCell ref="H154:J154"/>
    <mergeCell ref="B155:D155"/>
    <mergeCell ref="H155:J155"/>
    <mergeCell ref="B158:D158"/>
    <mergeCell ref="H158:J158"/>
    <mergeCell ref="B149:D149"/>
    <mergeCell ref="H149:J149"/>
    <mergeCell ref="B156:D156"/>
    <mergeCell ref="H156:J156"/>
    <mergeCell ref="B157:D157"/>
    <mergeCell ref="H157:J157"/>
    <mergeCell ref="B141:D141"/>
    <mergeCell ref="H141:J141"/>
    <mergeCell ref="B142:D142"/>
    <mergeCell ref="H142:J142"/>
    <mergeCell ref="B143:D143"/>
    <mergeCell ref="H143:J143"/>
    <mergeCell ref="B144:D144"/>
    <mergeCell ref="H144:J144"/>
    <mergeCell ref="B145:D145"/>
    <mergeCell ref="H145:J145"/>
    <mergeCell ref="B146:D146"/>
    <mergeCell ref="H146:J146"/>
    <mergeCell ref="B147:D147"/>
    <mergeCell ref="H147:J147"/>
    <mergeCell ref="B148:D148"/>
    <mergeCell ref="H148:J148"/>
    <mergeCell ref="B151:D151"/>
    <mergeCell ref="H151:J151"/>
    <mergeCell ref="B152:D152"/>
    <mergeCell ref="H152:J152"/>
    <mergeCell ref="B138:D138"/>
    <mergeCell ref="H138:J138"/>
    <mergeCell ref="B126:D126"/>
    <mergeCell ref="H126:J126"/>
    <mergeCell ref="B127:D127"/>
    <mergeCell ref="H127:J127"/>
    <mergeCell ref="B128:D128"/>
    <mergeCell ref="H128:J128"/>
    <mergeCell ref="B129:D129"/>
    <mergeCell ref="H129:J129"/>
    <mergeCell ref="B130:D130"/>
    <mergeCell ref="H130:J130"/>
    <mergeCell ref="B135:D135"/>
    <mergeCell ref="H135:J135"/>
    <mergeCell ref="B136:D136"/>
    <mergeCell ref="H136:J136"/>
    <mergeCell ref="B137:D137"/>
    <mergeCell ref="H137:J137"/>
    <mergeCell ref="B123:D123"/>
    <mergeCell ref="H123:J123"/>
    <mergeCell ref="B131:D131"/>
    <mergeCell ref="H131:J131"/>
    <mergeCell ref="B132:D132"/>
    <mergeCell ref="H132:J132"/>
    <mergeCell ref="B133:D133"/>
    <mergeCell ref="H133:J133"/>
    <mergeCell ref="B134:D134"/>
    <mergeCell ref="H134:J134"/>
    <mergeCell ref="B113:D113"/>
    <mergeCell ref="H113:J113"/>
    <mergeCell ref="B119:D119"/>
    <mergeCell ref="H119:J119"/>
    <mergeCell ref="B120:D120"/>
    <mergeCell ref="H120:J120"/>
    <mergeCell ref="B121:D121"/>
    <mergeCell ref="H121:J121"/>
    <mergeCell ref="B122:D122"/>
    <mergeCell ref="H122:J122"/>
    <mergeCell ref="B103:D103"/>
    <mergeCell ref="H103:J103"/>
    <mergeCell ref="B104:D104"/>
    <mergeCell ref="H104:J104"/>
    <mergeCell ref="B105:D105"/>
    <mergeCell ref="H105:J105"/>
    <mergeCell ref="B124:D124"/>
    <mergeCell ref="H124:J124"/>
    <mergeCell ref="B115:D115"/>
    <mergeCell ref="H115:J115"/>
    <mergeCell ref="B116:D116"/>
    <mergeCell ref="H116:J116"/>
    <mergeCell ref="B117:D117"/>
    <mergeCell ref="H117:J117"/>
    <mergeCell ref="B108:D108"/>
    <mergeCell ref="H108:J108"/>
    <mergeCell ref="B109:D109"/>
    <mergeCell ref="H109:J109"/>
    <mergeCell ref="B110:D110"/>
    <mergeCell ref="H110:J110"/>
    <mergeCell ref="B111:D111"/>
    <mergeCell ref="H111:J111"/>
    <mergeCell ref="B112:D112"/>
    <mergeCell ref="H112:J112"/>
    <mergeCell ref="B87:D87"/>
    <mergeCell ref="H87:J87"/>
    <mergeCell ref="B88:D88"/>
    <mergeCell ref="H88:J88"/>
    <mergeCell ref="B89:D89"/>
    <mergeCell ref="H89:J89"/>
    <mergeCell ref="B106:D106"/>
    <mergeCell ref="H106:J106"/>
    <mergeCell ref="B94:D94"/>
    <mergeCell ref="H94:J94"/>
    <mergeCell ref="B95:D95"/>
    <mergeCell ref="H95:J95"/>
    <mergeCell ref="B96:D96"/>
    <mergeCell ref="H96:J96"/>
    <mergeCell ref="B97:D97"/>
    <mergeCell ref="H97:J97"/>
    <mergeCell ref="B98:D98"/>
    <mergeCell ref="H98:J98"/>
    <mergeCell ref="B99:D99"/>
    <mergeCell ref="H99:J99"/>
    <mergeCell ref="B101:D101"/>
    <mergeCell ref="H101:J101"/>
    <mergeCell ref="B102:D102"/>
    <mergeCell ref="H102:J102"/>
    <mergeCell ref="B90:D90"/>
    <mergeCell ref="H90:J90"/>
    <mergeCell ref="B91:D91"/>
    <mergeCell ref="H91:J91"/>
    <mergeCell ref="B92:D92"/>
    <mergeCell ref="H92:J92"/>
    <mergeCell ref="B77:D77"/>
    <mergeCell ref="H77:J77"/>
    <mergeCell ref="B78:D78"/>
    <mergeCell ref="H78:J78"/>
    <mergeCell ref="B79:D79"/>
    <mergeCell ref="H79:J79"/>
    <mergeCell ref="B80:D80"/>
    <mergeCell ref="H80:J80"/>
    <mergeCell ref="B81:D81"/>
    <mergeCell ref="H81:J81"/>
    <mergeCell ref="B82:D82"/>
    <mergeCell ref="H82:J82"/>
    <mergeCell ref="B83:D83"/>
    <mergeCell ref="H83:J83"/>
    <mergeCell ref="B85:D85"/>
    <mergeCell ref="H85:J85"/>
    <mergeCell ref="B86:D86"/>
    <mergeCell ref="H86:J86"/>
    <mergeCell ref="B75:D75"/>
    <mergeCell ref="H75:J75"/>
    <mergeCell ref="B63:D63"/>
    <mergeCell ref="H63:J63"/>
    <mergeCell ref="B64:D64"/>
    <mergeCell ref="H64:J64"/>
    <mergeCell ref="B65:D65"/>
    <mergeCell ref="H65:J65"/>
    <mergeCell ref="B66:D66"/>
    <mergeCell ref="H66:J66"/>
    <mergeCell ref="B67:D67"/>
    <mergeCell ref="H67:J67"/>
    <mergeCell ref="B68:D68"/>
    <mergeCell ref="H68:J68"/>
    <mergeCell ref="B70:D70"/>
    <mergeCell ref="H70:J70"/>
    <mergeCell ref="B71:D71"/>
    <mergeCell ref="H71:J71"/>
    <mergeCell ref="B72:D72"/>
    <mergeCell ref="H72:J72"/>
    <mergeCell ref="B73:D73"/>
    <mergeCell ref="H73:J73"/>
    <mergeCell ref="B74:D74"/>
    <mergeCell ref="H74:J74"/>
    <mergeCell ref="B58:D58"/>
    <mergeCell ref="H58:J58"/>
    <mergeCell ref="B59:D59"/>
    <mergeCell ref="H59:J59"/>
    <mergeCell ref="B60:D60"/>
    <mergeCell ref="H60:J60"/>
    <mergeCell ref="B61:D61"/>
    <mergeCell ref="H61:J61"/>
    <mergeCell ref="B53:D53"/>
    <mergeCell ref="H53:J53"/>
    <mergeCell ref="B54:D54"/>
    <mergeCell ref="H54:J54"/>
    <mergeCell ref="B55:D55"/>
    <mergeCell ref="H55:J55"/>
    <mergeCell ref="B56:D56"/>
    <mergeCell ref="H56:J56"/>
    <mergeCell ref="B42:D42"/>
    <mergeCell ref="H42:J42"/>
    <mergeCell ref="B51:D51"/>
    <mergeCell ref="H51:J51"/>
    <mergeCell ref="B46:D46"/>
    <mergeCell ref="H46:J46"/>
    <mergeCell ref="B47:D47"/>
    <mergeCell ref="H47:J47"/>
    <mergeCell ref="B48:D48"/>
    <mergeCell ref="H48:J48"/>
    <mergeCell ref="B49:D49"/>
    <mergeCell ref="H49:J49"/>
    <mergeCell ref="B43:D43"/>
    <mergeCell ref="H43:J43"/>
    <mergeCell ref="B44:D44"/>
    <mergeCell ref="H44:J44"/>
    <mergeCell ref="B31:D31"/>
    <mergeCell ref="H31:J31"/>
    <mergeCell ref="B32:D32"/>
    <mergeCell ref="H32:J32"/>
    <mergeCell ref="B33:D33"/>
    <mergeCell ref="H33:J33"/>
    <mergeCell ref="B34:D34"/>
    <mergeCell ref="H34:J34"/>
    <mergeCell ref="B35:D35"/>
    <mergeCell ref="H35:J35"/>
    <mergeCell ref="B36:D36"/>
    <mergeCell ref="H36:J36"/>
    <mergeCell ref="B38:D38"/>
    <mergeCell ref="H38:J38"/>
    <mergeCell ref="B39:D39"/>
    <mergeCell ref="H39:J39"/>
    <mergeCell ref="B40:D40"/>
    <mergeCell ref="H40:J40"/>
    <mergeCell ref="B41:D41"/>
    <mergeCell ref="H41:J41"/>
    <mergeCell ref="B27:D27"/>
    <mergeCell ref="H27:J27"/>
    <mergeCell ref="B28:D28"/>
    <mergeCell ref="H28:J28"/>
    <mergeCell ref="B29:D29"/>
    <mergeCell ref="H29:J29"/>
    <mergeCell ref="B22:D22"/>
    <mergeCell ref="H22:J22"/>
    <mergeCell ref="B23:D23"/>
    <mergeCell ref="H23:J23"/>
    <mergeCell ref="B24:D24"/>
    <mergeCell ref="H24:J24"/>
    <mergeCell ref="B25:D25"/>
    <mergeCell ref="H25:J25"/>
    <mergeCell ref="B20:D20"/>
    <mergeCell ref="H20:J20"/>
    <mergeCell ref="B9:D9"/>
    <mergeCell ref="H9:J9"/>
    <mergeCell ref="B10:D10"/>
    <mergeCell ref="H10:J10"/>
    <mergeCell ref="B11:D11"/>
    <mergeCell ref="H11:J11"/>
    <mergeCell ref="B12:D12"/>
    <mergeCell ref="H12:J12"/>
    <mergeCell ref="B13:D13"/>
    <mergeCell ref="H13:J13"/>
    <mergeCell ref="B15:D15"/>
    <mergeCell ref="H15:J15"/>
    <mergeCell ref="B16:D16"/>
    <mergeCell ref="H16:J16"/>
    <mergeCell ref="B17:D17"/>
    <mergeCell ref="H17:J17"/>
    <mergeCell ref="B18:D18"/>
    <mergeCell ref="H18:J18"/>
    <mergeCell ref="B19:D19"/>
    <mergeCell ref="H19:J19"/>
    <mergeCell ref="B7:D7"/>
    <mergeCell ref="H7:J7"/>
    <mergeCell ref="B2:D2"/>
    <mergeCell ref="H2:J2"/>
    <mergeCell ref="B3:D3"/>
    <mergeCell ref="H3:J3"/>
    <mergeCell ref="B4:D4"/>
    <mergeCell ref="H4:J4"/>
    <mergeCell ref="B5:D5"/>
    <mergeCell ref="H5:J5"/>
    <mergeCell ref="B6:D6"/>
    <mergeCell ref="H6:J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404"/>
  <sheetViews>
    <sheetView showGridLines="0" tabSelected="1" zoomScale="90" zoomScaleNormal="90" workbookViewId="0">
      <pane ySplit="2" topLeftCell="A3" activePane="bottomLeft" state="frozen"/>
      <selection pane="bottomLeft" activeCell="D23" sqref="D23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2" width="0.140625" style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40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130" t="s">
        <v>90</v>
      </c>
      <c r="C1" s="131"/>
      <c r="D1" s="131"/>
      <c r="E1" s="131"/>
      <c r="F1" s="131"/>
      <c r="G1" s="131"/>
      <c r="H1" s="131"/>
      <c r="I1" s="132"/>
      <c r="M1" s="128"/>
      <c r="N1" s="128"/>
      <c r="O1" s="128"/>
      <c r="P1" s="129"/>
      <c r="Q1" s="129"/>
      <c r="R1" s="129"/>
      <c r="S1" s="128"/>
      <c r="T1" s="128"/>
      <c r="U1" s="128"/>
      <c r="V1" s="129"/>
      <c r="W1" s="129"/>
      <c r="X1" s="129"/>
    </row>
    <row r="2" spans="2:24" s="32" customFormat="1" ht="39" customHeight="1" x14ac:dyDescent="0.25">
      <c r="B2" s="31"/>
      <c r="C2" s="53" t="s">
        <v>117</v>
      </c>
      <c r="D2" s="52" t="s">
        <v>52</v>
      </c>
      <c r="E2" s="54" t="s">
        <v>118</v>
      </c>
      <c r="F2" s="52" t="s">
        <v>121</v>
      </c>
      <c r="G2" s="54" t="s">
        <v>119</v>
      </c>
      <c r="H2" s="52" t="s">
        <v>122</v>
      </c>
      <c r="I2" s="55" t="s">
        <v>120</v>
      </c>
      <c r="Q2" s="41"/>
      <c r="R2" s="41"/>
      <c r="S2" s="41"/>
      <c r="T2" s="41"/>
      <c r="U2" s="41"/>
    </row>
    <row r="3" spans="2:24" x14ac:dyDescent="0.25">
      <c r="B3" s="43" t="s">
        <v>94</v>
      </c>
      <c r="C3" s="44" t="str">
        <f t="shared" ref="C3:C25" si="0">K3</f>
        <v>Macélio</v>
      </c>
      <c r="D3" s="44">
        <f>VLOOKUP(C3,O$3:U$25,2,0)</f>
        <v>700</v>
      </c>
      <c r="E3" s="44">
        <f>VLOOKUP(C3,O$3:U$25,3,0)</f>
        <v>8</v>
      </c>
      <c r="F3" s="44">
        <f>VLOOKUP(C3,O$3:U$25,4,0)</f>
        <v>12</v>
      </c>
      <c r="G3" s="44">
        <f>VLOOKUP(C3,O$3:U$25,5,0)</f>
        <v>14</v>
      </c>
      <c r="H3" s="44">
        <f>VLOOKUP(C3,O$3:U$25,6,0)</f>
        <v>16</v>
      </c>
      <c r="I3" s="45">
        <f>VLOOKUP(C3,O$3:U$25,7,0)</f>
        <v>14</v>
      </c>
      <c r="K3" s="36" t="s">
        <v>70</v>
      </c>
      <c r="L3" s="36">
        <f>Macélio!Q$11</f>
        <v>700</v>
      </c>
      <c r="M3" s="36"/>
      <c r="N3" s="36"/>
      <c r="O3" s="37" t="s">
        <v>70</v>
      </c>
      <c r="P3" s="33">
        <f>Macélio!Q$11</f>
        <v>700</v>
      </c>
      <c r="Q3" s="22">
        <v>8</v>
      </c>
      <c r="R3" s="22">
        <v>12</v>
      </c>
      <c r="S3" s="22">
        <v>14</v>
      </c>
      <c r="T3" s="22">
        <v>16</v>
      </c>
      <c r="U3" s="22">
        <v>14</v>
      </c>
      <c r="V3" s="38"/>
    </row>
    <row r="4" spans="2:24" x14ac:dyDescent="0.25">
      <c r="B4" s="46" t="s">
        <v>95</v>
      </c>
      <c r="C4" s="47" t="str">
        <f t="shared" si="0"/>
        <v>Ivan Alex_1</v>
      </c>
      <c r="D4" s="47">
        <f t="shared" ref="D4:D25" si="1">VLOOKUP(C4,O$3:U$25,2,0)</f>
        <v>675</v>
      </c>
      <c r="E4" s="47">
        <f t="shared" ref="E4:E25" si="2">VLOOKUP(C4,O$3:U$25,3,0)</f>
        <v>9</v>
      </c>
      <c r="F4" s="47">
        <f t="shared" ref="F4:F25" si="3">VLOOKUP(C4,O$3:U$25,4,0)</f>
        <v>14</v>
      </c>
      <c r="G4" s="47">
        <f t="shared" ref="G4:G25" si="4">VLOOKUP(C4,O$3:U$25,5,0)</f>
        <v>13</v>
      </c>
      <c r="H4" s="47">
        <f t="shared" ref="H4:H25" si="5">VLOOKUP(C4,O$3:U$25,6,0)</f>
        <v>12</v>
      </c>
      <c r="I4" s="48">
        <f t="shared" ref="I4:I25" si="6">VLOOKUP(C4,O$3:U$25,7,0)</f>
        <v>16</v>
      </c>
      <c r="K4" s="36" t="s">
        <v>91</v>
      </c>
      <c r="L4" s="36">
        <f>'Ivan Alex_1'!Q$11</f>
        <v>675</v>
      </c>
      <c r="M4" s="36"/>
      <c r="N4" s="36"/>
      <c r="O4" s="37" t="s">
        <v>91</v>
      </c>
      <c r="P4" s="33">
        <f>'Ivan Alex_1'!Q$11</f>
        <v>675</v>
      </c>
      <c r="Q4" s="42">
        <v>9</v>
      </c>
      <c r="R4" s="42">
        <v>14</v>
      </c>
      <c r="S4" s="42">
        <v>13</v>
      </c>
      <c r="T4" s="42">
        <v>12</v>
      </c>
      <c r="U4" s="42">
        <v>16</v>
      </c>
      <c r="V4" s="38"/>
    </row>
    <row r="5" spans="2:24" x14ac:dyDescent="0.25">
      <c r="B5" s="102" t="s">
        <v>96</v>
      </c>
      <c r="C5" s="103" t="str">
        <f t="shared" si="0"/>
        <v>Luana</v>
      </c>
      <c r="D5" s="103">
        <f t="shared" si="1"/>
        <v>665</v>
      </c>
      <c r="E5" s="103">
        <f t="shared" si="2"/>
        <v>8</v>
      </c>
      <c r="F5" s="103">
        <f t="shared" si="3"/>
        <v>12</v>
      </c>
      <c r="G5" s="103">
        <f t="shared" si="4"/>
        <v>12</v>
      </c>
      <c r="H5" s="103">
        <f t="shared" si="5"/>
        <v>13</v>
      </c>
      <c r="I5" s="104">
        <f t="shared" si="6"/>
        <v>19</v>
      </c>
      <c r="K5" s="36" t="s">
        <v>75</v>
      </c>
      <c r="L5" s="36">
        <f>Luana!Q$11</f>
        <v>665</v>
      </c>
      <c r="M5" s="36"/>
      <c r="N5" s="36"/>
      <c r="O5" s="37" t="s">
        <v>92</v>
      </c>
      <c r="P5" s="33">
        <f>'Bruno Flores'!Q$11</f>
        <v>660</v>
      </c>
      <c r="Q5" s="22">
        <v>14</v>
      </c>
      <c r="R5" s="22">
        <v>7</v>
      </c>
      <c r="S5" s="22">
        <v>16</v>
      </c>
      <c r="T5" s="22">
        <v>9</v>
      </c>
      <c r="U5" s="22">
        <v>18</v>
      </c>
      <c r="V5" s="38"/>
    </row>
    <row r="6" spans="2:24" x14ac:dyDescent="0.25">
      <c r="B6" s="59" t="s">
        <v>97</v>
      </c>
      <c r="C6" s="60" t="str">
        <f t="shared" si="0"/>
        <v>Bruno Flores</v>
      </c>
      <c r="D6" s="60">
        <f t="shared" si="1"/>
        <v>660</v>
      </c>
      <c r="E6" s="60">
        <f t="shared" si="2"/>
        <v>14</v>
      </c>
      <c r="F6" s="60">
        <f t="shared" si="3"/>
        <v>7</v>
      </c>
      <c r="G6" s="60">
        <f t="shared" si="4"/>
        <v>16</v>
      </c>
      <c r="H6" s="60">
        <f t="shared" si="5"/>
        <v>9</v>
      </c>
      <c r="I6" s="61">
        <f t="shared" si="6"/>
        <v>18</v>
      </c>
      <c r="K6" s="36" t="s">
        <v>92</v>
      </c>
      <c r="L6" s="36">
        <f>'Bruno Flores'!Q$11</f>
        <v>660</v>
      </c>
      <c r="M6" s="36"/>
      <c r="N6" s="36"/>
      <c r="O6" s="37" t="s">
        <v>69</v>
      </c>
      <c r="P6" s="33">
        <f>'Ivan Alex_2'!Q$11</f>
        <v>590</v>
      </c>
      <c r="Q6" s="22">
        <v>6</v>
      </c>
      <c r="R6" s="22">
        <v>10</v>
      </c>
      <c r="S6" s="22">
        <v>15</v>
      </c>
      <c r="T6" s="22">
        <v>18</v>
      </c>
      <c r="U6" s="22">
        <v>15</v>
      </c>
      <c r="V6" s="38"/>
    </row>
    <row r="7" spans="2:24" x14ac:dyDescent="0.25">
      <c r="B7" s="59" t="s">
        <v>98</v>
      </c>
      <c r="C7" s="60" t="str">
        <f t="shared" si="0"/>
        <v>Mácio</v>
      </c>
      <c r="D7" s="60">
        <f t="shared" si="1"/>
        <v>640</v>
      </c>
      <c r="E7" s="60">
        <f t="shared" si="2"/>
        <v>7</v>
      </c>
      <c r="F7" s="60">
        <f t="shared" si="3"/>
        <v>14</v>
      </c>
      <c r="G7" s="60">
        <f t="shared" si="4"/>
        <v>11</v>
      </c>
      <c r="H7" s="60">
        <f t="shared" si="5"/>
        <v>9</v>
      </c>
      <c r="I7" s="61">
        <f t="shared" si="6"/>
        <v>23</v>
      </c>
      <c r="K7" s="36" t="s">
        <v>76</v>
      </c>
      <c r="L7" s="36">
        <f>Mácio!Q$11</f>
        <v>640</v>
      </c>
      <c r="M7" s="36"/>
      <c r="N7" s="36"/>
      <c r="O7" s="37" t="s">
        <v>72</v>
      </c>
      <c r="P7" s="33">
        <f>Gabriel!Q$11</f>
        <v>610</v>
      </c>
      <c r="Q7" s="22">
        <v>3</v>
      </c>
      <c r="R7" s="22">
        <v>11</v>
      </c>
      <c r="S7" s="22">
        <v>15</v>
      </c>
      <c r="T7" s="22">
        <v>14</v>
      </c>
      <c r="U7" s="22">
        <v>20</v>
      </c>
      <c r="V7" s="38"/>
    </row>
    <row r="8" spans="2:24" x14ac:dyDescent="0.25">
      <c r="B8" s="59" t="s">
        <v>99</v>
      </c>
      <c r="C8" s="60" t="str">
        <f t="shared" si="0"/>
        <v>Luis</v>
      </c>
      <c r="D8" s="60">
        <f t="shared" si="1"/>
        <v>635</v>
      </c>
      <c r="E8" s="60">
        <f t="shared" si="2"/>
        <v>6</v>
      </c>
      <c r="F8" s="60">
        <f t="shared" si="3"/>
        <v>11</v>
      </c>
      <c r="G8" s="60">
        <f t="shared" si="4"/>
        <v>11</v>
      </c>
      <c r="H8" s="60">
        <f t="shared" si="5"/>
        <v>12</v>
      </c>
      <c r="I8" s="61">
        <f t="shared" si="6"/>
        <v>22</v>
      </c>
      <c r="K8" s="36" t="s">
        <v>71</v>
      </c>
      <c r="L8" s="36">
        <f>Luis!Q$11</f>
        <v>635</v>
      </c>
      <c r="M8" s="36"/>
      <c r="N8" s="36"/>
      <c r="O8" s="37" t="s">
        <v>71</v>
      </c>
      <c r="P8" s="33">
        <f>Luis!Q$11</f>
        <v>635</v>
      </c>
      <c r="Q8" s="22">
        <v>6</v>
      </c>
      <c r="R8" s="22">
        <v>11</v>
      </c>
      <c r="S8" s="22">
        <v>11</v>
      </c>
      <c r="T8" s="22">
        <v>12</v>
      </c>
      <c r="U8" s="22">
        <v>22</v>
      </c>
      <c r="V8" s="38"/>
    </row>
    <row r="9" spans="2:24" x14ac:dyDescent="0.25">
      <c r="B9" s="59" t="s">
        <v>100</v>
      </c>
      <c r="C9" s="60" t="str">
        <f t="shared" si="0"/>
        <v>Robert</v>
      </c>
      <c r="D9" s="60">
        <f t="shared" si="1"/>
        <v>625</v>
      </c>
      <c r="E9" s="60">
        <f t="shared" si="2"/>
        <v>4</v>
      </c>
      <c r="F9" s="60">
        <f t="shared" si="3"/>
        <v>16</v>
      </c>
      <c r="G9" s="60">
        <f t="shared" si="4"/>
        <v>12</v>
      </c>
      <c r="H9" s="60">
        <f t="shared" si="5"/>
        <v>13</v>
      </c>
      <c r="I9" s="61">
        <f t="shared" si="6"/>
        <v>17</v>
      </c>
      <c r="K9" s="36" t="s">
        <v>79</v>
      </c>
      <c r="L9" s="36">
        <f>Robert!Q$11</f>
        <v>625</v>
      </c>
      <c r="M9" s="36"/>
      <c r="N9" s="36"/>
      <c r="O9" s="37" t="s">
        <v>73</v>
      </c>
      <c r="P9" s="33">
        <f>Juninho_1!Q$11</f>
        <v>520</v>
      </c>
      <c r="Q9" s="22">
        <v>6</v>
      </c>
      <c r="R9" s="22">
        <v>8</v>
      </c>
      <c r="S9" s="22">
        <v>17</v>
      </c>
      <c r="T9" s="22">
        <v>16</v>
      </c>
      <c r="U9" s="22">
        <v>16</v>
      </c>
      <c r="V9" s="38"/>
    </row>
    <row r="10" spans="2:24" x14ac:dyDescent="0.25">
      <c r="B10" s="35" t="s">
        <v>101</v>
      </c>
      <c r="C10" s="27" t="str">
        <f t="shared" si="0"/>
        <v>Jean</v>
      </c>
      <c r="D10" s="27">
        <f t="shared" si="1"/>
        <v>615</v>
      </c>
      <c r="E10" s="27">
        <f t="shared" si="2"/>
        <v>6</v>
      </c>
      <c r="F10" s="27">
        <f t="shared" si="3"/>
        <v>14</v>
      </c>
      <c r="G10" s="27">
        <f t="shared" si="4"/>
        <v>14</v>
      </c>
      <c r="H10" s="27">
        <f t="shared" si="5"/>
        <v>13</v>
      </c>
      <c r="I10" s="28">
        <f t="shared" si="6"/>
        <v>16</v>
      </c>
      <c r="J10" s="36"/>
      <c r="K10" s="36" t="s">
        <v>78</v>
      </c>
      <c r="L10" s="36">
        <f>Jean!Q$11</f>
        <v>615</v>
      </c>
      <c r="M10" s="36"/>
      <c r="N10" s="36"/>
      <c r="O10" s="37" t="s">
        <v>74</v>
      </c>
      <c r="P10" s="33">
        <f>Juninho_2!Q$11</f>
        <v>535</v>
      </c>
      <c r="Q10" s="22">
        <v>6</v>
      </c>
      <c r="R10" s="22">
        <v>15</v>
      </c>
      <c r="S10" s="22">
        <v>9</v>
      </c>
      <c r="T10" s="22">
        <v>14</v>
      </c>
      <c r="U10" s="22">
        <v>19</v>
      </c>
      <c r="V10" s="38"/>
    </row>
    <row r="11" spans="2:24" x14ac:dyDescent="0.25">
      <c r="B11" s="35" t="s">
        <v>102</v>
      </c>
      <c r="C11" s="27" t="str">
        <f t="shared" si="0"/>
        <v>Gabriel</v>
      </c>
      <c r="D11" s="27">
        <f t="shared" si="1"/>
        <v>610</v>
      </c>
      <c r="E11" s="27">
        <f t="shared" si="2"/>
        <v>3</v>
      </c>
      <c r="F11" s="27">
        <f t="shared" si="3"/>
        <v>11</v>
      </c>
      <c r="G11" s="27">
        <f t="shared" si="4"/>
        <v>15</v>
      </c>
      <c r="H11" s="27">
        <f t="shared" si="5"/>
        <v>14</v>
      </c>
      <c r="I11" s="28">
        <f t="shared" si="6"/>
        <v>20</v>
      </c>
      <c r="K11" s="36" t="s">
        <v>72</v>
      </c>
      <c r="L11" s="36">
        <f>Gabriel!Q$11</f>
        <v>610</v>
      </c>
      <c r="M11" s="36"/>
      <c r="N11" s="36"/>
      <c r="O11" s="37" t="s">
        <v>75</v>
      </c>
      <c r="P11" s="33">
        <f>Luana!Q$11</f>
        <v>665</v>
      </c>
      <c r="Q11" s="22">
        <v>8</v>
      </c>
      <c r="R11" s="22">
        <v>12</v>
      </c>
      <c r="S11" s="22">
        <v>12</v>
      </c>
      <c r="T11" s="22">
        <v>13</v>
      </c>
      <c r="U11" s="22">
        <v>19</v>
      </c>
      <c r="V11" s="38"/>
    </row>
    <row r="12" spans="2:24" x14ac:dyDescent="0.25">
      <c r="B12" s="35" t="s">
        <v>103</v>
      </c>
      <c r="C12" s="27" t="str">
        <f t="shared" si="0"/>
        <v>Ivan Alex_2</v>
      </c>
      <c r="D12" s="27">
        <f t="shared" si="1"/>
        <v>590</v>
      </c>
      <c r="E12" s="27">
        <f t="shared" si="2"/>
        <v>6</v>
      </c>
      <c r="F12" s="27">
        <f t="shared" si="3"/>
        <v>10</v>
      </c>
      <c r="G12" s="27">
        <f t="shared" si="4"/>
        <v>15</v>
      </c>
      <c r="H12" s="27">
        <f t="shared" si="5"/>
        <v>18</v>
      </c>
      <c r="I12" s="28">
        <f t="shared" si="6"/>
        <v>15</v>
      </c>
      <c r="K12" s="36" t="s">
        <v>69</v>
      </c>
      <c r="L12" s="36">
        <f>'Ivan Alex_2'!Q$11</f>
        <v>590</v>
      </c>
      <c r="M12" s="36"/>
      <c r="N12" s="36"/>
      <c r="O12" s="37" t="s">
        <v>76</v>
      </c>
      <c r="P12" s="33">
        <f>Mácio!Q$11</f>
        <v>640</v>
      </c>
      <c r="Q12" s="22">
        <v>7</v>
      </c>
      <c r="R12" s="22">
        <v>14</v>
      </c>
      <c r="S12" s="22">
        <v>11</v>
      </c>
      <c r="T12" s="22">
        <v>9</v>
      </c>
      <c r="U12" s="22">
        <v>23</v>
      </c>
      <c r="V12" s="38"/>
    </row>
    <row r="13" spans="2:24" x14ac:dyDescent="0.25">
      <c r="B13" s="35" t="s">
        <v>104</v>
      </c>
      <c r="C13" s="27" t="str">
        <f t="shared" si="0"/>
        <v>Julio</v>
      </c>
      <c r="D13" s="27">
        <f t="shared" si="1"/>
        <v>585</v>
      </c>
      <c r="E13" s="27">
        <f t="shared" si="2"/>
        <v>4</v>
      </c>
      <c r="F13" s="27">
        <f t="shared" si="3"/>
        <v>13</v>
      </c>
      <c r="G13" s="27">
        <f t="shared" si="4"/>
        <v>19</v>
      </c>
      <c r="H13" s="27">
        <f t="shared" si="5"/>
        <v>10</v>
      </c>
      <c r="I13" s="28">
        <f t="shared" si="6"/>
        <v>17</v>
      </c>
      <c r="K13" s="36" t="s">
        <v>86</v>
      </c>
      <c r="L13" s="36">
        <f>Julio!Q$11</f>
        <v>585</v>
      </c>
      <c r="M13" s="36"/>
      <c r="N13" s="36"/>
      <c r="O13" s="37" t="s">
        <v>77</v>
      </c>
      <c r="P13" s="33">
        <f>Alex!Q$11</f>
        <v>510</v>
      </c>
      <c r="Q13" s="22">
        <v>6</v>
      </c>
      <c r="R13" s="22">
        <v>11</v>
      </c>
      <c r="S13" s="22">
        <v>12</v>
      </c>
      <c r="T13" s="22">
        <v>15</v>
      </c>
      <c r="U13" s="22">
        <v>20</v>
      </c>
      <c r="V13" s="38"/>
    </row>
    <row r="14" spans="2:24" x14ac:dyDescent="0.25">
      <c r="B14" s="35" t="s">
        <v>105</v>
      </c>
      <c r="C14" s="27" t="str">
        <f t="shared" si="0"/>
        <v>Anderson</v>
      </c>
      <c r="D14" s="27">
        <f t="shared" si="1"/>
        <v>570</v>
      </c>
      <c r="E14" s="27">
        <f t="shared" si="2"/>
        <v>5</v>
      </c>
      <c r="F14" s="27">
        <f t="shared" si="3"/>
        <v>13</v>
      </c>
      <c r="G14" s="27">
        <f t="shared" si="4"/>
        <v>13</v>
      </c>
      <c r="H14" s="27">
        <f t="shared" si="5"/>
        <v>14</v>
      </c>
      <c r="I14" s="28">
        <f t="shared" si="6"/>
        <v>18</v>
      </c>
      <c r="K14" s="36" t="s">
        <v>88</v>
      </c>
      <c r="L14" s="36">
        <f>Anderson!Q$11</f>
        <v>570</v>
      </c>
      <c r="M14" s="36"/>
      <c r="N14" s="36"/>
      <c r="O14" s="37" t="s">
        <v>78</v>
      </c>
      <c r="P14" s="33">
        <f>Jean!Q$11</f>
        <v>615</v>
      </c>
      <c r="Q14" s="22">
        <v>6</v>
      </c>
      <c r="R14" s="22">
        <v>14</v>
      </c>
      <c r="S14" s="22">
        <v>14</v>
      </c>
      <c r="T14" s="22">
        <v>13</v>
      </c>
      <c r="U14" s="22">
        <v>16</v>
      </c>
      <c r="V14" s="38"/>
    </row>
    <row r="15" spans="2:24" x14ac:dyDescent="0.25">
      <c r="B15" s="35" t="s">
        <v>106</v>
      </c>
      <c r="C15" s="27" t="str">
        <f t="shared" si="0"/>
        <v>Talita</v>
      </c>
      <c r="D15" s="27">
        <f t="shared" si="1"/>
        <v>570</v>
      </c>
      <c r="E15" s="27">
        <f t="shared" si="2"/>
        <v>6</v>
      </c>
      <c r="F15" s="27">
        <f t="shared" si="3"/>
        <v>10</v>
      </c>
      <c r="G15" s="27">
        <f t="shared" si="4"/>
        <v>13</v>
      </c>
      <c r="H15" s="27">
        <f t="shared" si="5"/>
        <v>18</v>
      </c>
      <c r="I15" s="28">
        <f t="shared" si="6"/>
        <v>16</v>
      </c>
      <c r="K15" s="36" t="s">
        <v>87</v>
      </c>
      <c r="L15" s="36">
        <f>Talita!Q$11</f>
        <v>570</v>
      </c>
      <c r="M15" s="36"/>
      <c r="N15" s="36"/>
      <c r="O15" s="37" t="s">
        <v>79</v>
      </c>
      <c r="P15" s="33">
        <f>Robert!Q$11</f>
        <v>625</v>
      </c>
      <c r="Q15" s="22">
        <v>4</v>
      </c>
      <c r="R15" s="22">
        <v>16</v>
      </c>
      <c r="S15" s="22">
        <v>12</v>
      </c>
      <c r="T15" s="22">
        <v>13</v>
      </c>
      <c r="U15" s="22">
        <v>17</v>
      </c>
      <c r="V15" s="38"/>
    </row>
    <row r="16" spans="2:24" x14ac:dyDescent="0.25">
      <c r="B16" s="35" t="s">
        <v>107</v>
      </c>
      <c r="C16" s="27" t="str">
        <f t="shared" si="0"/>
        <v>Joseir_2</v>
      </c>
      <c r="D16" s="27">
        <f t="shared" si="1"/>
        <v>545</v>
      </c>
      <c r="E16" s="27">
        <f t="shared" si="2"/>
        <v>7</v>
      </c>
      <c r="F16" s="27">
        <f t="shared" si="3"/>
        <v>10</v>
      </c>
      <c r="G16" s="27">
        <f t="shared" si="4"/>
        <v>12</v>
      </c>
      <c r="H16" s="27">
        <f t="shared" si="5"/>
        <v>20</v>
      </c>
      <c r="I16" s="28">
        <f t="shared" si="6"/>
        <v>14</v>
      </c>
      <c r="K16" s="36" t="s">
        <v>83</v>
      </c>
      <c r="L16" s="36">
        <f>Joseir_2!Q$11</f>
        <v>545</v>
      </c>
      <c r="M16" s="36"/>
      <c r="N16" s="36"/>
      <c r="O16" s="37" t="s">
        <v>80</v>
      </c>
      <c r="P16" s="33">
        <f>Roberto!Q$11</f>
        <v>520</v>
      </c>
      <c r="Q16" s="22">
        <v>4</v>
      </c>
      <c r="R16" s="22">
        <v>13</v>
      </c>
      <c r="S16" s="22">
        <v>13</v>
      </c>
      <c r="T16" s="22">
        <v>19</v>
      </c>
      <c r="U16" s="22">
        <v>14</v>
      </c>
      <c r="V16" s="38"/>
    </row>
    <row r="17" spans="2:22" x14ac:dyDescent="0.25">
      <c r="B17" s="35" t="s">
        <v>108</v>
      </c>
      <c r="C17" s="27" t="str">
        <f t="shared" si="0"/>
        <v>Juninho_2</v>
      </c>
      <c r="D17" s="27">
        <f t="shared" si="1"/>
        <v>535</v>
      </c>
      <c r="E17" s="27">
        <f t="shared" si="2"/>
        <v>6</v>
      </c>
      <c r="F17" s="27">
        <f t="shared" si="3"/>
        <v>15</v>
      </c>
      <c r="G17" s="27">
        <f t="shared" si="4"/>
        <v>9</v>
      </c>
      <c r="H17" s="27">
        <f t="shared" si="5"/>
        <v>14</v>
      </c>
      <c r="I17" s="28">
        <f t="shared" si="6"/>
        <v>19</v>
      </c>
      <c r="K17" s="36" t="s">
        <v>74</v>
      </c>
      <c r="L17" s="36">
        <f>Juninho_2!Q$11</f>
        <v>535</v>
      </c>
      <c r="M17" s="36"/>
      <c r="N17" s="36"/>
      <c r="O17" s="37" t="s">
        <v>81</v>
      </c>
      <c r="P17" s="33">
        <f>Andréia!Q$11</f>
        <v>465</v>
      </c>
      <c r="Q17" s="22">
        <v>1</v>
      </c>
      <c r="R17" s="22">
        <v>8</v>
      </c>
      <c r="S17" s="22">
        <v>15</v>
      </c>
      <c r="T17" s="22">
        <v>14</v>
      </c>
      <c r="U17" s="22">
        <v>25</v>
      </c>
      <c r="V17" s="38"/>
    </row>
    <row r="18" spans="2:22" x14ac:dyDescent="0.25">
      <c r="B18" s="35" t="s">
        <v>109</v>
      </c>
      <c r="C18" s="27" t="str">
        <f t="shared" si="0"/>
        <v>Cléofaz</v>
      </c>
      <c r="D18" s="27">
        <f t="shared" si="1"/>
        <v>525</v>
      </c>
      <c r="E18" s="27">
        <f t="shared" si="2"/>
        <v>6</v>
      </c>
      <c r="F18" s="27">
        <f t="shared" si="3"/>
        <v>9</v>
      </c>
      <c r="G18" s="27">
        <f t="shared" si="4"/>
        <v>19</v>
      </c>
      <c r="H18" s="27">
        <f t="shared" si="5"/>
        <v>10</v>
      </c>
      <c r="I18" s="28">
        <f t="shared" si="6"/>
        <v>17</v>
      </c>
      <c r="K18" s="36" t="s">
        <v>89</v>
      </c>
      <c r="L18" s="36">
        <f>Cléofaz!Q$11</f>
        <v>525</v>
      </c>
      <c r="M18" s="36"/>
      <c r="N18" s="36"/>
      <c r="O18" s="37" t="s">
        <v>82</v>
      </c>
      <c r="P18" s="33">
        <f>Joseir_1!Q$11</f>
        <v>435</v>
      </c>
      <c r="Q18" s="22">
        <v>4</v>
      </c>
      <c r="R18" s="22">
        <v>8</v>
      </c>
      <c r="S18" s="22">
        <v>13</v>
      </c>
      <c r="T18" s="22">
        <v>17</v>
      </c>
      <c r="U18" s="22">
        <v>21</v>
      </c>
      <c r="V18" s="38"/>
    </row>
    <row r="19" spans="2:22" x14ac:dyDescent="0.25">
      <c r="B19" s="35" t="s">
        <v>110</v>
      </c>
      <c r="C19" s="27" t="str">
        <f t="shared" si="0"/>
        <v>Juninho_1</v>
      </c>
      <c r="D19" s="27">
        <f t="shared" si="1"/>
        <v>520</v>
      </c>
      <c r="E19" s="27">
        <f t="shared" si="2"/>
        <v>6</v>
      </c>
      <c r="F19" s="27">
        <f t="shared" si="3"/>
        <v>8</v>
      </c>
      <c r="G19" s="27">
        <f t="shared" si="4"/>
        <v>17</v>
      </c>
      <c r="H19" s="27">
        <f t="shared" si="5"/>
        <v>16</v>
      </c>
      <c r="I19" s="28">
        <f t="shared" si="6"/>
        <v>16</v>
      </c>
      <c r="K19" s="36" t="s">
        <v>73</v>
      </c>
      <c r="L19" s="36">
        <f>Juninho_1!Q$11</f>
        <v>520</v>
      </c>
      <c r="M19" s="36"/>
      <c r="N19" s="36"/>
      <c r="O19" s="37" t="s">
        <v>83</v>
      </c>
      <c r="P19" s="33">
        <f>Joseir_2!Q$11</f>
        <v>545</v>
      </c>
      <c r="Q19" s="22">
        <v>7</v>
      </c>
      <c r="R19" s="22">
        <v>10</v>
      </c>
      <c r="S19" s="22">
        <v>12</v>
      </c>
      <c r="T19" s="22">
        <v>20</v>
      </c>
      <c r="U19" s="22">
        <v>14</v>
      </c>
      <c r="V19" s="38"/>
    </row>
    <row r="20" spans="2:22" x14ac:dyDescent="0.25">
      <c r="B20" s="35" t="s">
        <v>111</v>
      </c>
      <c r="C20" s="27" t="str">
        <f t="shared" si="0"/>
        <v>Roberto</v>
      </c>
      <c r="D20" s="27">
        <f t="shared" si="1"/>
        <v>520</v>
      </c>
      <c r="E20" s="27">
        <f t="shared" si="2"/>
        <v>4</v>
      </c>
      <c r="F20" s="27">
        <f t="shared" si="3"/>
        <v>13</v>
      </c>
      <c r="G20" s="27">
        <f t="shared" si="4"/>
        <v>13</v>
      </c>
      <c r="H20" s="27">
        <f t="shared" si="5"/>
        <v>19</v>
      </c>
      <c r="I20" s="28">
        <f t="shared" si="6"/>
        <v>14</v>
      </c>
      <c r="K20" s="36" t="s">
        <v>80</v>
      </c>
      <c r="L20" s="36">
        <f>Roberto!Q$11</f>
        <v>520</v>
      </c>
      <c r="M20" s="36"/>
      <c r="N20" s="36"/>
      <c r="O20" s="37" t="s">
        <v>84</v>
      </c>
      <c r="P20" s="33">
        <f>Ivani!Q$11</f>
        <v>475</v>
      </c>
      <c r="Q20" s="22">
        <v>6</v>
      </c>
      <c r="R20" s="22">
        <v>9</v>
      </c>
      <c r="S20" s="22">
        <v>13</v>
      </c>
      <c r="T20" s="22">
        <v>12</v>
      </c>
      <c r="U20" s="22">
        <v>24</v>
      </c>
      <c r="V20" s="38"/>
    </row>
    <row r="21" spans="2:22" x14ac:dyDescent="0.25">
      <c r="B21" s="35" t="s">
        <v>112</v>
      </c>
      <c r="C21" s="27" t="str">
        <f t="shared" si="0"/>
        <v>Alex</v>
      </c>
      <c r="D21" s="27">
        <f t="shared" si="1"/>
        <v>510</v>
      </c>
      <c r="E21" s="27">
        <f t="shared" si="2"/>
        <v>6</v>
      </c>
      <c r="F21" s="27">
        <f t="shared" si="3"/>
        <v>11</v>
      </c>
      <c r="G21" s="27">
        <f t="shared" si="4"/>
        <v>12</v>
      </c>
      <c r="H21" s="27">
        <f t="shared" si="5"/>
        <v>15</v>
      </c>
      <c r="I21" s="28">
        <f t="shared" si="6"/>
        <v>20</v>
      </c>
      <c r="K21" s="36" t="s">
        <v>77</v>
      </c>
      <c r="L21" s="36">
        <f>Alex!Q$11</f>
        <v>510</v>
      </c>
      <c r="M21" s="36"/>
      <c r="N21" s="36"/>
      <c r="O21" s="37" t="s">
        <v>85</v>
      </c>
      <c r="P21" s="33">
        <f>Josimar!Q$11</f>
        <v>415</v>
      </c>
      <c r="Q21" s="22">
        <v>3</v>
      </c>
      <c r="R21" s="22">
        <v>11</v>
      </c>
      <c r="S21" s="22">
        <v>10</v>
      </c>
      <c r="T21" s="22">
        <v>15</v>
      </c>
      <c r="U21" s="22">
        <v>24</v>
      </c>
      <c r="V21" s="38"/>
    </row>
    <row r="22" spans="2:22" x14ac:dyDescent="0.25">
      <c r="B22" s="35" t="s">
        <v>113</v>
      </c>
      <c r="C22" s="27" t="str">
        <f t="shared" si="0"/>
        <v>Ivani</v>
      </c>
      <c r="D22" s="27">
        <f t="shared" si="1"/>
        <v>475</v>
      </c>
      <c r="E22" s="27">
        <f t="shared" si="2"/>
        <v>6</v>
      </c>
      <c r="F22" s="27">
        <f t="shared" si="3"/>
        <v>9</v>
      </c>
      <c r="G22" s="27">
        <f t="shared" si="4"/>
        <v>13</v>
      </c>
      <c r="H22" s="27">
        <f t="shared" si="5"/>
        <v>12</v>
      </c>
      <c r="I22" s="28">
        <f t="shared" si="6"/>
        <v>24</v>
      </c>
      <c r="K22" s="36" t="s">
        <v>84</v>
      </c>
      <c r="L22" s="36">
        <f>Ivani!Q$11</f>
        <v>475</v>
      </c>
      <c r="M22" s="36"/>
      <c r="N22" s="36"/>
      <c r="O22" s="37" t="s">
        <v>86</v>
      </c>
      <c r="P22" s="33">
        <f>Julio!Q$11</f>
        <v>585</v>
      </c>
      <c r="Q22" s="22">
        <v>4</v>
      </c>
      <c r="R22" s="22">
        <v>13</v>
      </c>
      <c r="S22" s="22">
        <v>19</v>
      </c>
      <c r="T22" s="22">
        <v>10</v>
      </c>
      <c r="U22" s="22">
        <v>17</v>
      </c>
      <c r="V22" s="38"/>
    </row>
    <row r="23" spans="2:22" x14ac:dyDescent="0.25">
      <c r="B23" s="35" t="s">
        <v>114</v>
      </c>
      <c r="C23" s="27" t="str">
        <f t="shared" si="0"/>
        <v>Andréia</v>
      </c>
      <c r="D23" s="27">
        <f t="shared" si="1"/>
        <v>465</v>
      </c>
      <c r="E23" s="27">
        <f t="shared" si="2"/>
        <v>1</v>
      </c>
      <c r="F23" s="27">
        <f t="shared" si="3"/>
        <v>8</v>
      </c>
      <c r="G23" s="27">
        <f t="shared" si="4"/>
        <v>15</v>
      </c>
      <c r="H23" s="27">
        <f t="shared" si="5"/>
        <v>14</v>
      </c>
      <c r="I23" s="28">
        <f t="shared" si="6"/>
        <v>25</v>
      </c>
      <c r="K23" s="36" t="s">
        <v>81</v>
      </c>
      <c r="L23" s="36">
        <f>Andréia!Q$11</f>
        <v>465</v>
      </c>
      <c r="M23" s="36"/>
      <c r="N23" s="36"/>
      <c r="O23" s="37" t="s">
        <v>87</v>
      </c>
      <c r="P23" s="33">
        <f>Talita!Q$11</f>
        <v>570</v>
      </c>
      <c r="Q23" s="22">
        <v>6</v>
      </c>
      <c r="R23" s="22">
        <v>10</v>
      </c>
      <c r="S23" s="22">
        <v>13</v>
      </c>
      <c r="T23" s="22">
        <v>18</v>
      </c>
      <c r="U23" s="22">
        <v>16</v>
      </c>
      <c r="V23" s="38"/>
    </row>
    <row r="24" spans="2:22" x14ac:dyDescent="0.25">
      <c r="B24" s="35" t="s">
        <v>115</v>
      </c>
      <c r="C24" s="27" t="str">
        <f t="shared" si="0"/>
        <v>Joseir_1</v>
      </c>
      <c r="D24" s="27">
        <f t="shared" si="1"/>
        <v>435</v>
      </c>
      <c r="E24" s="27">
        <f t="shared" si="2"/>
        <v>4</v>
      </c>
      <c r="F24" s="27">
        <f t="shared" si="3"/>
        <v>8</v>
      </c>
      <c r="G24" s="27">
        <f t="shared" si="4"/>
        <v>13</v>
      </c>
      <c r="H24" s="27">
        <f t="shared" si="5"/>
        <v>17</v>
      </c>
      <c r="I24" s="28">
        <f t="shared" si="6"/>
        <v>21</v>
      </c>
      <c r="K24" s="36" t="s">
        <v>82</v>
      </c>
      <c r="L24" s="36">
        <f>Joseir_1!Q$11</f>
        <v>435</v>
      </c>
      <c r="M24" s="36"/>
      <c r="N24" s="36"/>
      <c r="O24" s="37" t="s">
        <v>88</v>
      </c>
      <c r="P24" s="33">
        <f>Anderson!Q$11</f>
        <v>570</v>
      </c>
      <c r="Q24" s="22">
        <v>5</v>
      </c>
      <c r="R24" s="22">
        <v>13</v>
      </c>
      <c r="S24" s="22">
        <v>13</v>
      </c>
      <c r="T24" s="22">
        <v>14</v>
      </c>
      <c r="U24" s="22">
        <v>18</v>
      </c>
      <c r="V24" s="38"/>
    </row>
    <row r="25" spans="2:22" ht="15.75" thickBot="1" x14ac:dyDescent="0.3">
      <c r="B25" s="39" t="s">
        <v>116</v>
      </c>
      <c r="C25" s="29" t="str">
        <f t="shared" si="0"/>
        <v>Josimar</v>
      </c>
      <c r="D25" s="29">
        <f t="shared" si="1"/>
        <v>415</v>
      </c>
      <c r="E25" s="29">
        <f t="shared" si="2"/>
        <v>3</v>
      </c>
      <c r="F25" s="29">
        <f t="shared" si="3"/>
        <v>11</v>
      </c>
      <c r="G25" s="29">
        <f t="shared" si="4"/>
        <v>10</v>
      </c>
      <c r="H25" s="29">
        <f t="shared" si="5"/>
        <v>15</v>
      </c>
      <c r="I25" s="30">
        <f t="shared" si="6"/>
        <v>24</v>
      </c>
      <c r="K25" s="36" t="s">
        <v>85</v>
      </c>
      <c r="L25" s="36">
        <f>Josimar!Q$11</f>
        <v>415</v>
      </c>
      <c r="M25" s="36"/>
      <c r="N25" s="36"/>
      <c r="O25" s="37" t="s">
        <v>89</v>
      </c>
      <c r="P25" s="33">
        <f>Cléofaz!Q$11</f>
        <v>525</v>
      </c>
      <c r="Q25" s="22">
        <v>6</v>
      </c>
      <c r="R25" s="22">
        <v>9</v>
      </c>
      <c r="S25" s="22">
        <v>19</v>
      </c>
      <c r="T25" s="22">
        <v>10</v>
      </c>
      <c r="U25" s="22">
        <v>17</v>
      </c>
      <c r="V25" s="38"/>
    </row>
    <row r="26" spans="2:22" ht="15.75" thickTop="1" x14ac:dyDescent="0.25">
      <c r="N26" s="36"/>
      <c r="P26" s="34"/>
    </row>
    <row r="28" spans="2:22" ht="15.75" x14ac:dyDescent="0.25">
      <c r="B28" s="77"/>
      <c r="C28" s="68" t="s">
        <v>5</v>
      </c>
      <c r="D28" s="113">
        <v>1</v>
      </c>
      <c r="E28" s="113" t="s">
        <v>53</v>
      </c>
      <c r="F28" s="113">
        <v>0</v>
      </c>
      <c r="G28" s="66" t="s">
        <v>17</v>
      </c>
      <c r="H28" s="78"/>
      <c r="I28" s="79"/>
    </row>
    <row r="29" spans="2:22" x14ac:dyDescent="0.25">
      <c r="B29" s="82" t="s">
        <v>33</v>
      </c>
      <c r="C29" s="80"/>
      <c r="D29" s="80"/>
      <c r="E29" s="81"/>
      <c r="F29" s="81"/>
      <c r="G29" s="81"/>
      <c r="H29" s="81"/>
      <c r="I29" s="81"/>
    </row>
    <row r="30" spans="2:22" x14ac:dyDescent="0.25">
      <c r="B30" s="82" t="s">
        <v>33</v>
      </c>
      <c r="C30" s="80"/>
      <c r="D30" s="80"/>
      <c r="E30" s="81"/>
      <c r="F30" s="81"/>
      <c r="G30" s="81"/>
      <c r="H30" s="81"/>
      <c r="I30" s="81"/>
    </row>
    <row r="31" spans="2:22" ht="15.75" x14ac:dyDescent="0.25">
      <c r="B31" s="80"/>
      <c r="C31" s="80"/>
      <c r="D31" s="80"/>
      <c r="E31" s="77"/>
      <c r="F31" s="78"/>
      <c r="G31" s="83" t="s">
        <v>181</v>
      </c>
      <c r="H31" s="78"/>
      <c r="I31" s="79"/>
    </row>
    <row r="32" spans="2:22" ht="15.75" x14ac:dyDescent="0.25">
      <c r="B32" s="80"/>
      <c r="C32" s="80"/>
      <c r="D32" s="80"/>
      <c r="E32" s="77"/>
      <c r="F32" s="78"/>
      <c r="G32" s="78"/>
      <c r="H32" s="78"/>
      <c r="I32" s="79"/>
    </row>
    <row r="33" spans="2:9" ht="15.75" x14ac:dyDescent="0.25">
      <c r="B33" s="80"/>
      <c r="C33" s="80"/>
      <c r="D33" s="80"/>
      <c r="E33" s="77"/>
      <c r="F33" s="78"/>
      <c r="G33" s="78"/>
      <c r="H33" s="78"/>
      <c r="I33" s="79"/>
    </row>
    <row r="34" spans="2:9" ht="15.75" x14ac:dyDescent="0.25">
      <c r="B34" s="80"/>
      <c r="C34" s="80"/>
      <c r="D34" s="80"/>
      <c r="E34" s="77"/>
      <c r="F34" s="78"/>
      <c r="G34" s="78"/>
      <c r="H34" s="78"/>
      <c r="I34" s="79"/>
    </row>
    <row r="35" spans="2:9" ht="15.75" x14ac:dyDescent="0.25">
      <c r="B35" s="80"/>
      <c r="C35" s="80"/>
      <c r="D35" s="80"/>
      <c r="E35" s="77"/>
      <c r="F35" s="78"/>
      <c r="G35" s="78"/>
      <c r="H35" s="78"/>
      <c r="I35" s="79"/>
    </row>
    <row r="36" spans="2:9" ht="15.75" x14ac:dyDescent="0.25">
      <c r="B36" s="80"/>
      <c r="C36" s="80"/>
      <c r="D36" s="80"/>
      <c r="E36" s="77"/>
      <c r="F36" s="78"/>
      <c r="G36" s="78"/>
      <c r="H36" s="78"/>
      <c r="I36" s="79"/>
    </row>
    <row r="37" spans="2:9" ht="15.75" x14ac:dyDescent="0.25">
      <c r="B37" s="80"/>
      <c r="C37" s="80"/>
      <c r="D37" s="80"/>
      <c r="E37" s="77"/>
      <c r="F37" s="78"/>
      <c r="G37" s="78"/>
      <c r="H37" s="78"/>
      <c r="I37" s="79"/>
    </row>
    <row r="38" spans="2:9" ht="15.75" x14ac:dyDescent="0.25">
      <c r="B38" s="80"/>
      <c r="C38" s="80"/>
      <c r="D38" s="80"/>
      <c r="E38" s="77"/>
      <c r="F38" s="78"/>
      <c r="G38" s="78"/>
      <c r="H38" s="78"/>
      <c r="I38" s="79"/>
    </row>
    <row r="39" spans="2:9" ht="15.75" x14ac:dyDescent="0.25">
      <c r="B39" s="80"/>
      <c r="C39" s="80"/>
      <c r="D39" s="80"/>
      <c r="E39" s="77"/>
      <c r="F39" s="78"/>
      <c r="G39" s="78"/>
      <c r="H39" s="78"/>
      <c r="I39" s="79"/>
    </row>
    <row r="40" spans="2:9" ht="15.75" x14ac:dyDescent="0.25">
      <c r="B40" s="80"/>
      <c r="C40" s="80"/>
      <c r="D40" s="80"/>
      <c r="E40" s="77"/>
      <c r="F40" s="78"/>
      <c r="G40" s="78"/>
      <c r="H40" s="78"/>
      <c r="I40" s="79"/>
    </row>
    <row r="41" spans="2:9" ht="15.75" x14ac:dyDescent="0.25">
      <c r="B41" s="80"/>
      <c r="C41" s="80"/>
      <c r="D41" s="80"/>
      <c r="E41" s="77"/>
      <c r="F41" s="78"/>
      <c r="G41" s="78"/>
      <c r="H41" s="78"/>
      <c r="I41" s="79"/>
    </row>
    <row r="42" spans="2:9" ht="15.75" x14ac:dyDescent="0.25">
      <c r="B42" s="80"/>
      <c r="C42" s="80"/>
      <c r="D42" s="80"/>
      <c r="E42" s="77"/>
      <c r="F42" s="78"/>
      <c r="G42" s="78"/>
      <c r="H42" s="78"/>
      <c r="I42" s="79"/>
    </row>
    <row r="43" spans="2:9" ht="15.75" x14ac:dyDescent="0.25">
      <c r="B43" s="80"/>
      <c r="C43" s="80"/>
      <c r="D43" s="80"/>
      <c r="E43" s="77"/>
      <c r="F43" s="78"/>
      <c r="G43" s="78"/>
      <c r="H43" s="78"/>
      <c r="I43" s="79"/>
    </row>
    <row r="44" spans="2:9" ht="15.75" x14ac:dyDescent="0.25">
      <c r="B44" s="80"/>
      <c r="C44" s="80"/>
      <c r="D44" s="80"/>
      <c r="E44" s="77"/>
      <c r="F44" s="78"/>
      <c r="G44" s="78"/>
      <c r="H44" s="78"/>
      <c r="I44" s="79"/>
    </row>
    <row r="45" spans="2:9" ht="15.75" x14ac:dyDescent="0.25">
      <c r="B45" s="80"/>
      <c r="C45" s="80"/>
      <c r="D45" s="80"/>
      <c r="E45" s="77"/>
      <c r="F45" s="78"/>
      <c r="G45" s="78"/>
      <c r="H45" s="78"/>
      <c r="I45" s="79"/>
    </row>
    <row r="46" spans="2:9" ht="15.75" x14ac:dyDescent="0.25">
      <c r="B46" s="80"/>
      <c r="C46" s="80"/>
      <c r="D46" s="80"/>
      <c r="E46" s="77"/>
      <c r="F46" s="78"/>
      <c r="G46" s="78"/>
      <c r="H46" s="78"/>
      <c r="I46" s="79"/>
    </row>
    <row r="47" spans="2:9" ht="15.75" x14ac:dyDescent="0.25">
      <c r="B47" s="80"/>
      <c r="C47" s="80"/>
      <c r="D47" s="80"/>
      <c r="E47" s="77"/>
      <c r="F47" s="78"/>
      <c r="G47" s="78"/>
      <c r="H47" s="78"/>
      <c r="I47" s="79"/>
    </row>
    <row r="48" spans="2:9" ht="15.75" x14ac:dyDescent="0.25">
      <c r="B48" s="80"/>
      <c r="C48" s="80"/>
      <c r="D48" s="80"/>
      <c r="E48" s="77"/>
      <c r="F48" s="78"/>
      <c r="G48" s="78"/>
      <c r="H48" s="78"/>
      <c r="I48" s="79"/>
    </row>
    <row r="49" spans="2:9" ht="15.75" x14ac:dyDescent="0.25">
      <c r="B49" s="80"/>
      <c r="C49" s="80"/>
      <c r="D49" s="80"/>
      <c r="E49" s="77"/>
      <c r="F49" s="78"/>
      <c r="G49" s="78"/>
      <c r="H49" s="78"/>
      <c r="I49" s="79"/>
    </row>
    <row r="50" spans="2:9" ht="15.75" x14ac:dyDescent="0.25">
      <c r="B50" s="80"/>
      <c r="C50" s="80"/>
      <c r="D50" s="80"/>
      <c r="E50" s="77"/>
      <c r="F50" s="78"/>
      <c r="G50" s="78"/>
      <c r="H50" s="78"/>
      <c r="I50" s="79"/>
    </row>
    <row r="51" spans="2:9" ht="15.75" x14ac:dyDescent="0.25">
      <c r="B51" s="80"/>
      <c r="C51" s="80"/>
      <c r="D51" s="80"/>
      <c r="E51" s="77"/>
      <c r="F51" s="78"/>
      <c r="G51" s="78"/>
      <c r="H51" s="78"/>
      <c r="I51" s="79"/>
    </row>
    <row r="52" spans="2:9" ht="15.75" x14ac:dyDescent="0.25">
      <c r="B52" s="80"/>
      <c r="C52" s="80"/>
      <c r="D52" s="80"/>
      <c r="E52" s="77"/>
      <c r="F52" s="78"/>
      <c r="G52" s="78"/>
      <c r="H52" s="78"/>
      <c r="I52" s="79"/>
    </row>
    <row r="53" spans="2:9" ht="15.75" x14ac:dyDescent="0.25">
      <c r="B53" s="80"/>
      <c r="C53" s="80"/>
      <c r="D53" s="80"/>
      <c r="E53" s="77"/>
      <c r="F53" s="78"/>
      <c r="G53" s="78"/>
      <c r="H53" s="78"/>
      <c r="I53" s="79"/>
    </row>
    <row r="54" spans="2:9" ht="15.75" x14ac:dyDescent="0.25">
      <c r="B54" s="80"/>
      <c r="C54" s="80"/>
      <c r="D54" s="80"/>
      <c r="E54" s="77"/>
      <c r="F54" s="78"/>
      <c r="G54" s="78"/>
      <c r="H54" s="78"/>
      <c r="I54" s="79"/>
    </row>
    <row r="55" spans="2:9" ht="15.75" x14ac:dyDescent="0.25">
      <c r="B55" s="80"/>
      <c r="C55" s="80"/>
      <c r="D55" s="80"/>
      <c r="E55" s="77"/>
      <c r="F55" s="78"/>
      <c r="G55" s="78"/>
      <c r="H55" s="78"/>
      <c r="I55" s="79"/>
    </row>
    <row r="56" spans="2:9" ht="15.75" x14ac:dyDescent="0.25">
      <c r="B56" s="80"/>
      <c r="C56" s="80"/>
      <c r="D56" s="80"/>
      <c r="E56" s="77"/>
      <c r="F56" s="78"/>
      <c r="G56" s="78"/>
      <c r="H56" s="78"/>
      <c r="I56" s="79"/>
    </row>
    <row r="57" spans="2:9" ht="15.75" x14ac:dyDescent="0.25">
      <c r="B57" s="80"/>
      <c r="C57" s="80"/>
      <c r="D57" s="80"/>
      <c r="E57" s="77"/>
      <c r="F57" s="78"/>
      <c r="G57" s="78"/>
      <c r="H57" s="78"/>
      <c r="I57" s="79"/>
    </row>
    <row r="58" spans="2:9" ht="15.75" x14ac:dyDescent="0.25">
      <c r="B58" s="80"/>
      <c r="C58" s="80"/>
      <c r="D58" s="80"/>
      <c r="E58" s="77"/>
      <c r="F58" s="78"/>
      <c r="G58" s="78"/>
      <c r="H58" s="78"/>
      <c r="I58" s="79"/>
    </row>
    <row r="59" spans="2:9" ht="15.75" x14ac:dyDescent="0.25">
      <c r="B59" s="80"/>
      <c r="C59" s="80"/>
      <c r="D59" s="80"/>
      <c r="E59" s="77"/>
      <c r="F59" s="78"/>
      <c r="G59" s="78"/>
      <c r="H59" s="78"/>
      <c r="I59" s="79"/>
    </row>
    <row r="60" spans="2:9" ht="15.75" x14ac:dyDescent="0.25">
      <c r="B60" s="80"/>
      <c r="C60" s="80"/>
      <c r="D60" s="80"/>
      <c r="E60" s="77"/>
      <c r="F60" s="78"/>
      <c r="G60" s="78"/>
      <c r="H60" s="78"/>
      <c r="I60" s="79"/>
    </row>
    <row r="61" spans="2:9" ht="15.75" x14ac:dyDescent="0.25">
      <c r="B61" s="80"/>
      <c r="C61" s="80"/>
      <c r="D61" s="80"/>
      <c r="E61" s="77"/>
      <c r="F61" s="78"/>
      <c r="G61" s="78"/>
      <c r="H61" s="78"/>
      <c r="I61" s="79"/>
    </row>
    <row r="66" spans="2:10" x14ac:dyDescent="0.25">
      <c r="B66" s="127"/>
      <c r="C66" s="127"/>
      <c r="D66" s="127"/>
      <c r="E66" s="50"/>
      <c r="F66" s="50"/>
      <c r="G66" s="50"/>
      <c r="H66" s="127"/>
      <c r="I66" s="127"/>
      <c r="J66" s="127"/>
    </row>
    <row r="72" spans="2:10" x14ac:dyDescent="0.25">
      <c r="B72" s="127"/>
      <c r="C72" s="127"/>
      <c r="D72" s="127"/>
      <c r="E72" s="50"/>
      <c r="F72" s="50"/>
      <c r="G72" s="50"/>
      <c r="H72" s="127"/>
      <c r="I72" s="127"/>
      <c r="J72" s="127"/>
    </row>
    <row r="78" spans="2:10" x14ac:dyDescent="0.25">
      <c r="B78" s="127"/>
      <c r="C78" s="127"/>
      <c r="D78" s="127"/>
      <c r="E78" s="50"/>
      <c r="F78" s="50"/>
      <c r="G78" s="50"/>
      <c r="H78" s="127"/>
      <c r="I78" s="127"/>
      <c r="J78" s="127"/>
    </row>
    <row r="84" spans="2:10" x14ac:dyDescent="0.25">
      <c r="B84" s="127"/>
      <c r="C84" s="127"/>
      <c r="D84" s="127"/>
      <c r="E84" s="50"/>
      <c r="F84" s="50"/>
      <c r="G84" s="50"/>
      <c r="H84" s="127"/>
      <c r="I84" s="127"/>
      <c r="J84" s="127"/>
    </row>
    <row r="85" spans="2:10" x14ac:dyDescent="0.25">
      <c r="B85" s="127"/>
      <c r="C85" s="127"/>
      <c r="D85" s="127"/>
      <c r="E85" s="50"/>
      <c r="F85" s="50"/>
      <c r="G85" s="50"/>
      <c r="H85" s="127"/>
      <c r="I85" s="127"/>
      <c r="J85" s="127"/>
    </row>
    <row r="90" spans="2:10" x14ac:dyDescent="0.25">
      <c r="B90" s="127"/>
      <c r="C90" s="127"/>
      <c r="D90" s="127"/>
      <c r="E90" s="50"/>
      <c r="F90" s="50"/>
      <c r="G90" s="50"/>
      <c r="H90" s="127"/>
      <c r="I90" s="127"/>
      <c r="J90" s="127"/>
    </row>
    <row r="91" spans="2:10" x14ac:dyDescent="0.25">
      <c r="B91" s="127"/>
      <c r="C91" s="127"/>
      <c r="D91" s="127"/>
      <c r="E91" s="50"/>
      <c r="F91" s="50"/>
      <c r="G91" s="50"/>
      <c r="H91" s="127"/>
      <c r="I91" s="127"/>
      <c r="J91" s="127"/>
    </row>
    <row r="96" spans="2:10" x14ac:dyDescent="0.25">
      <c r="B96" s="127"/>
      <c r="C96" s="127"/>
      <c r="D96" s="127"/>
      <c r="E96" s="50"/>
      <c r="F96" s="50"/>
      <c r="G96" s="50"/>
      <c r="H96" s="127"/>
      <c r="I96" s="127"/>
      <c r="J96" s="127"/>
    </row>
    <row r="102" spans="2:10" x14ac:dyDescent="0.25">
      <c r="B102" s="127"/>
      <c r="C102" s="127"/>
      <c r="D102" s="127"/>
      <c r="E102" s="50"/>
      <c r="F102" s="50"/>
      <c r="G102" s="50"/>
      <c r="H102" s="127"/>
      <c r="I102" s="127"/>
      <c r="J102" s="127"/>
    </row>
    <row r="108" spans="2:10" x14ac:dyDescent="0.25">
      <c r="B108" s="127"/>
      <c r="C108" s="127"/>
      <c r="D108" s="127"/>
      <c r="E108" s="50"/>
      <c r="F108" s="50"/>
      <c r="G108" s="50"/>
      <c r="H108" s="127"/>
      <c r="I108" s="127"/>
      <c r="J108" s="127"/>
    </row>
    <row r="109" spans="2:10" x14ac:dyDescent="0.25">
      <c r="B109" s="127"/>
      <c r="C109" s="127"/>
      <c r="D109" s="127"/>
      <c r="E109" s="50"/>
      <c r="F109" s="50"/>
      <c r="G109" s="50"/>
      <c r="H109" s="127"/>
      <c r="I109" s="127"/>
      <c r="J109" s="127"/>
    </row>
    <row r="114" spans="2:10" x14ac:dyDescent="0.25">
      <c r="B114" s="127"/>
      <c r="C114" s="127"/>
      <c r="D114" s="127"/>
      <c r="E114" s="50"/>
      <c r="F114" s="50"/>
      <c r="G114" s="50"/>
      <c r="H114" s="127"/>
      <c r="I114" s="127"/>
      <c r="J114" s="127"/>
    </row>
    <row r="115" spans="2:10" x14ac:dyDescent="0.25">
      <c r="B115" s="127"/>
      <c r="C115" s="127"/>
      <c r="D115" s="127"/>
      <c r="E115" s="50"/>
      <c r="F115" s="50"/>
      <c r="G115" s="50"/>
      <c r="H115" s="127"/>
      <c r="I115" s="127"/>
      <c r="J115" s="127"/>
    </row>
    <row r="116" spans="2:10" x14ac:dyDescent="0.25">
      <c r="B116" s="127"/>
      <c r="C116" s="127"/>
      <c r="D116" s="127"/>
      <c r="E116" s="50"/>
      <c r="F116" s="50"/>
      <c r="G116" s="50"/>
      <c r="H116" s="127"/>
      <c r="I116" s="127"/>
      <c r="J116" s="127"/>
    </row>
    <row r="120" spans="2:10" x14ac:dyDescent="0.25">
      <c r="B120" s="127"/>
      <c r="C120" s="127"/>
      <c r="D120" s="127"/>
      <c r="E120" s="50"/>
      <c r="F120" s="50"/>
      <c r="G120" s="50"/>
      <c r="H120" s="127"/>
      <c r="I120" s="127"/>
      <c r="J120" s="127"/>
    </row>
    <row r="121" spans="2:10" x14ac:dyDescent="0.25">
      <c r="B121" s="127"/>
      <c r="C121" s="127"/>
      <c r="D121" s="127"/>
      <c r="E121" s="50"/>
      <c r="F121" s="50"/>
      <c r="G121" s="50"/>
      <c r="H121" s="127"/>
      <c r="I121" s="127"/>
      <c r="J121" s="127"/>
    </row>
    <row r="126" spans="2:10" x14ac:dyDescent="0.25">
      <c r="B126" s="127"/>
      <c r="C126" s="127"/>
      <c r="D126" s="127"/>
      <c r="E126" s="50"/>
      <c r="F126" s="50"/>
      <c r="G126" s="50"/>
      <c r="H126" s="127"/>
      <c r="I126" s="127"/>
      <c r="J126" s="127"/>
    </row>
    <row r="132" spans="2:10" x14ac:dyDescent="0.25">
      <c r="B132" s="127"/>
      <c r="C132" s="127"/>
      <c r="D132" s="127"/>
      <c r="E132" s="50"/>
      <c r="F132" s="50"/>
      <c r="G132" s="50"/>
      <c r="H132" s="127"/>
      <c r="I132" s="127"/>
      <c r="J132" s="127"/>
    </row>
    <row r="133" spans="2:10" x14ac:dyDescent="0.25">
      <c r="B133" s="127"/>
      <c r="C133" s="127"/>
      <c r="D133" s="127"/>
      <c r="E133" s="50"/>
      <c r="F133" s="50"/>
      <c r="G133" s="50"/>
      <c r="H133" s="127"/>
      <c r="I133" s="127"/>
      <c r="J133" s="127"/>
    </row>
    <row r="134" spans="2:10" x14ac:dyDescent="0.25">
      <c r="B134" s="127"/>
      <c r="C134" s="127"/>
      <c r="D134" s="127"/>
      <c r="E134" s="50"/>
      <c r="F134" s="50"/>
      <c r="G134" s="50"/>
      <c r="H134" s="127"/>
      <c r="I134" s="127"/>
      <c r="J134" s="127"/>
    </row>
    <row r="138" spans="2:10" x14ac:dyDescent="0.25">
      <c r="B138" s="127"/>
      <c r="C138" s="127"/>
      <c r="D138" s="127"/>
      <c r="E138" s="50"/>
      <c r="F138" s="50"/>
      <c r="G138" s="50"/>
      <c r="H138" s="127"/>
      <c r="I138" s="127"/>
      <c r="J138" s="127"/>
    </row>
    <row r="139" spans="2:10" x14ac:dyDescent="0.25">
      <c r="B139" s="127"/>
      <c r="C139" s="127"/>
      <c r="D139" s="127"/>
      <c r="E139" s="50"/>
      <c r="F139" s="50"/>
      <c r="G139" s="50"/>
      <c r="H139" s="127"/>
      <c r="I139" s="127"/>
      <c r="J139" s="127"/>
    </row>
    <row r="144" spans="2:10" x14ac:dyDescent="0.25">
      <c r="B144" s="127"/>
      <c r="C144" s="127"/>
      <c r="D144" s="127"/>
      <c r="E144" s="50"/>
      <c r="F144" s="50"/>
      <c r="G144" s="50"/>
      <c r="H144" s="127"/>
      <c r="I144" s="127"/>
      <c r="J144" s="127"/>
    </row>
    <row r="150" spans="2:10" x14ac:dyDescent="0.25">
      <c r="B150" s="127"/>
      <c r="C150" s="127"/>
      <c r="D150" s="127"/>
      <c r="E150" s="50"/>
      <c r="F150" s="50"/>
      <c r="G150" s="50"/>
      <c r="H150" s="127"/>
      <c r="I150" s="127"/>
      <c r="J150" s="127"/>
    </row>
    <row r="151" spans="2:10" x14ac:dyDescent="0.25">
      <c r="B151" s="127"/>
      <c r="C151" s="127"/>
      <c r="D151" s="127"/>
      <c r="E151" s="50"/>
      <c r="F151" s="50"/>
      <c r="G151" s="50"/>
      <c r="H151" s="127"/>
      <c r="I151" s="127"/>
      <c r="J151" s="127"/>
    </row>
    <row r="152" spans="2:10" x14ac:dyDescent="0.25">
      <c r="B152" s="127"/>
      <c r="C152" s="127"/>
      <c r="D152" s="127"/>
      <c r="E152" s="50"/>
      <c r="F152" s="50"/>
      <c r="G152" s="50"/>
      <c r="H152" s="127"/>
      <c r="I152" s="127"/>
      <c r="J152" s="127"/>
    </row>
    <row r="153" spans="2:10" x14ac:dyDescent="0.25">
      <c r="B153" s="127"/>
      <c r="C153" s="127"/>
      <c r="D153" s="127"/>
      <c r="E153" s="50"/>
      <c r="F153" s="50"/>
      <c r="G153" s="50"/>
      <c r="H153" s="127"/>
      <c r="I153" s="127"/>
      <c r="J153" s="127"/>
    </row>
    <row r="156" spans="2:10" x14ac:dyDescent="0.25">
      <c r="B156" s="127"/>
      <c r="C156" s="127"/>
      <c r="D156" s="127"/>
      <c r="E156" s="50"/>
      <c r="F156" s="50"/>
      <c r="G156" s="50"/>
      <c r="H156" s="127"/>
      <c r="I156" s="127"/>
      <c r="J156" s="127"/>
    </row>
    <row r="162" spans="2:10" x14ac:dyDescent="0.25">
      <c r="B162" s="127"/>
      <c r="C162" s="127"/>
      <c r="D162" s="127"/>
      <c r="E162" s="50"/>
      <c r="F162" s="50"/>
      <c r="G162" s="50"/>
      <c r="H162" s="127"/>
      <c r="I162" s="127"/>
      <c r="J162" s="127"/>
    </row>
    <row r="163" spans="2:10" x14ac:dyDescent="0.25">
      <c r="B163" s="127"/>
      <c r="C163" s="127"/>
      <c r="D163" s="127"/>
      <c r="E163" s="50"/>
      <c r="F163" s="50"/>
      <c r="G163" s="50"/>
      <c r="H163" s="127"/>
      <c r="I163" s="127"/>
      <c r="J163" s="127"/>
    </row>
    <row r="166" spans="2:10" x14ac:dyDescent="0.25">
      <c r="B166" s="127"/>
      <c r="C166" s="127"/>
      <c r="D166" s="127"/>
      <c r="E166" s="50"/>
      <c r="F166" s="50"/>
      <c r="G166" s="50"/>
      <c r="H166" s="127"/>
      <c r="I166" s="127"/>
      <c r="J166" s="127"/>
    </row>
    <row r="172" spans="2:10" x14ac:dyDescent="0.25">
      <c r="B172" s="127"/>
      <c r="C172" s="127"/>
      <c r="D172" s="127"/>
      <c r="E172" s="50"/>
      <c r="F172" s="50"/>
      <c r="G172" s="50"/>
      <c r="H172" s="127"/>
      <c r="I172" s="127"/>
      <c r="J172" s="127"/>
    </row>
    <row r="178" spans="2:10" x14ac:dyDescent="0.25">
      <c r="B178" s="127"/>
      <c r="C178" s="127"/>
      <c r="D178" s="127"/>
      <c r="E178" s="50"/>
      <c r="F178" s="50"/>
      <c r="G178" s="50"/>
      <c r="H178" s="127"/>
      <c r="I178" s="127"/>
      <c r="J178" s="127"/>
    </row>
    <row r="184" spans="2:10" x14ac:dyDescent="0.25">
      <c r="B184" s="127"/>
      <c r="C184" s="127"/>
      <c r="D184" s="127"/>
      <c r="E184" s="50"/>
      <c r="F184" s="50"/>
      <c r="G184" s="50"/>
      <c r="H184" s="127"/>
      <c r="I184" s="127"/>
      <c r="J184" s="127"/>
    </row>
    <row r="190" spans="2:10" x14ac:dyDescent="0.25">
      <c r="B190" s="127"/>
      <c r="C190" s="127"/>
      <c r="D190" s="127"/>
      <c r="E190" s="50"/>
      <c r="F190" s="50"/>
      <c r="G190" s="50"/>
      <c r="H190" s="127"/>
      <c r="I190" s="127"/>
      <c r="J190" s="127"/>
    </row>
    <row r="191" spans="2:10" x14ac:dyDescent="0.25">
      <c r="B191" s="127"/>
      <c r="C191" s="127"/>
      <c r="D191" s="127"/>
      <c r="E191" s="50"/>
      <c r="F191" s="50"/>
      <c r="G191" s="50"/>
      <c r="H191" s="127"/>
      <c r="I191" s="127"/>
      <c r="J191" s="127"/>
    </row>
    <row r="196" spans="2:10" x14ac:dyDescent="0.25">
      <c r="B196" s="127"/>
      <c r="C196" s="127"/>
      <c r="D196" s="127"/>
      <c r="E196" s="50"/>
      <c r="F196" s="50"/>
      <c r="G196" s="50"/>
      <c r="H196" s="127"/>
      <c r="I196" s="127"/>
      <c r="J196" s="127"/>
    </row>
    <row r="197" spans="2:10" x14ac:dyDescent="0.25">
      <c r="B197" s="127"/>
      <c r="C197" s="127"/>
      <c r="D197" s="127"/>
      <c r="E197" s="50"/>
      <c r="F197" s="50"/>
      <c r="G197" s="50"/>
      <c r="H197" s="127"/>
      <c r="I197" s="127"/>
      <c r="J197" s="127"/>
    </row>
    <row r="202" spans="2:10" x14ac:dyDescent="0.25">
      <c r="B202" s="127"/>
      <c r="C202" s="127"/>
      <c r="D202" s="127"/>
      <c r="E202" s="50"/>
      <c r="F202" s="50"/>
      <c r="G202" s="50"/>
      <c r="H202" s="127"/>
      <c r="I202" s="127"/>
      <c r="J202" s="127"/>
    </row>
    <row r="208" spans="2:10" x14ac:dyDescent="0.25">
      <c r="B208" s="127"/>
      <c r="C208" s="127"/>
      <c r="D208" s="127"/>
      <c r="E208" s="50"/>
      <c r="F208" s="50"/>
      <c r="G208" s="50"/>
      <c r="H208" s="127"/>
      <c r="I208" s="127"/>
      <c r="J208" s="127"/>
    </row>
    <row r="214" spans="2:10" x14ac:dyDescent="0.25">
      <c r="B214" s="127"/>
      <c r="C214" s="127"/>
      <c r="D214" s="127"/>
      <c r="E214" s="50"/>
      <c r="F214" s="50"/>
      <c r="G214" s="50"/>
      <c r="H214" s="127"/>
      <c r="I214" s="127"/>
      <c r="J214" s="127"/>
    </row>
    <row r="215" spans="2:10" x14ac:dyDescent="0.25">
      <c r="B215" s="127"/>
      <c r="C215" s="127"/>
      <c r="D215" s="127"/>
      <c r="E215" s="50"/>
      <c r="F215" s="50"/>
      <c r="G215" s="50"/>
      <c r="H215" s="127"/>
      <c r="I215" s="127"/>
      <c r="J215" s="127"/>
    </row>
    <row r="220" spans="2:10" x14ac:dyDescent="0.25">
      <c r="B220" s="127"/>
      <c r="C220" s="127"/>
      <c r="D220" s="127"/>
      <c r="E220" s="50"/>
      <c r="F220" s="50"/>
      <c r="G220" s="50"/>
      <c r="H220" s="127"/>
      <c r="I220" s="127"/>
      <c r="J220" s="127"/>
    </row>
    <row r="221" spans="2:10" x14ac:dyDescent="0.25">
      <c r="B221" s="127"/>
      <c r="C221" s="127"/>
      <c r="D221" s="127"/>
      <c r="E221" s="50"/>
      <c r="F221" s="50"/>
      <c r="G221" s="50"/>
      <c r="H221" s="127"/>
      <c r="I221" s="127"/>
      <c r="J221" s="127"/>
    </row>
    <row r="222" spans="2:10" x14ac:dyDescent="0.25">
      <c r="B222" s="127"/>
      <c r="C222" s="127"/>
      <c r="D222" s="127"/>
      <c r="E222" s="50"/>
      <c r="F222" s="50"/>
      <c r="G222" s="50"/>
      <c r="H222" s="127"/>
      <c r="I222" s="127"/>
      <c r="J222" s="127"/>
    </row>
    <row r="226" spans="2:10" x14ac:dyDescent="0.25">
      <c r="B226" s="127"/>
      <c r="C226" s="127"/>
      <c r="D226" s="127"/>
      <c r="E226" s="50"/>
      <c r="F226" s="50"/>
      <c r="G226" s="50"/>
      <c r="H226" s="127"/>
      <c r="I226" s="127"/>
      <c r="J226" s="127"/>
    </row>
    <row r="227" spans="2:10" x14ac:dyDescent="0.25">
      <c r="B227" s="127"/>
      <c r="C227" s="127"/>
      <c r="D227" s="127"/>
      <c r="E227" s="50"/>
      <c r="F227" s="50"/>
      <c r="G227" s="50"/>
      <c r="H227" s="127"/>
      <c r="I227" s="127"/>
      <c r="J227" s="127"/>
    </row>
    <row r="232" spans="2:10" x14ac:dyDescent="0.25">
      <c r="B232" s="127"/>
      <c r="C232" s="127"/>
      <c r="D232" s="127"/>
      <c r="E232" s="50"/>
      <c r="F232" s="50"/>
      <c r="G232" s="50"/>
      <c r="H232" s="127"/>
      <c r="I232" s="127"/>
      <c r="J232" s="127"/>
    </row>
    <row r="238" spans="2:10" x14ac:dyDescent="0.25">
      <c r="B238" s="127"/>
      <c r="C238" s="127"/>
      <c r="D238" s="127"/>
      <c r="E238" s="50"/>
      <c r="F238" s="50"/>
      <c r="G238" s="50"/>
      <c r="H238" s="127"/>
      <c r="I238" s="127"/>
      <c r="J238" s="127"/>
    </row>
    <row r="239" spans="2:10" x14ac:dyDescent="0.25">
      <c r="B239" s="127"/>
      <c r="C239" s="127"/>
      <c r="D239" s="127"/>
      <c r="E239" s="50"/>
      <c r="F239" s="50"/>
      <c r="G239" s="50"/>
      <c r="H239" s="127"/>
      <c r="I239" s="127"/>
      <c r="J239" s="127"/>
    </row>
    <row r="240" spans="2:10" x14ac:dyDescent="0.25">
      <c r="B240" s="127"/>
      <c r="C240" s="127"/>
      <c r="D240" s="127"/>
      <c r="E240" s="50"/>
      <c r="F240" s="50"/>
      <c r="G240" s="50"/>
      <c r="H240" s="127"/>
      <c r="I240" s="127"/>
      <c r="J240" s="127"/>
    </row>
    <row r="244" spans="2:10" x14ac:dyDescent="0.25">
      <c r="B244" s="127"/>
      <c r="C244" s="127"/>
      <c r="D244" s="127"/>
      <c r="E244" s="50"/>
      <c r="F244" s="50"/>
      <c r="G244" s="50"/>
      <c r="H244" s="127"/>
      <c r="I244" s="127"/>
      <c r="J244" s="127"/>
    </row>
    <row r="245" spans="2:10" x14ac:dyDescent="0.25">
      <c r="B245" s="127"/>
      <c r="C245" s="127"/>
      <c r="D245" s="127"/>
      <c r="E245" s="50"/>
      <c r="F245" s="50"/>
      <c r="G245" s="50"/>
      <c r="H245" s="127"/>
      <c r="I245" s="127"/>
      <c r="J245" s="127"/>
    </row>
    <row r="250" spans="2:10" x14ac:dyDescent="0.25">
      <c r="B250" s="127"/>
      <c r="C250" s="127"/>
      <c r="D250" s="127"/>
      <c r="E250" s="50"/>
      <c r="F250" s="50"/>
      <c r="G250" s="50"/>
      <c r="H250" s="127"/>
      <c r="I250" s="127"/>
      <c r="J250" s="127"/>
    </row>
    <row r="256" spans="2:10" x14ac:dyDescent="0.25">
      <c r="B256" s="127"/>
      <c r="C256" s="127"/>
      <c r="D256" s="127"/>
      <c r="E256" s="50"/>
      <c r="F256" s="50"/>
      <c r="G256" s="50"/>
      <c r="H256" s="127"/>
      <c r="I256" s="127"/>
      <c r="J256" s="127"/>
    </row>
    <row r="257" spans="2:10" x14ac:dyDescent="0.25">
      <c r="B257" s="127"/>
      <c r="C257" s="127"/>
      <c r="D257" s="127"/>
      <c r="E257" s="50"/>
      <c r="F257" s="50"/>
      <c r="G257" s="50"/>
      <c r="H257" s="127"/>
      <c r="I257" s="127"/>
      <c r="J257" s="127"/>
    </row>
    <row r="258" spans="2:10" x14ac:dyDescent="0.25">
      <c r="B258" s="127"/>
      <c r="C258" s="127"/>
      <c r="D258" s="127"/>
      <c r="E258" s="50"/>
      <c r="F258" s="50"/>
      <c r="G258" s="50"/>
      <c r="H258" s="127"/>
      <c r="I258" s="127"/>
      <c r="J258" s="127"/>
    </row>
    <row r="259" spans="2:10" x14ac:dyDescent="0.25">
      <c r="B259" s="127"/>
      <c r="C259" s="127"/>
      <c r="D259" s="127"/>
      <c r="E259" s="50"/>
      <c r="F259" s="50"/>
      <c r="G259" s="50"/>
      <c r="H259" s="127"/>
      <c r="I259" s="127"/>
      <c r="J259" s="127"/>
    </row>
    <row r="262" spans="2:10" x14ac:dyDescent="0.25">
      <c r="B262" s="127"/>
      <c r="C262" s="127"/>
      <c r="D262" s="127"/>
      <c r="E262" s="50"/>
      <c r="F262" s="50"/>
      <c r="G262" s="50"/>
      <c r="H262" s="127"/>
      <c r="I262" s="127"/>
      <c r="J262" s="127"/>
    </row>
    <row r="268" spans="2:10" x14ac:dyDescent="0.25">
      <c r="B268" s="127"/>
      <c r="C268" s="127"/>
      <c r="D268" s="127"/>
      <c r="E268" s="50"/>
      <c r="F268" s="50"/>
      <c r="G268" s="50"/>
      <c r="H268" s="127"/>
      <c r="I268" s="127"/>
      <c r="J268" s="127"/>
    </row>
    <row r="269" spans="2:10" x14ac:dyDescent="0.25">
      <c r="B269" s="127"/>
      <c r="C269" s="127"/>
      <c r="D269" s="127"/>
      <c r="E269" s="50"/>
      <c r="F269" s="50"/>
      <c r="G269" s="50"/>
      <c r="H269" s="127"/>
      <c r="I269" s="127"/>
      <c r="J269" s="127"/>
    </row>
    <row r="274" spans="2:10" x14ac:dyDescent="0.25">
      <c r="B274" s="127"/>
      <c r="C274" s="127"/>
      <c r="D274" s="127"/>
      <c r="E274" s="50"/>
      <c r="F274" s="50"/>
      <c r="G274" s="50"/>
      <c r="H274" s="127"/>
      <c r="I274" s="127"/>
      <c r="J274" s="127"/>
    </row>
    <row r="275" spans="2:10" x14ac:dyDescent="0.25">
      <c r="B275" s="127"/>
      <c r="C275" s="127"/>
      <c r="D275" s="127"/>
      <c r="E275" s="50"/>
      <c r="F275" s="50"/>
      <c r="G275" s="50"/>
      <c r="H275" s="127"/>
      <c r="I275" s="127"/>
      <c r="J275" s="127"/>
    </row>
    <row r="276" spans="2:10" x14ac:dyDescent="0.25">
      <c r="B276" s="127"/>
      <c r="C276" s="127"/>
      <c r="D276" s="127"/>
      <c r="E276" s="50"/>
      <c r="F276" s="50"/>
      <c r="G276" s="50"/>
      <c r="H276" s="127"/>
      <c r="I276" s="127"/>
      <c r="J276" s="127"/>
    </row>
    <row r="277" spans="2:10" x14ac:dyDescent="0.25">
      <c r="B277" s="127"/>
      <c r="C277" s="127"/>
      <c r="D277" s="127"/>
      <c r="E277" s="50"/>
      <c r="F277" s="50"/>
      <c r="G277" s="50"/>
      <c r="H277" s="127"/>
      <c r="I277" s="127"/>
      <c r="J277" s="127"/>
    </row>
    <row r="280" spans="2:10" x14ac:dyDescent="0.25">
      <c r="B280" s="127"/>
      <c r="C280" s="127"/>
      <c r="D280" s="127"/>
      <c r="E280" s="49"/>
      <c r="F280" s="49"/>
      <c r="G280" s="49"/>
      <c r="H280" s="127"/>
      <c r="I280" s="127"/>
      <c r="J280" s="127"/>
    </row>
    <row r="286" spans="2:10" x14ac:dyDescent="0.25">
      <c r="B286" s="127"/>
      <c r="C286" s="127"/>
      <c r="D286" s="127"/>
      <c r="E286" s="49"/>
      <c r="F286" s="49"/>
      <c r="G286" s="49"/>
      <c r="H286" s="127"/>
      <c r="I286" s="127"/>
      <c r="J286" s="127"/>
    </row>
    <row r="292" spans="2:10" x14ac:dyDescent="0.25">
      <c r="B292" s="127"/>
      <c r="C292" s="127"/>
      <c r="D292" s="127"/>
      <c r="E292" s="49"/>
      <c r="F292" s="49"/>
      <c r="G292" s="49"/>
      <c r="H292" s="127"/>
      <c r="I292" s="127"/>
      <c r="J292" s="127"/>
    </row>
    <row r="298" spans="2:10" x14ac:dyDescent="0.25">
      <c r="B298" s="127"/>
      <c r="C298" s="127"/>
      <c r="D298" s="127"/>
      <c r="E298" s="49"/>
      <c r="F298" s="49"/>
      <c r="G298" s="49"/>
      <c r="H298" s="127"/>
      <c r="I298" s="127"/>
      <c r="J298" s="127"/>
    </row>
    <row r="304" spans="2:10" x14ac:dyDescent="0.25">
      <c r="B304" s="127"/>
      <c r="C304" s="127"/>
      <c r="D304" s="127"/>
      <c r="E304" s="49"/>
      <c r="F304" s="49"/>
      <c r="G304" s="49"/>
      <c r="H304" s="127"/>
      <c r="I304" s="127"/>
      <c r="J304" s="127"/>
    </row>
    <row r="305" spans="2:10" x14ac:dyDescent="0.25">
      <c r="B305" s="127"/>
      <c r="C305" s="127"/>
      <c r="D305" s="127"/>
      <c r="E305" s="49"/>
      <c r="F305" s="49"/>
      <c r="G305" s="49"/>
      <c r="H305" s="127"/>
      <c r="I305" s="127"/>
      <c r="J305" s="127"/>
    </row>
    <row r="310" spans="2:10" x14ac:dyDescent="0.25">
      <c r="B310" s="127"/>
      <c r="C310" s="127"/>
      <c r="D310" s="127"/>
      <c r="E310" s="49"/>
      <c r="F310" s="49"/>
      <c r="G310" s="49"/>
      <c r="H310" s="127"/>
      <c r="I310" s="127"/>
      <c r="J310" s="127"/>
    </row>
    <row r="311" spans="2:10" x14ac:dyDescent="0.25">
      <c r="B311" s="127"/>
      <c r="C311" s="127"/>
      <c r="D311" s="127"/>
      <c r="E311" s="49"/>
      <c r="F311" s="49"/>
      <c r="G311" s="49"/>
      <c r="H311" s="127"/>
      <c r="I311" s="127"/>
      <c r="J311" s="127"/>
    </row>
    <row r="316" spans="2:10" x14ac:dyDescent="0.25">
      <c r="B316" s="127"/>
      <c r="C316" s="127"/>
      <c r="D316" s="127"/>
      <c r="E316" s="49"/>
      <c r="F316" s="49"/>
      <c r="G316" s="49"/>
      <c r="H316" s="127"/>
      <c r="I316" s="127"/>
      <c r="J316" s="127"/>
    </row>
    <row r="322" spans="2:10" x14ac:dyDescent="0.25">
      <c r="B322" s="127"/>
      <c r="C322" s="127"/>
      <c r="D322" s="127"/>
      <c r="E322" s="49"/>
      <c r="F322" s="49"/>
      <c r="G322" s="49"/>
      <c r="H322" s="127"/>
      <c r="I322" s="127"/>
      <c r="J322" s="127"/>
    </row>
    <row r="328" spans="2:10" x14ac:dyDescent="0.25">
      <c r="B328" s="127"/>
      <c r="C328" s="127"/>
      <c r="D328" s="127"/>
      <c r="E328" s="49"/>
      <c r="F328" s="49"/>
      <c r="G328" s="49"/>
      <c r="H328" s="127"/>
      <c r="I328" s="127"/>
      <c r="J328" s="127"/>
    </row>
    <row r="329" spans="2:10" x14ac:dyDescent="0.25">
      <c r="B329" s="127"/>
      <c r="C329" s="127"/>
      <c r="D329" s="127"/>
      <c r="E329" s="49"/>
      <c r="F329" s="49"/>
      <c r="G329" s="49"/>
      <c r="H329" s="127"/>
      <c r="I329" s="127"/>
      <c r="J329" s="127"/>
    </row>
    <row r="334" spans="2:10" x14ac:dyDescent="0.25">
      <c r="B334" s="127"/>
      <c r="C334" s="127"/>
      <c r="D334" s="127"/>
      <c r="E334" s="49"/>
      <c r="F334" s="49"/>
      <c r="G334" s="49"/>
      <c r="H334" s="127"/>
      <c r="I334" s="127"/>
      <c r="J334" s="127"/>
    </row>
    <row r="335" spans="2:10" x14ac:dyDescent="0.25">
      <c r="B335" s="127"/>
      <c r="C335" s="127"/>
      <c r="D335" s="127"/>
      <c r="E335" s="49"/>
      <c r="F335" s="49"/>
      <c r="G335" s="49"/>
      <c r="H335" s="127"/>
      <c r="I335" s="127"/>
      <c r="J335" s="127"/>
    </row>
    <row r="336" spans="2:10" x14ac:dyDescent="0.25">
      <c r="B336" s="127"/>
      <c r="C336" s="127"/>
      <c r="D336" s="127"/>
      <c r="E336" s="49"/>
      <c r="F336" s="49"/>
      <c r="G336" s="49"/>
      <c r="H336" s="127"/>
      <c r="I336" s="127"/>
      <c r="J336" s="127"/>
    </row>
    <row r="340" spans="2:10" x14ac:dyDescent="0.25">
      <c r="B340" s="127"/>
      <c r="C340" s="127"/>
      <c r="D340" s="127"/>
      <c r="E340" s="49"/>
      <c r="F340" s="49"/>
      <c r="G340" s="49"/>
      <c r="H340" s="127"/>
      <c r="I340" s="127"/>
      <c r="J340" s="127"/>
    </row>
    <row r="341" spans="2:10" x14ac:dyDescent="0.25">
      <c r="B341" s="127"/>
      <c r="C341" s="127"/>
      <c r="D341" s="127"/>
      <c r="E341" s="49"/>
      <c r="F341" s="49"/>
      <c r="G341" s="49"/>
      <c r="H341" s="127"/>
      <c r="I341" s="127"/>
      <c r="J341" s="127"/>
    </row>
    <row r="346" spans="2:10" x14ac:dyDescent="0.25">
      <c r="B346" s="127"/>
      <c r="C346" s="127"/>
      <c r="D346" s="127"/>
      <c r="E346" s="49"/>
      <c r="F346" s="49"/>
      <c r="G346" s="49"/>
      <c r="H346" s="127"/>
      <c r="I346" s="127"/>
      <c r="J346" s="127"/>
    </row>
    <row r="352" spans="2:10" x14ac:dyDescent="0.25">
      <c r="B352" s="127"/>
      <c r="C352" s="127"/>
      <c r="D352" s="127"/>
      <c r="E352" s="49"/>
      <c r="F352" s="49"/>
      <c r="G352" s="49"/>
      <c r="H352" s="127"/>
      <c r="I352" s="127"/>
      <c r="J352" s="127"/>
    </row>
    <row r="353" spans="2:10" x14ac:dyDescent="0.25">
      <c r="B353" s="127"/>
      <c r="C353" s="127"/>
      <c r="D353" s="127"/>
      <c r="E353" s="49"/>
      <c r="F353" s="49"/>
      <c r="G353" s="49"/>
      <c r="H353" s="127"/>
      <c r="I353" s="127"/>
      <c r="J353" s="127"/>
    </row>
    <row r="354" spans="2:10" x14ac:dyDescent="0.25">
      <c r="B354" s="127"/>
      <c r="C354" s="127"/>
      <c r="D354" s="127"/>
      <c r="E354" s="49"/>
      <c r="F354" s="49"/>
      <c r="G354" s="49"/>
      <c r="H354" s="127"/>
      <c r="I354" s="127"/>
      <c r="J354" s="127"/>
    </row>
    <row r="358" spans="2:10" x14ac:dyDescent="0.25">
      <c r="B358" s="127"/>
      <c r="C358" s="127"/>
      <c r="D358" s="127"/>
      <c r="E358" s="49"/>
      <c r="F358" s="49"/>
      <c r="G358" s="49"/>
      <c r="H358" s="127"/>
      <c r="I358" s="127"/>
      <c r="J358" s="127"/>
    </row>
    <row r="359" spans="2:10" x14ac:dyDescent="0.25">
      <c r="B359" s="127"/>
      <c r="C359" s="127"/>
      <c r="D359" s="127"/>
      <c r="E359" s="49"/>
      <c r="F359" s="49"/>
      <c r="G359" s="49"/>
      <c r="H359" s="127"/>
      <c r="I359" s="127"/>
      <c r="J359" s="127"/>
    </row>
    <row r="364" spans="2:10" x14ac:dyDescent="0.25">
      <c r="B364" s="127"/>
      <c r="C364" s="127"/>
      <c r="D364" s="127"/>
      <c r="E364" s="49"/>
      <c r="F364" s="49"/>
      <c r="G364" s="49"/>
      <c r="H364" s="127"/>
      <c r="I364" s="127"/>
      <c r="J364" s="127"/>
    </row>
    <row r="370" spans="2:10" x14ac:dyDescent="0.25">
      <c r="B370" s="127"/>
      <c r="C370" s="127"/>
      <c r="D370" s="127"/>
      <c r="E370" s="49"/>
      <c r="F370" s="49"/>
      <c r="G370" s="49"/>
      <c r="H370" s="127"/>
      <c r="I370" s="127"/>
      <c r="J370" s="127"/>
    </row>
    <row r="371" spans="2:10" x14ac:dyDescent="0.25">
      <c r="B371" s="127"/>
      <c r="C371" s="127"/>
      <c r="D371" s="127"/>
      <c r="E371" s="49"/>
      <c r="F371" s="49"/>
      <c r="G371" s="49"/>
      <c r="H371" s="127"/>
      <c r="I371" s="127"/>
      <c r="J371" s="127"/>
    </row>
    <row r="372" spans="2:10" x14ac:dyDescent="0.25">
      <c r="B372" s="127"/>
      <c r="C372" s="127"/>
      <c r="D372" s="127"/>
      <c r="E372" s="49"/>
      <c r="F372" s="49"/>
      <c r="G372" s="49"/>
      <c r="H372" s="127"/>
      <c r="I372" s="127"/>
      <c r="J372" s="127"/>
    </row>
    <row r="373" spans="2:10" x14ac:dyDescent="0.25">
      <c r="B373" s="127"/>
      <c r="C373" s="127"/>
      <c r="D373" s="127"/>
      <c r="E373" s="49"/>
      <c r="F373" s="49"/>
      <c r="G373" s="49"/>
      <c r="H373" s="127"/>
      <c r="I373" s="127"/>
      <c r="J373" s="127"/>
    </row>
    <row r="376" spans="2:10" x14ac:dyDescent="0.25">
      <c r="B376" s="127"/>
      <c r="C376" s="127"/>
      <c r="D376" s="127"/>
      <c r="E376" s="49"/>
      <c r="F376" s="49"/>
      <c r="G376" s="49"/>
      <c r="H376" s="127"/>
      <c r="I376" s="127"/>
      <c r="J376" s="127"/>
    </row>
    <row r="382" spans="2:10" x14ac:dyDescent="0.25">
      <c r="B382" s="127"/>
      <c r="C382" s="127"/>
      <c r="D382" s="127"/>
      <c r="E382" s="49"/>
      <c r="F382" s="49"/>
      <c r="G382" s="49"/>
      <c r="H382" s="127"/>
      <c r="I382" s="127"/>
      <c r="J382" s="127"/>
    </row>
    <row r="383" spans="2:10" x14ac:dyDescent="0.25">
      <c r="B383" s="127"/>
      <c r="C383" s="127"/>
      <c r="D383" s="127"/>
      <c r="E383" s="49"/>
      <c r="F383" s="49"/>
      <c r="G383" s="49"/>
      <c r="H383" s="127"/>
      <c r="I383" s="127"/>
      <c r="J383" s="127"/>
    </row>
    <row r="385" spans="2:10" x14ac:dyDescent="0.25">
      <c r="B385" s="127"/>
      <c r="C385" s="127"/>
      <c r="D385" s="127"/>
      <c r="E385" s="49"/>
      <c r="F385" s="49"/>
      <c r="G385" s="49"/>
      <c r="H385" s="127"/>
      <c r="I385" s="127"/>
      <c r="J385" s="127"/>
    </row>
    <row r="391" spans="2:10" x14ac:dyDescent="0.25">
      <c r="B391" s="127"/>
      <c r="C391" s="127"/>
      <c r="D391" s="127"/>
      <c r="E391" s="49"/>
      <c r="F391" s="49"/>
      <c r="G391" s="49"/>
      <c r="H391" s="127"/>
      <c r="I391" s="127"/>
      <c r="J391" s="127"/>
    </row>
    <row r="392" spans="2:10" x14ac:dyDescent="0.25">
      <c r="B392" s="127"/>
      <c r="C392" s="127"/>
      <c r="D392" s="127"/>
      <c r="E392" s="49"/>
      <c r="F392" s="49"/>
      <c r="G392" s="49"/>
      <c r="H392" s="127"/>
      <c r="I392" s="127"/>
      <c r="J392" s="127"/>
    </row>
    <row r="397" spans="2:10" x14ac:dyDescent="0.25">
      <c r="B397" s="127"/>
      <c r="C397" s="127"/>
      <c r="D397" s="127"/>
      <c r="E397" s="49"/>
      <c r="F397" s="49"/>
      <c r="G397" s="49"/>
      <c r="H397" s="127"/>
      <c r="I397" s="127"/>
      <c r="J397" s="127"/>
    </row>
    <row r="398" spans="2:10" x14ac:dyDescent="0.25">
      <c r="B398" s="127"/>
      <c r="C398" s="127"/>
      <c r="D398" s="127"/>
      <c r="E398" s="49"/>
      <c r="F398" s="49"/>
      <c r="G398" s="49"/>
      <c r="H398" s="127"/>
      <c r="I398" s="127"/>
      <c r="J398" s="127"/>
    </row>
    <row r="399" spans="2:10" x14ac:dyDescent="0.25">
      <c r="B399" s="127"/>
      <c r="C399" s="127"/>
      <c r="D399" s="127"/>
      <c r="E399" s="49"/>
      <c r="F399" s="49"/>
      <c r="G399" s="49"/>
      <c r="H399" s="127"/>
      <c r="I399" s="127"/>
      <c r="J399" s="127"/>
    </row>
    <row r="400" spans="2:10" x14ac:dyDescent="0.25">
      <c r="B400" s="127"/>
      <c r="C400" s="127"/>
      <c r="D400" s="127"/>
      <c r="E400" s="49"/>
      <c r="F400" s="49"/>
      <c r="G400" s="49"/>
      <c r="H400" s="127"/>
      <c r="I400" s="127"/>
      <c r="J400" s="127"/>
    </row>
    <row r="401" spans="2:10" x14ac:dyDescent="0.25">
      <c r="B401" s="127"/>
      <c r="C401" s="127"/>
      <c r="D401" s="127"/>
      <c r="E401" s="49"/>
      <c r="F401" s="49"/>
      <c r="G401" s="49"/>
      <c r="H401" s="127"/>
      <c r="I401" s="127"/>
      <c r="J401" s="127"/>
    </row>
    <row r="402" spans="2:10" x14ac:dyDescent="0.25">
      <c r="B402" s="127"/>
      <c r="C402" s="127"/>
      <c r="D402" s="127"/>
      <c r="E402" s="49"/>
      <c r="F402" s="49"/>
      <c r="G402" s="49"/>
      <c r="H402" s="127"/>
      <c r="I402" s="127"/>
      <c r="J402" s="127"/>
    </row>
    <row r="403" spans="2:10" x14ac:dyDescent="0.25">
      <c r="B403" s="127"/>
      <c r="C403" s="127"/>
      <c r="D403" s="127"/>
      <c r="E403" s="49"/>
      <c r="F403" s="49"/>
      <c r="G403" s="49"/>
      <c r="H403" s="127"/>
      <c r="I403" s="127"/>
      <c r="J403" s="127"/>
    </row>
    <row r="404" spans="2:10" x14ac:dyDescent="0.25">
      <c r="B404" s="127"/>
      <c r="C404" s="127"/>
      <c r="D404" s="127"/>
      <c r="E404" s="49"/>
      <c r="F404" s="49"/>
      <c r="G404" s="49"/>
      <c r="H404" s="127"/>
      <c r="I404" s="127"/>
      <c r="J404" s="127"/>
    </row>
  </sheetData>
  <sortState xmlns:xlrd2="http://schemas.microsoft.com/office/spreadsheetml/2017/richdata2" ref="K3:L25">
    <sortCondition descending="1" ref="L3:L25"/>
  </sortState>
  <mergeCells count="219">
    <mergeCell ref="B280:D280"/>
    <mergeCell ref="H280:J280"/>
    <mergeCell ref="B304:D304"/>
    <mergeCell ref="H304:J304"/>
    <mergeCell ref="B305:D305"/>
    <mergeCell ref="H305:J305"/>
    <mergeCell ref="B298:D298"/>
    <mergeCell ref="H298:J298"/>
    <mergeCell ref="B292:D292"/>
    <mergeCell ref="H292:J292"/>
    <mergeCell ref="B286:D286"/>
    <mergeCell ref="H286:J286"/>
    <mergeCell ref="B328:D328"/>
    <mergeCell ref="H328:J328"/>
    <mergeCell ref="B329:D329"/>
    <mergeCell ref="H329:J329"/>
    <mergeCell ref="B322:D322"/>
    <mergeCell ref="H322:J322"/>
    <mergeCell ref="B316:D316"/>
    <mergeCell ref="H316:J316"/>
    <mergeCell ref="B310:D310"/>
    <mergeCell ref="H310:J310"/>
    <mergeCell ref="B311:D311"/>
    <mergeCell ref="H311:J311"/>
    <mergeCell ref="B346:D346"/>
    <mergeCell ref="H346:J346"/>
    <mergeCell ref="B340:D340"/>
    <mergeCell ref="H340:J340"/>
    <mergeCell ref="B341:D341"/>
    <mergeCell ref="H341:J341"/>
    <mergeCell ref="B334:D334"/>
    <mergeCell ref="H334:J334"/>
    <mergeCell ref="B335:D335"/>
    <mergeCell ref="H335:J335"/>
    <mergeCell ref="B336:D336"/>
    <mergeCell ref="H336:J336"/>
    <mergeCell ref="B364:D364"/>
    <mergeCell ref="H364:J364"/>
    <mergeCell ref="B358:D358"/>
    <mergeCell ref="H358:J358"/>
    <mergeCell ref="B359:D359"/>
    <mergeCell ref="H359:J359"/>
    <mergeCell ref="B352:D352"/>
    <mergeCell ref="H352:J352"/>
    <mergeCell ref="B353:D353"/>
    <mergeCell ref="H353:J353"/>
    <mergeCell ref="B354:D354"/>
    <mergeCell ref="H354:J354"/>
    <mergeCell ref="B404:D404"/>
    <mergeCell ref="H404:J404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401:D401"/>
    <mergeCell ref="H401:J401"/>
    <mergeCell ref="B402:D402"/>
    <mergeCell ref="H402:J402"/>
    <mergeCell ref="B370:D370"/>
    <mergeCell ref="H370:J370"/>
    <mergeCell ref="B371:D371"/>
    <mergeCell ref="H371:J371"/>
    <mergeCell ref="B372:D372"/>
    <mergeCell ref="H372:J372"/>
    <mergeCell ref="B373:D373"/>
    <mergeCell ref="H373:J373"/>
    <mergeCell ref="B403:D403"/>
    <mergeCell ref="H403:J403"/>
    <mergeCell ref="B391:D391"/>
    <mergeCell ref="H391:J391"/>
    <mergeCell ref="B392:D392"/>
    <mergeCell ref="H392:J392"/>
    <mergeCell ref="B385:D385"/>
    <mergeCell ref="H385:J385"/>
    <mergeCell ref="B382:D382"/>
    <mergeCell ref="H382:J382"/>
    <mergeCell ref="B383:D383"/>
    <mergeCell ref="H383:J383"/>
    <mergeCell ref="B376:D376"/>
    <mergeCell ref="H376:J376"/>
    <mergeCell ref="B277:D277"/>
    <mergeCell ref="H277:J277"/>
    <mergeCell ref="B268:D268"/>
    <mergeCell ref="H268:J268"/>
    <mergeCell ref="B269:D269"/>
    <mergeCell ref="H269:J269"/>
    <mergeCell ref="B274:D274"/>
    <mergeCell ref="H274:J274"/>
    <mergeCell ref="B275:D275"/>
    <mergeCell ref="H275:J275"/>
    <mergeCell ref="B276:D276"/>
    <mergeCell ref="H276:J276"/>
    <mergeCell ref="B262:D262"/>
    <mergeCell ref="H262:J262"/>
    <mergeCell ref="B256:D256"/>
    <mergeCell ref="H256:J256"/>
    <mergeCell ref="B257:D257"/>
    <mergeCell ref="H257:J257"/>
    <mergeCell ref="B258:D258"/>
    <mergeCell ref="H258:J258"/>
    <mergeCell ref="B259:D259"/>
    <mergeCell ref="H259:J259"/>
    <mergeCell ref="B239:D239"/>
    <mergeCell ref="H239:J239"/>
    <mergeCell ref="B240:D240"/>
    <mergeCell ref="H240:J240"/>
    <mergeCell ref="B250:D250"/>
    <mergeCell ref="H250:J250"/>
    <mergeCell ref="B244:D244"/>
    <mergeCell ref="H244:J244"/>
    <mergeCell ref="B245:D245"/>
    <mergeCell ref="H245:J245"/>
    <mergeCell ref="B222:D222"/>
    <mergeCell ref="H222:J222"/>
    <mergeCell ref="B232:D232"/>
    <mergeCell ref="H232:J232"/>
    <mergeCell ref="B226:D226"/>
    <mergeCell ref="H226:J226"/>
    <mergeCell ref="B227:D227"/>
    <mergeCell ref="H227:J227"/>
    <mergeCell ref="B238:D238"/>
    <mergeCell ref="H238:J238"/>
    <mergeCell ref="B214:D214"/>
    <mergeCell ref="H214:J214"/>
    <mergeCell ref="B215:D215"/>
    <mergeCell ref="H215:J215"/>
    <mergeCell ref="B208:D208"/>
    <mergeCell ref="H208:J208"/>
    <mergeCell ref="B220:D220"/>
    <mergeCell ref="H220:J220"/>
    <mergeCell ref="B221:D221"/>
    <mergeCell ref="H221:J221"/>
    <mergeCell ref="B190:D190"/>
    <mergeCell ref="H190:J190"/>
    <mergeCell ref="B191:D191"/>
    <mergeCell ref="H191:J191"/>
    <mergeCell ref="B184:D184"/>
    <mergeCell ref="H184:J184"/>
    <mergeCell ref="B202:D202"/>
    <mergeCell ref="H202:J202"/>
    <mergeCell ref="B196:D196"/>
    <mergeCell ref="H196:J196"/>
    <mergeCell ref="B197:D197"/>
    <mergeCell ref="H197:J197"/>
    <mergeCell ref="B162:D162"/>
    <mergeCell ref="H162:J162"/>
    <mergeCell ref="B163:D163"/>
    <mergeCell ref="H163:J163"/>
    <mergeCell ref="B156:D156"/>
    <mergeCell ref="H156:J156"/>
    <mergeCell ref="B178:D178"/>
    <mergeCell ref="H178:J178"/>
    <mergeCell ref="B172:D172"/>
    <mergeCell ref="H172:J172"/>
    <mergeCell ref="B166:D166"/>
    <mergeCell ref="H166:J166"/>
    <mergeCell ref="B133:D133"/>
    <mergeCell ref="H133:J133"/>
    <mergeCell ref="B134:D134"/>
    <mergeCell ref="H134:J134"/>
    <mergeCell ref="B153:D153"/>
    <mergeCell ref="H153:J153"/>
    <mergeCell ref="B144:D144"/>
    <mergeCell ref="H144:J144"/>
    <mergeCell ref="B138:D138"/>
    <mergeCell ref="H138:J138"/>
    <mergeCell ref="B139:D139"/>
    <mergeCell ref="H139:J139"/>
    <mergeCell ref="B150:D150"/>
    <mergeCell ref="H150:J150"/>
    <mergeCell ref="B151:D151"/>
    <mergeCell ref="H151:J151"/>
    <mergeCell ref="B152:D152"/>
    <mergeCell ref="H152:J152"/>
    <mergeCell ref="B116:D116"/>
    <mergeCell ref="H116:J116"/>
    <mergeCell ref="B126:D126"/>
    <mergeCell ref="H126:J126"/>
    <mergeCell ref="B120:D120"/>
    <mergeCell ref="H120:J120"/>
    <mergeCell ref="B121:D121"/>
    <mergeCell ref="H121:J121"/>
    <mergeCell ref="B132:D132"/>
    <mergeCell ref="H132:J132"/>
    <mergeCell ref="B108:D108"/>
    <mergeCell ref="H108:J108"/>
    <mergeCell ref="B109:D109"/>
    <mergeCell ref="H109:J109"/>
    <mergeCell ref="B102:D102"/>
    <mergeCell ref="H102:J102"/>
    <mergeCell ref="B114:D114"/>
    <mergeCell ref="H114:J114"/>
    <mergeCell ref="B115:D115"/>
    <mergeCell ref="H115:J115"/>
    <mergeCell ref="B85:D85"/>
    <mergeCell ref="H85:J85"/>
    <mergeCell ref="B78:D78"/>
    <mergeCell ref="H78:J78"/>
    <mergeCell ref="B96:D96"/>
    <mergeCell ref="H96:J96"/>
    <mergeCell ref="B90:D90"/>
    <mergeCell ref="H90:J90"/>
    <mergeCell ref="B91:D91"/>
    <mergeCell ref="H91:J91"/>
    <mergeCell ref="M1:O1"/>
    <mergeCell ref="P1:R1"/>
    <mergeCell ref="S1:U1"/>
    <mergeCell ref="V1:X1"/>
    <mergeCell ref="B72:D72"/>
    <mergeCell ref="H72:J72"/>
    <mergeCell ref="B66:D66"/>
    <mergeCell ref="H66:J66"/>
    <mergeCell ref="B84:D84"/>
    <mergeCell ref="H84:J84"/>
    <mergeCell ref="B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topLeftCell="A46" zoomScale="85" zoomScaleNormal="85" workbookViewId="0">
      <selection activeCell="A63" sqref="A63:E69"/>
    </sheetView>
  </sheetViews>
  <sheetFormatPr defaultRowHeight="15" x14ac:dyDescent="0.25"/>
  <cols>
    <col min="1" max="1" width="15.28515625" style="63" customWidth="1"/>
    <col min="2" max="4" width="6.28515625" style="2" customWidth="1"/>
    <col min="5" max="5" width="15.28515625" style="62" customWidth="1"/>
  </cols>
  <sheetData>
    <row r="1" spans="1:5" x14ac:dyDescent="0.25">
      <c r="A1" s="63" t="s">
        <v>142</v>
      </c>
    </row>
    <row r="2" spans="1:5" x14ac:dyDescent="0.25">
      <c r="A2" s="63" t="s">
        <v>19</v>
      </c>
      <c r="B2" s="2">
        <v>2</v>
      </c>
      <c r="C2" s="2" t="s">
        <v>53</v>
      </c>
      <c r="D2" s="2">
        <v>1</v>
      </c>
      <c r="E2" s="62" t="s">
        <v>165</v>
      </c>
    </row>
    <row r="3" spans="1:5" x14ac:dyDescent="0.25">
      <c r="A3" s="63" t="s">
        <v>5</v>
      </c>
      <c r="B3" s="2">
        <v>2</v>
      </c>
      <c r="C3" s="2" t="s">
        <v>53</v>
      </c>
      <c r="D3" s="2">
        <v>1</v>
      </c>
      <c r="E3" s="62" t="s">
        <v>6</v>
      </c>
    </row>
    <row r="4" spans="1:5" x14ac:dyDescent="0.25">
      <c r="A4" s="63" t="s">
        <v>22</v>
      </c>
      <c r="B4" s="2">
        <v>1</v>
      </c>
      <c r="C4" s="2" t="s">
        <v>53</v>
      </c>
      <c r="D4" s="2">
        <v>2</v>
      </c>
      <c r="E4" s="62" t="s">
        <v>12</v>
      </c>
    </row>
    <row r="5" spans="1:5" x14ac:dyDescent="0.25">
      <c r="A5" s="63" t="s">
        <v>8</v>
      </c>
      <c r="B5" s="2">
        <v>2</v>
      </c>
      <c r="C5" s="2" t="s">
        <v>53</v>
      </c>
      <c r="D5" s="2">
        <v>0</v>
      </c>
      <c r="E5" s="62" t="s">
        <v>166</v>
      </c>
    </row>
    <row r="6" spans="1:5" x14ac:dyDescent="0.25">
      <c r="A6" s="63" t="s">
        <v>20</v>
      </c>
      <c r="B6" s="2">
        <v>2</v>
      </c>
      <c r="C6" s="2" t="s">
        <v>53</v>
      </c>
      <c r="D6" s="2">
        <v>0</v>
      </c>
      <c r="E6" s="62" t="s">
        <v>28</v>
      </c>
    </row>
    <row r="7" spans="1:5" x14ac:dyDescent="0.25">
      <c r="A7" s="63" t="s">
        <v>17</v>
      </c>
      <c r="B7" s="2">
        <v>2</v>
      </c>
      <c r="C7" s="2" t="s">
        <v>53</v>
      </c>
      <c r="D7" s="2">
        <v>1</v>
      </c>
      <c r="E7" s="62" t="s">
        <v>26</v>
      </c>
    </row>
    <row r="8" spans="1:5" x14ac:dyDescent="0.25">
      <c r="A8" s="63" t="s">
        <v>23</v>
      </c>
      <c r="B8" s="2">
        <v>2</v>
      </c>
      <c r="C8" s="2" t="s">
        <v>53</v>
      </c>
      <c r="D8" s="2">
        <v>1</v>
      </c>
      <c r="E8" s="62" t="s">
        <v>15</v>
      </c>
    </row>
    <row r="9" spans="1:5" x14ac:dyDescent="0.25">
      <c r="A9" s="63" t="s">
        <v>27</v>
      </c>
      <c r="B9" s="2">
        <v>2</v>
      </c>
      <c r="C9" s="2" t="s">
        <v>53</v>
      </c>
      <c r="D9" s="2">
        <v>2</v>
      </c>
      <c r="E9" s="62" t="s">
        <v>30</v>
      </c>
    </row>
    <row r="11" spans="1:5" x14ac:dyDescent="0.25">
      <c r="A11" s="63" t="s">
        <v>143</v>
      </c>
    </row>
    <row r="12" spans="1:5" x14ac:dyDescent="0.25">
      <c r="A12" s="63" t="s">
        <v>19</v>
      </c>
      <c r="B12" s="2">
        <v>1</v>
      </c>
      <c r="C12" s="2" t="s">
        <v>53</v>
      </c>
      <c r="D12" s="2">
        <v>1</v>
      </c>
      <c r="E12" s="62" t="s">
        <v>165</v>
      </c>
    </row>
    <row r="13" spans="1:5" x14ac:dyDescent="0.25">
      <c r="A13" s="63" t="s">
        <v>5</v>
      </c>
      <c r="B13" s="2">
        <v>1</v>
      </c>
      <c r="C13" s="2" t="s">
        <v>53</v>
      </c>
      <c r="D13" s="2">
        <v>1</v>
      </c>
      <c r="E13" s="62" t="s">
        <v>6</v>
      </c>
    </row>
    <row r="14" spans="1:5" x14ac:dyDescent="0.25">
      <c r="A14" s="63" t="s">
        <v>22</v>
      </c>
      <c r="B14" s="2">
        <v>1</v>
      </c>
      <c r="C14" s="2" t="s">
        <v>53</v>
      </c>
      <c r="D14" s="2">
        <v>1</v>
      </c>
      <c r="E14" s="62" t="s">
        <v>12</v>
      </c>
    </row>
    <row r="15" spans="1:5" x14ac:dyDescent="0.25">
      <c r="A15" s="63" t="s">
        <v>8</v>
      </c>
      <c r="B15" s="2">
        <v>1</v>
      </c>
      <c r="C15" s="2" t="s">
        <v>53</v>
      </c>
      <c r="D15" s="2">
        <v>1</v>
      </c>
      <c r="E15" s="62" t="s">
        <v>166</v>
      </c>
    </row>
    <row r="16" spans="1:5" x14ac:dyDescent="0.25">
      <c r="A16" s="63" t="s">
        <v>20</v>
      </c>
      <c r="B16" s="2">
        <v>1</v>
      </c>
      <c r="C16" s="2" t="s">
        <v>53</v>
      </c>
      <c r="D16" s="2">
        <v>1</v>
      </c>
      <c r="E16" s="62" t="s">
        <v>28</v>
      </c>
    </row>
    <row r="17" spans="1:5" x14ac:dyDescent="0.25">
      <c r="A17" s="63" t="s">
        <v>17</v>
      </c>
      <c r="B17" s="2">
        <v>1</v>
      </c>
      <c r="C17" s="2" t="s">
        <v>53</v>
      </c>
      <c r="D17" s="2">
        <v>1</v>
      </c>
      <c r="E17" s="62" t="s">
        <v>26</v>
      </c>
    </row>
    <row r="18" spans="1:5" x14ac:dyDescent="0.25">
      <c r="A18" s="63" t="s">
        <v>23</v>
      </c>
      <c r="B18" s="2">
        <v>1</v>
      </c>
      <c r="C18" s="2" t="s">
        <v>53</v>
      </c>
      <c r="D18" s="2">
        <v>1</v>
      </c>
      <c r="E18" s="62" t="s">
        <v>15</v>
      </c>
    </row>
    <row r="19" spans="1:5" x14ac:dyDescent="0.25">
      <c r="A19" s="63" t="s">
        <v>27</v>
      </c>
      <c r="B19" s="2">
        <v>1</v>
      </c>
      <c r="C19" s="2" t="s">
        <v>53</v>
      </c>
      <c r="D19" s="2">
        <v>1</v>
      </c>
      <c r="E19" s="62" t="s">
        <v>30</v>
      </c>
    </row>
    <row r="21" spans="1:5" x14ac:dyDescent="0.25">
      <c r="A21" s="63" t="s">
        <v>144</v>
      </c>
    </row>
    <row r="22" spans="1:5" x14ac:dyDescent="0.25">
      <c r="A22" s="63" t="s">
        <v>19</v>
      </c>
      <c r="B22" s="2">
        <v>2</v>
      </c>
      <c r="C22" s="2" t="s">
        <v>53</v>
      </c>
      <c r="D22" s="2">
        <v>1</v>
      </c>
      <c r="E22" s="62" t="s">
        <v>165</v>
      </c>
    </row>
    <row r="23" spans="1:5" x14ac:dyDescent="0.25">
      <c r="A23" s="63" t="s">
        <v>5</v>
      </c>
      <c r="B23" s="2">
        <v>2</v>
      </c>
      <c r="C23" s="2" t="s">
        <v>53</v>
      </c>
      <c r="D23" s="2">
        <v>0</v>
      </c>
      <c r="E23" s="62" t="s">
        <v>6</v>
      </c>
    </row>
    <row r="24" spans="1:5" x14ac:dyDescent="0.25">
      <c r="A24" s="63" t="s">
        <v>22</v>
      </c>
      <c r="B24" s="2">
        <v>1</v>
      </c>
      <c r="C24" s="2" t="s">
        <v>53</v>
      </c>
      <c r="D24" s="2">
        <v>2</v>
      </c>
      <c r="E24" s="62" t="s">
        <v>12</v>
      </c>
    </row>
    <row r="25" spans="1:5" x14ac:dyDescent="0.25">
      <c r="A25" s="63" t="s">
        <v>8</v>
      </c>
      <c r="B25" s="2">
        <v>2</v>
      </c>
      <c r="C25" s="2" t="s">
        <v>53</v>
      </c>
      <c r="D25" s="2">
        <v>0</v>
      </c>
      <c r="E25" s="62" t="s">
        <v>166</v>
      </c>
    </row>
    <row r="26" spans="1:5" x14ac:dyDescent="0.25">
      <c r="A26" s="63" t="s">
        <v>20</v>
      </c>
      <c r="B26" s="2">
        <v>1</v>
      </c>
      <c r="C26" s="2" t="s">
        <v>53</v>
      </c>
      <c r="D26" s="2">
        <v>2</v>
      </c>
      <c r="E26" s="62" t="s">
        <v>28</v>
      </c>
    </row>
    <row r="27" spans="1:5" x14ac:dyDescent="0.25">
      <c r="A27" s="63" t="s">
        <v>17</v>
      </c>
      <c r="B27" s="2">
        <v>2</v>
      </c>
      <c r="C27" s="2" t="s">
        <v>53</v>
      </c>
      <c r="D27" s="2">
        <v>0</v>
      </c>
      <c r="E27" s="62" t="s">
        <v>26</v>
      </c>
    </row>
    <row r="28" spans="1:5" x14ac:dyDescent="0.25">
      <c r="A28" s="63" t="s">
        <v>23</v>
      </c>
      <c r="B28" s="2">
        <v>1</v>
      </c>
      <c r="C28" s="2" t="s">
        <v>53</v>
      </c>
      <c r="D28" s="2">
        <v>3</v>
      </c>
      <c r="E28" s="62" t="s">
        <v>15</v>
      </c>
    </row>
    <row r="29" spans="1:5" x14ac:dyDescent="0.25">
      <c r="A29" s="63" t="s">
        <v>27</v>
      </c>
      <c r="B29" s="2">
        <v>1</v>
      </c>
      <c r="C29" s="2" t="s">
        <v>53</v>
      </c>
      <c r="D29" s="2">
        <v>0</v>
      </c>
      <c r="E29" s="62" t="s">
        <v>30</v>
      </c>
    </row>
    <row r="31" spans="1:5" x14ac:dyDescent="0.25">
      <c r="A31" s="63" t="s">
        <v>145</v>
      </c>
    </row>
    <row r="32" spans="1:5" x14ac:dyDescent="0.25">
      <c r="A32" s="63" t="s">
        <v>19</v>
      </c>
      <c r="B32" s="2">
        <v>3</v>
      </c>
      <c r="C32" s="2" t="s">
        <v>53</v>
      </c>
      <c r="D32" s="2">
        <v>2</v>
      </c>
      <c r="E32" s="62" t="s">
        <v>165</v>
      </c>
    </row>
    <row r="33" spans="1:5" x14ac:dyDescent="0.25">
      <c r="A33" s="63" t="s">
        <v>5</v>
      </c>
      <c r="B33" s="2">
        <v>3</v>
      </c>
      <c r="C33" s="2" t="s">
        <v>53</v>
      </c>
      <c r="D33" s="2">
        <v>1</v>
      </c>
      <c r="E33" s="62" t="s">
        <v>6</v>
      </c>
    </row>
    <row r="34" spans="1:5" x14ac:dyDescent="0.25">
      <c r="A34" s="63" t="s">
        <v>22</v>
      </c>
      <c r="B34" s="2">
        <v>2</v>
      </c>
      <c r="C34" s="2" t="s">
        <v>53</v>
      </c>
      <c r="D34" s="2">
        <v>3</v>
      </c>
      <c r="E34" s="62" t="s">
        <v>12</v>
      </c>
    </row>
    <row r="35" spans="1:5" x14ac:dyDescent="0.25">
      <c r="A35" s="63" t="s">
        <v>8</v>
      </c>
      <c r="B35" s="2">
        <v>3</v>
      </c>
      <c r="C35" s="2" t="s">
        <v>53</v>
      </c>
      <c r="D35" s="2">
        <v>2</v>
      </c>
      <c r="E35" s="62" t="s">
        <v>166</v>
      </c>
    </row>
    <row r="36" spans="1:5" x14ac:dyDescent="0.25">
      <c r="A36" s="63" t="s">
        <v>20</v>
      </c>
      <c r="B36" s="2">
        <v>3</v>
      </c>
      <c r="C36" s="2" t="s">
        <v>53</v>
      </c>
      <c r="D36" s="2">
        <v>2</v>
      </c>
      <c r="E36" s="62" t="s">
        <v>28</v>
      </c>
    </row>
    <row r="37" spans="1:5" x14ac:dyDescent="0.25">
      <c r="A37" s="63" t="s">
        <v>17</v>
      </c>
      <c r="B37" s="2">
        <v>3</v>
      </c>
      <c r="C37" s="2" t="s">
        <v>53</v>
      </c>
      <c r="D37" s="2">
        <v>2</v>
      </c>
      <c r="E37" s="62" t="s">
        <v>26</v>
      </c>
    </row>
    <row r="38" spans="1:5" x14ac:dyDescent="0.25">
      <c r="A38" s="63" t="s">
        <v>23</v>
      </c>
      <c r="B38" s="2">
        <v>1</v>
      </c>
      <c r="C38" s="2" t="s">
        <v>53</v>
      </c>
      <c r="D38" s="2">
        <v>3</v>
      </c>
      <c r="E38" s="62" t="s">
        <v>15</v>
      </c>
    </row>
    <row r="39" spans="1:5" x14ac:dyDescent="0.25">
      <c r="A39" s="63" t="s">
        <v>27</v>
      </c>
      <c r="B39" s="2">
        <v>3</v>
      </c>
      <c r="C39" s="2" t="s">
        <v>53</v>
      </c>
      <c r="D39" s="2">
        <v>1</v>
      </c>
      <c r="E39" s="62" t="s">
        <v>30</v>
      </c>
    </row>
    <row r="41" spans="1:5" x14ac:dyDescent="0.25">
      <c r="A41" s="63" t="s">
        <v>146</v>
      </c>
    </row>
    <row r="42" spans="1:5" x14ac:dyDescent="0.25">
      <c r="A42" s="63" t="s">
        <v>19</v>
      </c>
      <c r="B42" s="2">
        <v>1</v>
      </c>
      <c r="C42" s="2" t="s">
        <v>53</v>
      </c>
      <c r="D42" s="2">
        <v>0</v>
      </c>
      <c r="E42" s="62" t="s">
        <v>165</v>
      </c>
    </row>
    <row r="43" spans="1:5" x14ac:dyDescent="0.25">
      <c r="A43" s="63" t="s">
        <v>5</v>
      </c>
      <c r="B43" s="2">
        <v>2</v>
      </c>
      <c r="C43" s="2" t="s">
        <v>53</v>
      </c>
      <c r="D43" s="2">
        <v>0</v>
      </c>
      <c r="E43" s="62" t="s">
        <v>6</v>
      </c>
    </row>
    <row r="44" spans="1:5" x14ac:dyDescent="0.25">
      <c r="A44" s="63" t="s">
        <v>22</v>
      </c>
      <c r="B44" s="2">
        <v>2</v>
      </c>
      <c r="C44" s="2" t="s">
        <v>53</v>
      </c>
      <c r="D44" s="2">
        <v>1</v>
      </c>
      <c r="E44" s="62" t="s">
        <v>12</v>
      </c>
    </row>
    <row r="45" spans="1:5" x14ac:dyDescent="0.25">
      <c r="A45" s="63" t="s">
        <v>8</v>
      </c>
      <c r="B45" s="2">
        <v>2</v>
      </c>
      <c r="C45" s="2" t="s">
        <v>53</v>
      </c>
      <c r="D45" s="2">
        <v>1</v>
      </c>
      <c r="E45" s="62" t="s">
        <v>166</v>
      </c>
    </row>
    <row r="46" spans="1:5" x14ac:dyDescent="0.25">
      <c r="A46" s="63" t="s">
        <v>20</v>
      </c>
      <c r="B46" s="2">
        <v>1</v>
      </c>
      <c r="C46" s="2" t="s">
        <v>53</v>
      </c>
      <c r="D46" s="2">
        <v>1</v>
      </c>
      <c r="E46" s="62" t="s">
        <v>28</v>
      </c>
    </row>
    <row r="47" spans="1:5" x14ac:dyDescent="0.25">
      <c r="A47" s="63" t="s">
        <v>17</v>
      </c>
      <c r="B47" s="2">
        <v>1</v>
      </c>
      <c r="C47" s="2" t="s">
        <v>53</v>
      </c>
      <c r="D47" s="2">
        <v>0</v>
      </c>
      <c r="E47" s="62" t="s">
        <v>26</v>
      </c>
    </row>
    <row r="48" spans="1:5" x14ac:dyDescent="0.25">
      <c r="A48" s="63" t="s">
        <v>23</v>
      </c>
      <c r="B48" s="2">
        <v>1</v>
      </c>
      <c r="C48" s="2" t="s">
        <v>53</v>
      </c>
      <c r="D48" s="2">
        <v>1</v>
      </c>
      <c r="E48" s="62" t="s">
        <v>15</v>
      </c>
    </row>
    <row r="49" spans="1:5" x14ac:dyDescent="0.25">
      <c r="A49" s="63" t="s">
        <v>27</v>
      </c>
      <c r="B49" s="2">
        <v>2</v>
      </c>
      <c r="C49" s="2" t="s">
        <v>53</v>
      </c>
      <c r="D49" s="2">
        <v>2</v>
      </c>
      <c r="E49" s="62" t="s">
        <v>30</v>
      </c>
    </row>
    <row r="51" spans="1:5" x14ac:dyDescent="0.25">
      <c r="A51" s="63" t="s">
        <v>147</v>
      </c>
    </row>
    <row r="52" spans="1:5" x14ac:dyDescent="0.25">
      <c r="A52" s="63" t="s">
        <v>19</v>
      </c>
      <c r="B52" s="2">
        <v>2</v>
      </c>
      <c r="C52" s="2" t="s">
        <v>53</v>
      </c>
      <c r="D52" s="2">
        <v>0</v>
      </c>
      <c r="E52" s="62" t="s">
        <v>165</v>
      </c>
    </row>
    <row r="53" spans="1:5" x14ac:dyDescent="0.25">
      <c r="A53" s="63" t="s">
        <v>5</v>
      </c>
      <c r="B53" s="2">
        <v>2</v>
      </c>
      <c r="C53" s="2" t="s">
        <v>53</v>
      </c>
      <c r="D53" s="2">
        <v>1</v>
      </c>
      <c r="E53" s="62" t="s">
        <v>6</v>
      </c>
    </row>
    <row r="54" spans="1:5" x14ac:dyDescent="0.25">
      <c r="A54" s="63" t="s">
        <v>22</v>
      </c>
      <c r="B54" s="2">
        <v>1</v>
      </c>
      <c r="C54" s="2" t="s">
        <v>53</v>
      </c>
      <c r="D54" s="2">
        <v>0</v>
      </c>
      <c r="E54" s="62" t="s">
        <v>12</v>
      </c>
    </row>
    <row r="55" spans="1:5" x14ac:dyDescent="0.25">
      <c r="A55" s="63" t="s">
        <v>8</v>
      </c>
      <c r="B55" s="2">
        <v>2</v>
      </c>
      <c r="C55" s="2" t="s">
        <v>53</v>
      </c>
      <c r="D55" s="2">
        <v>0</v>
      </c>
      <c r="E55" s="62" t="s">
        <v>166</v>
      </c>
    </row>
    <row r="56" spans="1:5" x14ac:dyDescent="0.25">
      <c r="A56" s="63" t="s">
        <v>20</v>
      </c>
      <c r="B56" s="2">
        <v>3</v>
      </c>
      <c r="C56" s="2" t="s">
        <v>53</v>
      </c>
      <c r="D56" s="2">
        <v>1</v>
      </c>
      <c r="E56" s="62" t="s">
        <v>28</v>
      </c>
    </row>
    <row r="57" spans="1:5" x14ac:dyDescent="0.25">
      <c r="A57" s="63" t="s">
        <v>17</v>
      </c>
      <c r="B57" s="2">
        <v>2</v>
      </c>
      <c r="C57" s="2" t="s">
        <v>53</v>
      </c>
      <c r="D57" s="2">
        <v>0</v>
      </c>
      <c r="E57" s="62" t="s">
        <v>26</v>
      </c>
    </row>
    <row r="58" spans="1:5" x14ac:dyDescent="0.25">
      <c r="A58" s="63" t="s">
        <v>23</v>
      </c>
      <c r="B58" s="2">
        <v>1</v>
      </c>
      <c r="C58" s="2" t="s">
        <v>53</v>
      </c>
      <c r="D58" s="2">
        <v>2</v>
      </c>
      <c r="E58" s="62" t="s">
        <v>15</v>
      </c>
    </row>
    <row r="59" spans="1:5" x14ac:dyDescent="0.25">
      <c r="A59" s="63" t="s">
        <v>27</v>
      </c>
      <c r="B59" s="2">
        <v>1</v>
      </c>
      <c r="C59" s="2" t="s">
        <v>53</v>
      </c>
      <c r="D59" s="2">
        <v>0</v>
      </c>
      <c r="E59" s="62" t="s">
        <v>30</v>
      </c>
    </row>
    <row r="61" spans="1:5" x14ac:dyDescent="0.25">
      <c r="A61" s="63" t="s">
        <v>148</v>
      </c>
    </row>
    <row r="62" spans="1:5" x14ac:dyDescent="0.25">
      <c r="A62" s="63" t="s">
        <v>19</v>
      </c>
      <c r="B62" s="2">
        <v>2</v>
      </c>
      <c r="C62" s="2" t="s">
        <v>53</v>
      </c>
      <c r="D62" s="2">
        <v>0</v>
      </c>
      <c r="E62" s="62" t="s">
        <v>165</v>
      </c>
    </row>
    <row r="63" spans="1:5" x14ac:dyDescent="0.25">
      <c r="A63" s="63" t="s">
        <v>5</v>
      </c>
      <c r="B63" s="2">
        <v>1</v>
      </c>
      <c r="C63" s="2" t="s">
        <v>53</v>
      </c>
      <c r="D63" s="2">
        <v>0</v>
      </c>
      <c r="E63" s="62" t="s">
        <v>6</v>
      </c>
    </row>
    <row r="64" spans="1:5" x14ac:dyDescent="0.25">
      <c r="A64" s="63" t="s">
        <v>22</v>
      </c>
      <c r="B64" s="2">
        <v>1</v>
      </c>
      <c r="C64" s="2" t="s">
        <v>53</v>
      </c>
      <c r="D64" s="2">
        <v>2</v>
      </c>
      <c r="E64" s="62" t="s">
        <v>12</v>
      </c>
    </row>
    <row r="65" spans="1:5" x14ac:dyDescent="0.25">
      <c r="A65" s="63" t="s">
        <v>8</v>
      </c>
      <c r="B65" s="2">
        <v>1</v>
      </c>
      <c r="C65" s="2" t="s">
        <v>53</v>
      </c>
      <c r="D65" s="2">
        <v>0</v>
      </c>
      <c r="E65" s="62" t="s">
        <v>166</v>
      </c>
    </row>
    <row r="66" spans="1:5" x14ac:dyDescent="0.25">
      <c r="A66" s="63" t="s">
        <v>20</v>
      </c>
      <c r="B66" s="2">
        <v>2</v>
      </c>
      <c r="C66" s="2" t="s">
        <v>53</v>
      </c>
      <c r="D66" s="2">
        <v>0</v>
      </c>
      <c r="E66" s="62" t="s">
        <v>28</v>
      </c>
    </row>
    <row r="67" spans="1:5" x14ac:dyDescent="0.25">
      <c r="A67" s="63" t="s">
        <v>17</v>
      </c>
      <c r="B67" s="2">
        <v>3</v>
      </c>
      <c r="C67" s="2" t="s">
        <v>53</v>
      </c>
      <c r="D67" s="2">
        <v>0</v>
      </c>
      <c r="E67" s="62" t="s">
        <v>26</v>
      </c>
    </row>
    <row r="68" spans="1:5" x14ac:dyDescent="0.25">
      <c r="A68" s="63" t="s">
        <v>23</v>
      </c>
      <c r="B68" s="2">
        <v>0</v>
      </c>
      <c r="C68" s="2" t="s">
        <v>53</v>
      </c>
      <c r="D68" s="2">
        <v>2</v>
      </c>
      <c r="E68" s="62" t="s">
        <v>15</v>
      </c>
    </row>
    <row r="69" spans="1:5" x14ac:dyDescent="0.25">
      <c r="A69" s="63" t="s">
        <v>27</v>
      </c>
      <c r="B69" s="2">
        <v>2</v>
      </c>
      <c r="C69" s="2" t="s">
        <v>53</v>
      </c>
      <c r="D69" s="2">
        <v>1</v>
      </c>
      <c r="E69" s="62" t="s">
        <v>30</v>
      </c>
    </row>
    <row r="71" spans="1:5" x14ac:dyDescent="0.25">
      <c r="A71" s="63" t="s">
        <v>149</v>
      </c>
    </row>
    <row r="72" spans="1:5" x14ac:dyDescent="0.25">
      <c r="A72" s="63" t="s">
        <v>19</v>
      </c>
      <c r="B72" s="2">
        <v>2</v>
      </c>
      <c r="C72" s="2" t="s">
        <v>53</v>
      </c>
      <c r="D72" s="2">
        <v>0</v>
      </c>
      <c r="E72" s="62" t="s">
        <v>165</v>
      </c>
    </row>
    <row r="73" spans="1:5" x14ac:dyDescent="0.25">
      <c r="A73" s="63" t="s">
        <v>5</v>
      </c>
      <c r="B73" s="2">
        <v>2</v>
      </c>
      <c r="C73" s="2" t="s">
        <v>53</v>
      </c>
      <c r="D73" s="2">
        <v>1</v>
      </c>
      <c r="E73" s="62" t="s">
        <v>6</v>
      </c>
    </row>
    <row r="74" spans="1:5" x14ac:dyDescent="0.25">
      <c r="A74" s="63" t="s">
        <v>22</v>
      </c>
      <c r="B74" s="2">
        <v>2</v>
      </c>
      <c r="C74" s="2" t="s">
        <v>53</v>
      </c>
      <c r="D74" s="2">
        <v>2</v>
      </c>
      <c r="E74" s="62" t="s">
        <v>12</v>
      </c>
    </row>
    <row r="75" spans="1:5" x14ac:dyDescent="0.25">
      <c r="A75" s="63" t="s">
        <v>8</v>
      </c>
      <c r="B75" s="2">
        <v>2</v>
      </c>
      <c r="C75" s="2" t="s">
        <v>53</v>
      </c>
      <c r="D75" s="2">
        <v>1</v>
      </c>
      <c r="E75" s="62" t="s">
        <v>166</v>
      </c>
    </row>
    <row r="76" spans="1:5" x14ac:dyDescent="0.25">
      <c r="A76" s="63" t="s">
        <v>20</v>
      </c>
      <c r="B76" s="2">
        <v>2</v>
      </c>
      <c r="C76" s="2" t="s">
        <v>53</v>
      </c>
      <c r="D76" s="2">
        <v>0</v>
      </c>
      <c r="E76" s="62" t="s">
        <v>28</v>
      </c>
    </row>
    <row r="77" spans="1:5" x14ac:dyDescent="0.25">
      <c r="A77" s="63" t="s">
        <v>17</v>
      </c>
      <c r="B77" s="2">
        <v>2</v>
      </c>
      <c r="C77" s="2" t="s">
        <v>53</v>
      </c>
      <c r="D77" s="2">
        <v>0</v>
      </c>
      <c r="E77" s="62" t="s">
        <v>26</v>
      </c>
    </row>
    <row r="78" spans="1:5" x14ac:dyDescent="0.25">
      <c r="A78" s="63" t="s">
        <v>23</v>
      </c>
      <c r="B78" s="2">
        <v>1</v>
      </c>
      <c r="C78" s="2" t="s">
        <v>53</v>
      </c>
      <c r="D78" s="2">
        <v>0</v>
      </c>
      <c r="E78" s="62" t="s">
        <v>15</v>
      </c>
    </row>
    <row r="79" spans="1:5" x14ac:dyDescent="0.25">
      <c r="A79" s="63" t="s">
        <v>27</v>
      </c>
      <c r="B79" s="2">
        <v>0</v>
      </c>
      <c r="C79" s="2" t="s">
        <v>53</v>
      </c>
      <c r="D79" s="2">
        <v>0</v>
      </c>
      <c r="E79" s="62" t="s">
        <v>30</v>
      </c>
    </row>
    <row r="81" spans="1:5" x14ac:dyDescent="0.25">
      <c r="A81" s="63" t="s">
        <v>150</v>
      </c>
    </row>
    <row r="82" spans="1:5" x14ac:dyDescent="0.25">
      <c r="A82" s="63" t="s">
        <v>19</v>
      </c>
      <c r="B82" s="2">
        <v>1</v>
      </c>
      <c r="C82" s="2" t="s">
        <v>53</v>
      </c>
      <c r="D82" s="2">
        <v>0</v>
      </c>
      <c r="E82" s="62" t="s">
        <v>165</v>
      </c>
    </row>
    <row r="83" spans="1:5" x14ac:dyDescent="0.25">
      <c r="A83" s="63" t="s">
        <v>5</v>
      </c>
      <c r="B83" s="2">
        <v>2</v>
      </c>
      <c r="C83" s="2" t="s">
        <v>53</v>
      </c>
      <c r="D83" s="2">
        <v>0</v>
      </c>
      <c r="E83" s="62" t="s">
        <v>6</v>
      </c>
    </row>
    <row r="84" spans="1:5" x14ac:dyDescent="0.25">
      <c r="A84" s="63" t="s">
        <v>22</v>
      </c>
      <c r="B84" s="2">
        <v>1</v>
      </c>
      <c r="C84" s="2" t="s">
        <v>53</v>
      </c>
      <c r="D84" s="2">
        <v>1</v>
      </c>
      <c r="E84" s="62" t="s">
        <v>12</v>
      </c>
    </row>
    <row r="85" spans="1:5" x14ac:dyDescent="0.25">
      <c r="A85" s="63" t="s">
        <v>8</v>
      </c>
      <c r="B85" s="2">
        <v>2</v>
      </c>
      <c r="C85" s="2" t="s">
        <v>53</v>
      </c>
      <c r="D85" s="2">
        <v>0</v>
      </c>
      <c r="E85" s="62" t="s">
        <v>166</v>
      </c>
    </row>
    <row r="86" spans="1:5" x14ac:dyDescent="0.25">
      <c r="A86" s="63" t="s">
        <v>20</v>
      </c>
      <c r="B86" s="2">
        <v>1</v>
      </c>
      <c r="C86" s="2" t="s">
        <v>53</v>
      </c>
      <c r="D86" s="2">
        <v>0</v>
      </c>
      <c r="E86" s="62" t="s">
        <v>28</v>
      </c>
    </row>
    <row r="87" spans="1:5" x14ac:dyDescent="0.25">
      <c r="A87" s="63" t="s">
        <v>17</v>
      </c>
      <c r="B87" s="2">
        <v>3</v>
      </c>
      <c r="C87" s="2" t="s">
        <v>53</v>
      </c>
      <c r="D87" s="2">
        <v>0</v>
      </c>
      <c r="E87" s="62" t="s">
        <v>26</v>
      </c>
    </row>
    <row r="88" spans="1:5" x14ac:dyDescent="0.25">
      <c r="A88" s="63" t="s">
        <v>23</v>
      </c>
      <c r="B88" s="2">
        <v>0</v>
      </c>
      <c r="C88" s="2" t="s">
        <v>53</v>
      </c>
      <c r="D88" s="2">
        <v>1</v>
      </c>
      <c r="E88" s="62" t="s">
        <v>15</v>
      </c>
    </row>
    <row r="89" spans="1:5" x14ac:dyDescent="0.25">
      <c r="A89" s="63" t="s">
        <v>27</v>
      </c>
      <c r="B89" s="2">
        <v>1</v>
      </c>
      <c r="C89" s="2" t="s">
        <v>53</v>
      </c>
      <c r="D89" s="2">
        <v>1</v>
      </c>
      <c r="E89" s="62" t="s">
        <v>30</v>
      </c>
    </row>
    <row r="91" spans="1:5" x14ac:dyDescent="0.25">
      <c r="A91" s="63" t="s">
        <v>151</v>
      </c>
    </row>
    <row r="92" spans="1:5" x14ac:dyDescent="0.25">
      <c r="A92" s="63" t="s">
        <v>19</v>
      </c>
      <c r="B92" s="2">
        <v>1</v>
      </c>
      <c r="C92" s="2" t="s">
        <v>53</v>
      </c>
      <c r="D92" s="2">
        <v>2</v>
      </c>
      <c r="E92" s="62" t="s">
        <v>165</v>
      </c>
    </row>
    <row r="93" spans="1:5" x14ac:dyDescent="0.25">
      <c r="A93" s="63" t="s">
        <v>5</v>
      </c>
      <c r="B93" s="2">
        <v>1</v>
      </c>
      <c r="C93" s="2" t="s">
        <v>53</v>
      </c>
      <c r="D93" s="2">
        <v>0</v>
      </c>
      <c r="E93" s="62" t="s">
        <v>6</v>
      </c>
    </row>
    <row r="94" spans="1:5" x14ac:dyDescent="0.25">
      <c r="A94" s="63" t="s">
        <v>22</v>
      </c>
      <c r="B94" s="2">
        <v>2</v>
      </c>
      <c r="C94" s="2" t="s">
        <v>53</v>
      </c>
      <c r="D94" s="2">
        <v>1</v>
      </c>
      <c r="E94" s="62" t="s">
        <v>12</v>
      </c>
    </row>
    <row r="95" spans="1:5" x14ac:dyDescent="0.25">
      <c r="A95" s="63" t="s">
        <v>8</v>
      </c>
      <c r="B95" s="2">
        <v>2</v>
      </c>
      <c r="C95" s="2" t="s">
        <v>53</v>
      </c>
      <c r="D95" s="2">
        <v>1</v>
      </c>
      <c r="E95" s="62" t="s">
        <v>166</v>
      </c>
    </row>
    <row r="96" spans="1:5" x14ac:dyDescent="0.25">
      <c r="A96" s="63" t="s">
        <v>20</v>
      </c>
      <c r="B96" s="2">
        <v>2</v>
      </c>
      <c r="C96" s="2" t="s">
        <v>53</v>
      </c>
      <c r="D96" s="2">
        <v>0</v>
      </c>
      <c r="E96" s="62" t="s">
        <v>28</v>
      </c>
    </row>
    <row r="97" spans="1:5" x14ac:dyDescent="0.25">
      <c r="A97" s="63" t="s">
        <v>17</v>
      </c>
      <c r="B97" s="2">
        <v>3</v>
      </c>
      <c r="C97" s="2" t="s">
        <v>53</v>
      </c>
      <c r="D97" s="2">
        <v>1</v>
      </c>
      <c r="E97" s="62" t="s">
        <v>26</v>
      </c>
    </row>
    <row r="98" spans="1:5" x14ac:dyDescent="0.25">
      <c r="A98" s="63" t="s">
        <v>23</v>
      </c>
      <c r="B98" s="2">
        <v>0</v>
      </c>
      <c r="C98" s="2" t="s">
        <v>53</v>
      </c>
      <c r="D98" s="2">
        <v>1</v>
      </c>
      <c r="E98" s="62" t="s">
        <v>15</v>
      </c>
    </row>
    <row r="99" spans="1:5" x14ac:dyDescent="0.25">
      <c r="A99" s="63" t="s">
        <v>27</v>
      </c>
      <c r="B99" s="2">
        <v>2</v>
      </c>
      <c r="C99" s="2" t="s">
        <v>53</v>
      </c>
      <c r="D99" s="2">
        <v>2</v>
      </c>
      <c r="E99" s="62" t="s">
        <v>30</v>
      </c>
    </row>
    <row r="101" spans="1:5" x14ac:dyDescent="0.25">
      <c r="A101" s="63" t="s">
        <v>152</v>
      </c>
    </row>
    <row r="102" spans="1:5" x14ac:dyDescent="0.25">
      <c r="A102" s="63" t="s">
        <v>19</v>
      </c>
      <c r="B102" s="2">
        <v>2</v>
      </c>
      <c r="C102" s="2" t="s">
        <v>53</v>
      </c>
      <c r="D102" s="2">
        <v>1</v>
      </c>
      <c r="E102" s="62" t="s">
        <v>165</v>
      </c>
    </row>
    <row r="103" spans="1:5" x14ac:dyDescent="0.25">
      <c r="A103" s="63" t="s">
        <v>5</v>
      </c>
      <c r="B103" s="2">
        <v>2</v>
      </c>
      <c r="C103" s="2" t="s">
        <v>53</v>
      </c>
      <c r="D103" s="2">
        <v>0</v>
      </c>
      <c r="E103" s="62" t="s">
        <v>6</v>
      </c>
    </row>
    <row r="104" spans="1:5" x14ac:dyDescent="0.25">
      <c r="A104" s="63" t="s">
        <v>22</v>
      </c>
      <c r="B104" s="2">
        <v>1</v>
      </c>
      <c r="C104" s="2" t="s">
        <v>53</v>
      </c>
      <c r="D104" s="2">
        <v>2</v>
      </c>
      <c r="E104" s="62" t="s">
        <v>12</v>
      </c>
    </row>
    <row r="105" spans="1:5" x14ac:dyDescent="0.25">
      <c r="A105" s="63" t="s">
        <v>8</v>
      </c>
      <c r="B105" s="2">
        <v>2</v>
      </c>
      <c r="C105" s="2" t="s">
        <v>53</v>
      </c>
      <c r="D105" s="2">
        <v>0</v>
      </c>
      <c r="E105" s="62" t="s">
        <v>166</v>
      </c>
    </row>
    <row r="106" spans="1:5" x14ac:dyDescent="0.25">
      <c r="A106" s="63" t="s">
        <v>20</v>
      </c>
      <c r="B106" s="2">
        <v>1</v>
      </c>
      <c r="C106" s="2" t="s">
        <v>53</v>
      </c>
      <c r="D106" s="2">
        <v>0</v>
      </c>
      <c r="E106" s="62" t="s">
        <v>28</v>
      </c>
    </row>
    <row r="107" spans="1:5" x14ac:dyDescent="0.25">
      <c r="A107" s="63" t="s">
        <v>17</v>
      </c>
      <c r="B107" s="2">
        <v>1</v>
      </c>
      <c r="C107" s="2" t="s">
        <v>53</v>
      </c>
      <c r="D107" s="2">
        <v>0</v>
      </c>
      <c r="E107" s="62" t="s">
        <v>26</v>
      </c>
    </row>
    <row r="108" spans="1:5" x14ac:dyDescent="0.25">
      <c r="A108" s="63" t="s">
        <v>23</v>
      </c>
      <c r="B108" s="2">
        <v>1</v>
      </c>
      <c r="C108" s="2" t="s">
        <v>53</v>
      </c>
      <c r="D108" s="2">
        <v>2</v>
      </c>
      <c r="E108" s="62" t="s">
        <v>15</v>
      </c>
    </row>
    <row r="109" spans="1:5" x14ac:dyDescent="0.25">
      <c r="A109" s="63" t="s">
        <v>27</v>
      </c>
      <c r="B109" s="2">
        <v>1</v>
      </c>
      <c r="C109" s="2" t="s">
        <v>53</v>
      </c>
      <c r="D109" s="2">
        <v>0</v>
      </c>
      <c r="E109" s="62" t="s">
        <v>30</v>
      </c>
    </row>
    <row r="111" spans="1:5" x14ac:dyDescent="0.25">
      <c r="A111" s="63" t="s">
        <v>153</v>
      </c>
    </row>
    <row r="112" spans="1:5" x14ac:dyDescent="0.25">
      <c r="A112" s="63" t="s">
        <v>19</v>
      </c>
      <c r="B112" s="2">
        <v>1</v>
      </c>
      <c r="C112" s="2" t="s">
        <v>53</v>
      </c>
      <c r="D112" s="2">
        <v>2</v>
      </c>
      <c r="E112" s="62" t="s">
        <v>165</v>
      </c>
    </row>
    <row r="113" spans="1:5" x14ac:dyDescent="0.25">
      <c r="A113" s="63" t="s">
        <v>5</v>
      </c>
      <c r="B113" s="2">
        <v>1</v>
      </c>
      <c r="C113" s="2" t="s">
        <v>53</v>
      </c>
      <c r="D113" s="2">
        <v>1</v>
      </c>
      <c r="E113" s="62" t="s">
        <v>6</v>
      </c>
    </row>
    <row r="114" spans="1:5" x14ac:dyDescent="0.25">
      <c r="A114" s="63" t="s">
        <v>22</v>
      </c>
      <c r="B114" s="2">
        <v>0</v>
      </c>
      <c r="C114" s="2" t="s">
        <v>53</v>
      </c>
      <c r="D114" s="2">
        <v>2</v>
      </c>
      <c r="E114" s="62" t="s">
        <v>12</v>
      </c>
    </row>
    <row r="115" spans="1:5" x14ac:dyDescent="0.25">
      <c r="A115" s="63" t="s">
        <v>8</v>
      </c>
      <c r="B115" s="2">
        <v>2</v>
      </c>
      <c r="C115" s="2" t="s">
        <v>53</v>
      </c>
      <c r="D115" s="2">
        <v>0</v>
      </c>
      <c r="E115" s="62" t="s">
        <v>166</v>
      </c>
    </row>
    <row r="116" spans="1:5" x14ac:dyDescent="0.25">
      <c r="A116" s="63" t="s">
        <v>20</v>
      </c>
      <c r="B116" s="2">
        <v>3</v>
      </c>
      <c r="C116" s="2" t="s">
        <v>53</v>
      </c>
      <c r="D116" s="2">
        <v>1</v>
      </c>
      <c r="E116" s="62" t="s">
        <v>28</v>
      </c>
    </row>
    <row r="117" spans="1:5" x14ac:dyDescent="0.25">
      <c r="A117" s="63" t="s">
        <v>17</v>
      </c>
      <c r="B117" s="2">
        <v>2</v>
      </c>
      <c r="C117" s="2" t="s">
        <v>53</v>
      </c>
      <c r="D117" s="2">
        <v>0</v>
      </c>
      <c r="E117" s="62" t="s">
        <v>26</v>
      </c>
    </row>
    <row r="118" spans="1:5" x14ac:dyDescent="0.25">
      <c r="A118" s="63" t="s">
        <v>23</v>
      </c>
      <c r="B118" s="2">
        <v>1</v>
      </c>
      <c r="C118" s="2" t="s">
        <v>53</v>
      </c>
      <c r="D118" s="2">
        <v>2</v>
      </c>
      <c r="E118" s="62" t="s">
        <v>15</v>
      </c>
    </row>
    <row r="119" spans="1:5" x14ac:dyDescent="0.25">
      <c r="A119" s="63" t="s">
        <v>27</v>
      </c>
      <c r="B119" s="2">
        <v>0</v>
      </c>
      <c r="C119" s="2" t="s">
        <v>53</v>
      </c>
      <c r="D119" s="2">
        <v>1</v>
      </c>
      <c r="E119" s="62" t="s">
        <v>30</v>
      </c>
    </row>
    <row r="121" spans="1:5" x14ac:dyDescent="0.25">
      <c r="A121" s="63" t="s">
        <v>154</v>
      </c>
    </row>
    <row r="122" spans="1:5" x14ac:dyDescent="0.25">
      <c r="A122" s="63" t="s">
        <v>19</v>
      </c>
      <c r="B122" s="2">
        <v>1</v>
      </c>
      <c r="C122" s="2" t="s">
        <v>53</v>
      </c>
      <c r="D122" s="2">
        <v>1</v>
      </c>
      <c r="E122" s="62" t="s">
        <v>165</v>
      </c>
    </row>
    <row r="123" spans="1:5" x14ac:dyDescent="0.25">
      <c r="A123" s="63" t="s">
        <v>5</v>
      </c>
      <c r="B123" s="2">
        <v>2</v>
      </c>
      <c r="C123" s="2" t="s">
        <v>53</v>
      </c>
      <c r="D123" s="2">
        <v>1</v>
      </c>
      <c r="E123" s="62" t="s">
        <v>6</v>
      </c>
    </row>
    <row r="124" spans="1:5" x14ac:dyDescent="0.25">
      <c r="A124" s="63" t="s">
        <v>22</v>
      </c>
      <c r="B124" s="2">
        <v>2</v>
      </c>
      <c r="C124" s="2" t="s">
        <v>53</v>
      </c>
      <c r="D124" s="2">
        <v>0</v>
      </c>
      <c r="E124" s="62" t="s">
        <v>12</v>
      </c>
    </row>
    <row r="125" spans="1:5" x14ac:dyDescent="0.25">
      <c r="A125" s="63" t="s">
        <v>8</v>
      </c>
      <c r="B125" s="2">
        <v>2</v>
      </c>
      <c r="C125" s="2" t="s">
        <v>53</v>
      </c>
      <c r="D125" s="2">
        <v>0</v>
      </c>
      <c r="E125" s="62" t="s">
        <v>166</v>
      </c>
    </row>
    <row r="126" spans="1:5" x14ac:dyDescent="0.25">
      <c r="A126" s="63" t="s">
        <v>20</v>
      </c>
      <c r="B126" s="2">
        <v>4</v>
      </c>
      <c r="C126" s="2" t="s">
        <v>53</v>
      </c>
      <c r="D126" s="2">
        <v>0</v>
      </c>
      <c r="E126" s="62" t="s">
        <v>28</v>
      </c>
    </row>
    <row r="127" spans="1:5" x14ac:dyDescent="0.25">
      <c r="A127" s="63" t="s">
        <v>17</v>
      </c>
      <c r="B127" s="2">
        <v>2</v>
      </c>
      <c r="C127" s="2" t="s">
        <v>53</v>
      </c>
      <c r="D127" s="2">
        <v>1</v>
      </c>
      <c r="E127" s="62" t="s">
        <v>26</v>
      </c>
    </row>
    <row r="128" spans="1:5" x14ac:dyDescent="0.25">
      <c r="A128" s="63" t="s">
        <v>23</v>
      </c>
      <c r="B128" s="2">
        <v>1</v>
      </c>
      <c r="C128" s="2" t="s">
        <v>53</v>
      </c>
      <c r="D128" s="2">
        <v>3</v>
      </c>
      <c r="E128" s="62" t="s">
        <v>15</v>
      </c>
    </row>
    <row r="129" spans="1:6" x14ac:dyDescent="0.25">
      <c r="A129" s="63" t="s">
        <v>27</v>
      </c>
      <c r="B129" s="2">
        <v>1</v>
      </c>
      <c r="C129" s="2" t="s">
        <v>53</v>
      </c>
      <c r="D129" s="2">
        <v>0</v>
      </c>
      <c r="E129" s="62" t="s">
        <v>30</v>
      </c>
    </row>
    <row r="131" spans="1:6" x14ac:dyDescent="0.25">
      <c r="A131" s="63" t="s">
        <v>155</v>
      </c>
    </row>
    <row r="132" spans="1:6" x14ac:dyDescent="0.25">
      <c r="A132" s="63" t="s">
        <v>19</v>
      </c>
      <c r="B132" s="2">
        <v>1</v>
      </c>
      <c r="C132" s="2" t="s">
        <v>53</v>
      </c>
      <c r="D132" s="2">
        <v>0</v>
      </c>
      <c r="E132" s="62" t="s">
        <v>167</v>
      </c>
      <c r="F132" t="s">
        <v>168</v>
      </c>
    </row>
    <row r="133" spans="1:6" x14ac:dyDescent="0.25">
      <c r="A133" s="63" t="s">
        <v>5</v>
      </c>
      <c r="B133" s="2">
        <v>2</v>
      </c>
      <c r="C133" s="2" t="s">
        <v>53</v>
      </c>
      <c r="D133" s="2">
        <v>0</v>
      </c>
      <c r="E133" s="62" t="s">
        <v>6</v>
      </c>
    </row>
    <row r="134" spans="1:6" x14ac:dyDescent="0.25">
      <c r="A134" s="63" t="s">
        <v>22</v>
      </c>
      <c r="B134" s="2">
        <v>2</v>
      </c>
      <c r="C134" s="2" t="s">
        <v>53</v>
      </c>
      <c r="D134" s="2">
        <v>1</v>
      </c>
      <c r="E134" s="62" t="s">
        <v>12</v>
      </c>
    </row>
    <row r="135" spans="1:6" x14ac:dyDescent="0.25">
      <c r="A135" s="63" t="s">
        <v>8</v>
      </c>
      <c r="B135" s="2">
        <v>2</v>
      </c>
      <c r="C135" s="2" t="s">
        <v>53</v>
      </c>
      <c r="D135" s="2">
        <v>0</v>
      </c>
      <c r="E135" s="62" t="s">
        <v>166</v>
      </c>
    </row>
    <row r="136" spans="1:6" x14ac:dyDescent="0.25">
      <c r="A136" s="63" t="s">
        <v>20</v>
      </c>
      <c r="B136" s="2">
        <v>1</v>
      </c>
      <c r="C136" s="2" t="s">
        <v>53</v>
      </c>
      <c r="D136" s="2">
        <v>0</v>
      </c>
      <c r="E136" s="62" t="s">
        <v>28</v>
      </c>
    </row>
    <row r="137" spans="1:6" x14ac:dyDescent="0.25">
      <c r="A137" s="63" t="s">
        <v>17</v>
      </c>
      <c r="B137" s="2">
        <v>3</v>
      </c>
      <c r="C137" s="2" t="s">
        <v>53</v>
      </c>
      <c r="D137" s="2">
        <v>0</v>
      </c>
      <c r="E137" s="62" t="s">
        <v>26</v>
      </c>
    </row>
    <row r="138" spans="1:6" x14ac:dyDescent="0.25">
      <c r="A138" s="63" t="s">
        <v>23</v>
      </c>
      <c r="B138" s="2">
        <v>1</v>
      </c>
      <c r="C138" s="2" t="s">
        <v>53</v>
      </c>
      <c r="D138" s="2">
        <v>2</v>
      </c>
      <c r="E138" s="62" t="s">
        <v>15</v>
      </c>
    </row>
    <row r="139" spans="1:6" x14ac:dyDescent="0.25">
      <c r="A139" s="63" t="s">
        <v>27</v>
      </c>
      <c r="B139" s="2">
        <v>1</v>
      </c>
      <c r="C139" s="2" t="s">
        <v>53</v>
      </c>
      <c r="D139" s="2">
        <v>0</v>
      </c>
      <c r="E139" s="62" t="s">
        <v>30</v>
      </c>
    </row>
    <row r="141" spans="1:6" x14ac:dyDescent="0.25">
      <c r="A141" s="63" t="s">
        <v>156</v>
      </c>
    </row>
    <row r="142" spans="1:6" x14ac:dyDescent="0.25">
      <c r="A142" s="63" t="s">
        <v>19</v>
      </c>
      <c r="B142" s="2">
        <v>1</v>
      </c>
      <c r="C142" s="2" t="s">
        <v>53</v>
      </c>
      <c r="D142" s="2">
        <v>0</v>
      </c>
      <c r="E142" s="62" t="s">
        <v>165</v>
      </c>
    </row>
    <row r="143" spans="1:6" x14ac:dyDescent="0.25">
      <c r="A143" s="63" t="s">
        <v>5</v>
      </c>
      <c r="B143" s="2">
        <v>0</v>
      </c>
      <c r="C143" s="2" t="s">
        <v>53</v>
      </c>
      <c r="D143" s="2">
        <v>1</v>
      </c>
      <c r="E143" s="62" t="s">
        <v>6</v>
      </c>
    </row>
    <row r="144" spans="1:6" x14ac:dyDescent="0.25">
      <c r="A144" s="63" t="s">
        <v>22</v>
      </c>
      <c r="B144" s="2">
        <v>1</v>
      </c>
      <c r="C144" s="2" t="s">
        <v>53</v>
      </c>
      <c r="D144" s="2">
        <v>0</v>
      </c>
      <c r="E144" s="62" t="s">
        <v>12</v>
      </c>
    </row>
    <row r="145" spans="1:5" x14ac:dyDescent="0.25">
      <c r="A145" s="63" t="s">
        <v>8</v>
      </c>
      <c r="B145" s="2">
        <v>0</v>
      </c>
      <c r="C145" s="2" t="s">
        <v>53</v>
      </c>
      <c r="D145" s="2">
        <v>1</v>
      </c>
      <c r="E145" s="62" t="s">
        <v>166</v>
      </c>
    </row>
    <row r="146" spans="1:5" x14ac:dyDescent="0.25">
      <c r="A146" s="63" t="s">
        <v>20</v>
      </c>
      <c r="B146" s="2">
        <v>1</v>
      </c>
      <c r="C146" s="2" t="s">
        <v>53</v>
      </c>
      <c r="D146" s="2">
        <v>0</v>
      </c>
      <c r="E146" s="62" t="s">
        <v>28</v>
      </c>
    </row>
    <row r="147" spans="1:5" x14ac:dyDescent="0.25">
      <c r="A147" s="63" t="s">
        <v>17</v>
      </c>
      <c r="B147" s="2">
        <v>1</v>
      </c>
      <c r="C147" s="2" t="s">
        <v>53</v>
      </c>
      <c r="D147" s="2">
        <v>0</v>
      </c>
      <c r="E147" s="62" t="s">
        <v>26</v>
      </c>
    </row>
    <row r="148" spans="1:5" x14ac:dyDescent="0.25">
      <c r="A148" s="63" t="s">
        <v>23</v>
      </c>
      <c r="B148" s="2">
        <v>0</v>
      </c>
      <c r="C148" s="2" t="s">
        <v>53</v>
      </c>
      <c r="D148" s="2">
        <v>1</v>
      </c>
      <c r="E148" s="62" t="s">
        <v>15</v>
      </c>
    </row>
    <row r="149" spans="1:5" x14ac:dyDescent="0.25">
      <c r="A149" s="63" t="s">
        <v>27</v>
      </c>
      <c r="B149" s="2">
        <v>1</v>
      </c>
      <c r="C149" s="2" t="s">
        <v>53</v>
      </c>
      <c r="D149" s="2">
        <v>0</v>
      </c>
      <c r="E149" s="62" t="s">
        <v>30</v>
      </c>
    </row>
    <row r="151" spans="1:5" x14ac:dyDescent="0.25">
      <c r="A151" s="63" t="s">
        <v>157</v>
      </c>
    </row>
    <row r="152" spans="1:5" x14ac:dyDescent="0.25">
      <c r="A152" s="63" t="s">
        <v>19</v>
      </c>
      <c r="B152" s="2">
        <v>1</v>
      </c>
      <c r="C152" s="2" t="s">
        <v>53</v>
      </c>
      <c r="D152" s="2">
        <v>2</v>
      </c>
      <c r="E152" s="62" t="s">
        <v>165</v>
      </c>
    </row>
    <row r="153" spans="1:5" x14ac:dyDescent="0.25">
      <c r="A153" s="63" t="s">
        <v>5</v>
      </c>
      <c r="B153" s="2">
        <v>2</v>
      </c>
      <c r="C153" s="2" t="s">
        <v>53</v>
      </c>
      <c r="D153" s="2">
        <v>1</v>
      </c>
      <c r="E153" s="62" t="s">
        <v>6</v>
      </c>
    </row>
    <row r="154" spans="1:5" x14ac:dyDescent="0.25">
      <c r="A154" s="63" t="s">
        <v>22</v>
      </c>
      <c r="B154" s="2">
        <v>2</v>
      </c>
      <c r="C154" s="2" t="s">
        <v>53</v>
      </c>
      <c r="D154" s="2">
        <v>1</v>
      </c>
      <c r="E154" s="62" t="s">
        <v>12</v>
      </c>
    </row>
    <row r="155" spans="1:5" x14ac:dyDescent="0.25">
      <c r="A155" s="63" t="s">
        <v>8</v>
      </c>
      <c r="B155" s="2">
        <v>2</v>
      </c>
      <c r="C155" s="2" t="s">
        <v>53</v>
      </c>
      <c r="D155" s="2">
        <v>1</v>
      </c>
      <c r="E155" s="62" t="s">
        <v>166</v>
      </c>
    </row>
    <row r="156" spans="1:5" x14ac:dyDescent="0.25">
      <c r="A156" s="63" t="s">
        <v>20</v>
      </c>
      <c r="B156" s="2">
        <v>1</v>
      </c>
      <c r="C156" s="2" t="s">
        <v>53</v>
      </c>
      <c r="D156" s="2">
        <v>2</v>
      </c>
      <c r="E156" s="62" t="s">
        <v>28</v>
      </c>
    </row>
    <row r="157" spans="1:5" x14ac:dyDescent="0.25">
      <c r="A157" s="63" t="s">
        <v>17</v>
      </c>
      <c r="B157" s="2">
        <v>2</v>
      </c>
      <c r="C157" s="2" t="s">
        <v>53</v>
      </c>
      <c r="D157" s="2">
        <v>1</v>
      </c>
      <c r="E157" s="62" t="s">
        <v>26</v>
      </c>
    </row>
    <row r="158" spans="1:5" x14ac:dyDescent="0.25">
      <c r="A158" s="63" t="s">
        <v>23</v>
      </c>
      <c r="B158" s="2">
        <v>1</v>
      </c>
      <c r="C158" s="2" t="s">
        <v>53</v>
      </c>
      <c r="D158" s="2">
        <v>2</v>
      </c>
      <c r="E158" s="62" t="s">
        <v>15</v>
      </c>
    </row>
    <row r="159" spans="1:5" x14ac:dyDescent="0.25">
      <c r="A159" s="63" t="s">
        <v>27</v>
      </c>
      <c r="B159" s="2">
        <v>2</v>
      </c>
      <c r="C159" s="2" t="s">
        <v>53</v>
      </c>
      <c r="D159" s="2">
        <v>1</v>
      </c>
      <c r="E159" s="62" t="s">
        <v>30</v>
      </c>
    </row>
    <row r="161" spans="1:5" x14ac:dyDescent="0.25">
      <c r="A161" s="63" t="s">
        <v>158</v>
      </c>
    </row>
    <row r="162" spans="1:5" x14ac:dyDescent="0.25">
      <c r="A162" s="63" t="s">
        <v>19</v>
      </c>
      <c r="B162" s="2">
        <v>2</v>
      </c>
      <c r="C162" s="2" t="s">
        <v>53</v>
      </c>
      <c r="D162" s="2">
        <v>1</v>
      </c>
      <c r="E162" s="62" t="s">
        <v>165</v>
      </c>
    </row>
    <row r="163" spans="1:5" x14ac:dyDescent="0.25">
      <c r="A163" s="63" t="s">
        <v>5</v>
      </c>
      <c r="B163" s="2">
        <v>1</v>
      </c>
      <c r="C163" s="2" t="s">
        <v>53</v>
      </c>
      <c r="D163" s="2">
        <v>0</v>
      </c>
      <c r="E163" s="62" t="s">
        <v>6</v>
      </c>
    </row>
    <row r="164" spans="1:5" x14ac:dyDescent="0.25">
      <c r="A164" s="63" t="s">
        <v>22</v>
      </c>
      <c r="B164" s="2">
        <v>2</v>
      </c>
      <c r="C164" s="2" t="s">
        <v>53</v>
      </c>
      <c r="D164" s="2">
        <v>1</v>
      </c>
      <c r="E164" s="62" t="s">
        <v>12</v>
      </c>
    </row>
    <row r="165" spans="1:5" x14ac:dyDescent="0.25">
      <c r="A165" s="63" t="s">
        <v>8</v>
      </c>
      <c r="B165" s="2">
        <v>2</v>
      </c>
      <c r="C165" s="2" t="s">
        <v>53</v>
      </c>
      <c r="D165" s="2">
        <v>0</v>
      </c>
      <c r="E165" s="62" t="s">
        <v>166</v>
      </c>
    </row>
    <row r="166" spans="1:5" x14ac:dyDescent="0.25">
      <c r="A166" s="63" t="s">
        <v>20</v>
      </c>
      <c r="B166" s="2">
        <v>1</v>
      </c>
      <c r="C166" s="2" t="s">
        <v>53</v>
      </c>
      <c r="D166" s="2">
        <v>0</v>
      </c>
      <c r="E166" s="62" t="s">
        <v>28</v>
      </c>
    </row>
    <row r="167" spans="1:5" x14ac:dyDescent="0.25">
      <c r="A167" s="63" t="s">
        <v>17</v>
      </c>
      <c r="B167" s="2">
        <v>2</v>
      </c>
      <c r="C167" s="2" t="s">
        <v>53</v>
      </c>
      <c r="D167" s="2">
        <v>0</v>
      </c>
      <c r="E167" s="62" t="s">
        <v>26</v>
      </c>
    </row>
    <row r="168" spans="1:5" x14ac:dyDescent="0.25">
      <c r="A168" s="63" t="s">
        <v>23</v>
      </c>
      <c r="B168" s="2">
        <v>0</v>
      </c>
      <c r="C168" s="2" t="s">
        <v>53</v>
      </c>
      <c r="D168" s="2">
        <v>1</v>
      </c>
      <c r="E168" s="62" t="s">
        <v>15</v>
      </c>
    </row>
    <row r="169" spans="1:5" x14ac:dyDescent="0.25">
      <c r="A169" s="63" t="s">
        <v>27</v>
      </c>
      <c r="B169" s="2">
        <v>2</v>
      </c>
      <c r="C169" s="2" t="s">
        <v>53</v>
      </c>
      <c r="D169" s="2">
        <v>1</v>
      </c>
      <c r="E169" s="62" t="s">
        <v>30</v>
      </c>
    </row>
    <row r="171" spans="1:5" x14ac:dyDescent="0.25">
      <c r="A171" s="63" t="s">
        <v>159</v>
      </c>
    </row>
    <row r="172" spans="1:5" x14ac:dyDescent="0.25">
      <c r="A172" s="63" t="s">
        <v>19</v>
      </c>
      <c r="B172" s="2">
        <v>1</v>
      </c>
      <c r="C172" s="2" t="s">
        <v>53</v>
      </c>
      <c r="D172" s="2">
        <v>2</v>
      </c>
      <c r="E172" s="62" t="s">
        <v>165</v>
      </c>
    </row>
    <row r="173" spans="1:5" x14ac:dyDescent="0.25">
      <c r="A173" s="63" t="s">
        <v>5</v>
      </c>
      <c r="B173" s="2">
        <v>1</v>
      </c>
      <c r="C173" s="2" t="s">
        <v>53</v>
      </c>
      <c r="D173" s="2">
        <v>0</v>
      </c>
      <c r="E173" s="62" t="s">
        <v>6</v>
      </c>
    </row>
    <row r="174" spans="1:5" x14ac:dyDescent="0.25">
      <c r="A174" s="63" t="s">
        <v>22</v>
      </c>
      <c r="B174" s="2">
        <v>2</v>
      </c>
      <c r="C174" s="2" t="s">
        <v>53</v>
      </c>
      <c r="D174" s="2">
        <v>1</v>
      </c>
      <c r="E174" s="62" t="s">
        <v>12</v>
      </c>
    </row>
    <row r="175" spans="1:5" x14ac:dyDescent="0.25">
      <c r="A175" s="63" t="s">
        <v>8</v>
      </c>
      <c r="B175" s="2">
        <v>1</v>
      </c>
      <c r="C175" s="2" t="s">
        <v>53</v>
      </c>
      <c r="D175" s="2">
        <v>0</v>
      </c>
      <c r="E175" s="62" t="s">
        <v>166</v>
      </c>
    </row>
    <row r="176" spans="1:5" x14ac:dyDescent="0.25">
      <c r="A176" s="63" t="s">
        <v>20</v>
      </c>
      <c r="B176" s="2">
        <v>0</v>
      </c>
      <c r="C176" s="2" t="s">
        <v>53</v>
      </c>
      <c r="D176" s="2">
        <v>1</v>
      </c>
      <c r="E176" s="62" t="s">
        <v>28</v>
      </c>
    </row>
    <row r="177" spans="1:5" x14ac:dyDescent="0.25">
      <c r="A177" s="63" t="s">
        <v>17</v>
      </c>
      <c r="B177" s="2">
        <v>2</v>
      </c>
      <c r="C177" s="2" t="s">
        <v>53</v>
      </c>
      <c r="D177" s="2">
        <v>0</v>
      </c>
      <c r="E177" s="62" t="s">
        <v>26</v>
      </c>
    </row>
    <row r="178" spans="1:5" x14ac:dyDescent="0.25">
      <c r="A178" s="63" t="s">
        <v>23</v>
      </c>
      <c r="B178" s="2">
        <v>0</v>
      </c>
      <c r="C178" s="2" t="s">
        <v>53</v>
      </c>
      <c r="D178" s="2">
        <v>2</v>
      </c>
      <c r="E178" s="62" t="s">
        <v>15</v>
      </c>
    </row>
    <row r="179" spans="1:5" x14ac:dyDescent="0.25">
      <c r="A179" s="63" t="s">
        <v>27</v>
      </c>
      <c r="B179" s="2">
        <v>1</v>
      </c>
      <c r="C179" s="2" t="s">
        <v>53</v>
      </c>
      <c r="D179" s="2">
        <v>1</v>
      </c>
      <c r="E179" s="62" t="s">
        <v>30</v>
      </c>
    </row>
    <row r="181" spans="1:5" x14ac:dyDescent="0.25">
      <c r="A181" s="63" t="s">
        <v>160</v>
      </c>
    </row>
    <row r="182" spans="1:5" x14ac:dyDescent="0.25">
      <c r="A182" s="63" t="s">
        <v>19</v>
      </c>
      <c r="B182" s="2">
        <v>3</v>
      </c>
      <c r="C182" s="2" t="s">
        <v>53</v>
      </c>
      <c r="D182" s="2">
        <v>0</v>
      </c>
      <c r="E182" s="62" t="s">
        <v>165</v>
      </c>
    </row>
    <row r="183" spans="1:5" x14ac:dyDescent="0.25">
      <c r="A183" s="63" t="s">
        <v>5</v>
      </c>
      <c r="B183" s="2">
        <v>2</v>
      </c>
      <c r="C183" s="2" t="s">
        <v>53</v>
      </c>
      <c r="D183" s="2">
        <v>1</v>
      </c>
      <c r="E183" s="62" t="s">
        <v>6</v>
      </c>
    </row>
    <row r="184" spans="1:5" x14ac:dyDescent="0.25">
      <c r="A184" s="63" t="s">
        <v>22</v>
      </c>
      <c r="B184" s="2">
        <v>3</v>
      </c>
      <c r="C184" s="2" t="s">
        <v>53</v>
      </c>
      <c r="D184" s="2">
        <v>2</v>
      </c>
      <c r="E184" s="62" t="s">
        <v>12</v>
      </c>
    </row>
    <row r="185" spans="1:5" x14ac:dyDescent="0.25">
      <c r="A185" s="63" t="s">
        <v>8</v>
      </c>
      <c r="B185" s="2">
        <v>3</v>
      </c>
      <c r="C185" s="2" t="s">
        <v>53</v>
      </c>
      <c r="D185" s="2">
        <v>0</v>
      </c>
      <c r="E185" s="62" t="s">
        <v>166</v>
      </c>
    </row>
    <row r="186" spans="1:5" x14ac:dyDescent="0.25">
      <c r="A186" s="63" t="s">
        <v>20</v>
      </c>
      <c r="B186" s="2">
        <v>2</v>
      </c>
      <c r="C186" s="2" t="s">
        <v>53</v>
      </c>
      <c r="D186" s="2">
        <v>1</v>
      </c>
      <c r="E186" s="62" t="s">
        <v>28</v>
      </c>
    </row>
    <row r="187" spans="1:5" x14ac:dyDescent="0.25">
      <c r="A187" s="63" t="s">
        <v>17</v>
      </c>
      <c r="B187" s="2">
        <v>1</v>
      </c>
      <c r="C187" s="2" t="s">
        <v>53</v>
      </c>
      <c r="D187" s="2">
        <v>0</v>
      </c>
      <c r="E187" s="62" t="s">
        <v>26</v>
      </c>
    </row>
    <row r="188" spans="1:5" x14ac:dyDescent="0.25">
      <c r="A188" s="63" t="s">
        <v>23</v>
      </c>
      <c r="B188" s="2">
        <v>1</v>
      </c>
      <c r="C188" s="2" t="s">
        <v>53</v>
      </c>
      <c r="D188" s="2">
        <v>4</v>
      </c>
      <c r="E188" s="62" t="s">
        <v>15</v>
      </c>
    </row>
    <row r="189" spans="1:5" x14ac:dyDescent="0.25">
      <c r="A189" s="63" t="s">
        <v>27</v>
      </c>
      <c r="B189" s="2">
        <v>3</v>
      </c>
      <c r="C189" s="2" t="s">
        <v>53</v>
      </c>
      <c r="D189" s="2">
        <v>2</v>
      </c>
      <c r="E189" s="62" t="s">
        <v>30</v>
      </c>
    </row>
    <row r="191" spans="1:5" x14ac:dyDescent="0.25">
      <c r="A191" s="63" t="s">
        <v>161</v>
      </c>
    </row>
    <row r="192" spans="1:5" x14ac:dyDescent="0.25">
      <c r="A192" s="63" t="s">
        <v>19</v>
      </c>
      <c r="B192" s="2">
        <v>2</v>
      </c>
      <c r="C192" s="2" t="s">
        <v>53</v>
      </c>
      <c r="D192" s="2">
        <v>1</v>
      </c>
      <c r="E192" s="62" t="s">
        <v>165</v>
      </c>
    </row>
    <row r="193" spans="1:5" x14ac:dyDescent="0.25">
      <c r="A193" s="63" t="s">
        <v>5</v>
      </c>
      <c r="B193" s="2">
        <v>2</v>
      </c>
      <c r="C193" s="2" t="s">
        <v>53</v>
      </c>
      <c r="D193" s="2">
        <v>0</v>
      </c>
      <c r="E193" s="62" t="s">
        <v>6</v>
      </c>
    </row>
    <row r="194" spans="1:5" x14ac:dyDescent="0.25">
      <c r="A194" s="63" t="s">
        <v>22</v>
      </c>
      <c r="B194" s="2">
        <v>1</v>
      </c>
      <c r="C194" s="2" t="s">
        <v>53</v>
      </c>
      <c r="D194" s="2">
        <v>0</v>
      </c>
      <c r="E194" s="62" t="s">
        <v>12</v>
      </c>
    </row>
    <row r="195" spans="1:5" x14ac:dyDescent="0.25">
      <c r="A195" s="63" t="s">
        <v>8</v>
      </c>
      <c r="B195" s="2">
        <v>2</v>
      </c>
      <c r="C195" s="2" t="s">
        <v>53</v>
      </c>
      <c r="D195" s="2">
        <v>0</v>
      </c>
      <c r="E195" s="62" t="s">
        <v>166</v>
      </c>
    </row>
    <row r="196" spans="1:5" x14ac:dyDescent="0.25">
      <c r="A196" s="63" t="s">
        <v>20</v>
      </c>
      <c r="B196" s="2">
        <v>2</v>
      </c>
      <c r="C196" s="2" t="s">
        <v>53</v>
      </c>
      <c r="D196" s="2">
        <v>1</v>
      </c>
      <c r="E196" s="62" t="s">
        <v>28</v>
      </c>
    </row>
    <row r="197" spans="1:5" x14ac:dyDescent="0.25">
      <c r="A197" s="63" t="s">
        <v>17</v>
      </c>
      <c r="B197" s="2">
        <v>2</v>
      </c>
      <c r="C197" s="2" t="s">
        <v>53</v>
      </c>
      <c r="D197" s="2">
        <v>0</v>
      </c>
      <c r="E197" s="62" t="s">
        <v>26</v>
      </c>
    </row>
    <row r="198" spans="1:5" x14ac:dyDescent="0.25">
      <c r="A198" s="63" t="s">
        <v>23</v>
      </c>
      <c r="B198" s="2">
        <v>0</v>
      </c>
      <c r="C198" s="2" t="s">
        <v>53</v>
      </c>
      <c r="D198" s="2">
        <v>2</v>
      </c>
      <c r="E198" s="62" t="s">
        <v>15</v>
      </c>
    </row>
    <row r="199" spans="1:5" x14ac:dyDescent="0.25">
      <c r="A199" s="63" t="s">
        <v>27</v>
      </c>
      <c r="B199" s="2">
        <v>2</v>
      </c>
      <c r="C199" s="2" t="s">
        <v>53</v>
      </c>
      <c r="D199" s="2">
        <v>1</v>
      </c>
      <c r="E199" s="62" t="s">
        <v>30</v>
      </c>
    </row>
    <row r="201" spans="1:5" x14ac:dyDescent="0.25">
      <c r="A201" s="63" t="s">
        <v>162</v>
      </c>
    </row>
    <row r="202" spans="1:5" x14ac:dyDescent="0.25">
      <c r="A202" s="63" t="s">
        <v>19</v>
      </c>
      <c r="B202" s="2">
        <v>1</v>
      </c>
      <c r="C202" s="2" t="s">
        <v>53</v>
      </c>
      <c r="D202" s="2">
        <v>0</v>
      </c>
      <c r="E202" s="62" t="s">
        <v>165</v>
      </c>
    </row>
    <row r="203" spans="1:5" x14ac:dyDescent="0.25">
      <c r="A203" s="63" t="s">
        <v>5</v>
      </c>
      <c r="B203" s="2">
        <v>2</v>
      </c>
      <c r="C203" s="2" t="s">
        <v>53</v>
      </c>
      <c r="D203" s="2">
        <v>1</v>
      </c>
      <c r="E203" s="62" t="s">
        <v>6</v>
      </c>
    </row>
    <row r="204" spans="1:5" x14ac:dyDescent="0.25">
      <c r="A204" s="63" t="s">
        <v>22</v>
      </c>
      <c r="B204" s="2">
        <v>2</v>
      </c>
      <c r="C204" s="2" t="s">
        <v>53</v>
      </c>
      <c r="D204" s="2">
        <v>1</v>
      </c>
      <c r="E204" s="62" t="s">
        <v>12</v>
      </c>
    </row>
    <row r="205" spans="1:5" x14ac:dyDescent="0.25">
      <c r="A205" s="63" t="s">
        <v>8</v>
      </c>
      <c r="B205" s="2">
        <v>2</v>
      </c>
      <c r="C205" s="2" t="s">
        <v>53</v>
      </c>
      <c r="D205" s="2">
        <v>1</v>
      </c>
      <c r="E205" s="62" t="s">
        <v>166</v>
      </c>
    </row>
    <row r="206" spans="1:5" x14ac:dyDescent="0.25">
      <c r="A206" s="63" t="s">
        <v>20</v>
      </c>
      <c r="B206" s="2">
        <v>1</v>
      </c>
      <c r="C206" s="2" t="s">
        <v>53</v>
      </c>
      <c r="D206" s="2">
        <v>1</v>
      </c>
      <c r="E206" s="62" t="s">
        <v>28</v>
      </c>
    </row>
    <row r="207" spans="1:5" x14ac:dyDescent="0.25">
      <c r="A207" s="63" t="s">
        <v>17</v>
      </c>
      <c r="B207" s="2">
        <v>1</v>
      </c>
      <c r="C207" s="2" t="s">
        <v>53</v>
      </c>
      <c r="D207" s="2">
        <v>1</v>
      </c>
      <c r="E207" s="62" t="s">
        <v>26</v>
      </c>
    </row>
    <row r="208" spans="1:5" x14ac:dyDescent="0.25">
      <c r="A208" s="63" t="s">
        <v>23</v>
      </c>
      <c r="B208" s="2">
        <v>1</v>
      </c>
      <c r="C208" s="2" t="s">
        <v>53</v>
      </c>
      <c r="D208" s="2">
        <v>1</v>
      </c>
      <c r="E208" s="62" t="s">
        <v>15</v>
      </c>
    </row>
    <row r="209" spans="1:5" x14ac:dyDescent="0.25">
      <c r="A209" s="63" t="s">
        <v>27</v>
      </c>
      <c r="B209" s="2">
        <v>2</v>
      </c>
      <c r="C209" s="2" t="s">
        <v>53</v>
      </c>
      <c r="D209" s="2">
        <v>1</v>
      </c>
      <c r="E209" s="62" t="s">
        <v>30</v>
      </c>
    </row>
    <row r="211" spans="1:5" x14ac:dyDescent="0.25">
      <c r="A211" s="63" t="s">
        <v>163</v>
      </c>
    </row>
    <row r="212" spans="1:5" x14ac:dyDescent="0.25">
      <c r="A212" s="63" t="s">
        <v>19</v>
      </c>
      <c r="B212" s="2">
        <v>1</v>
      </c>
      <c r="C212" s="2" t="s">
        <v>53</v>
      </c>
      <c r="D212" s="2">
        <v>2</v>
      </c>
      <c r="E212" s="62" t="s">
        <v>165</v>
      </c>
    </row>
    <row r="213" spans="1:5" x14ac:dyDescent="0.25">
      <c r="A213" s="63" t="s">
        <v>5</v>
      </c>
      <c r="B213" s="2">
        <v>2</v>
      </c>
      <c r="C213" s="2" t="s">
        <v>53</v>
      </c>
      <c r="D213" s="2">
        <v>1</v>
      </c>
      <c r="E213" s="62" t="s">
        <v>6</v>
      </c>
    </row>
    <row r="214" spans="1:5" x14ac:dyDescent="0.25">
      <c r="A214" s="63" t="s">
        <v>22</v>
      </c>
      <c r="B214" s="2">
        <v>1</v>
      </c>
      <c r="C214" s="2" t="s">
        <v>53</v>
      </c>
      <c r="D214" s="2">
        <v>0</v>
      </c>
      <c r="E214" s="62" t="s">
        <v>12</v>
      </c>
    </row>
    <row r="215" spans="1:5" x14ac:dyDescent="0.25">
      <c r="A215" s="63" t="s">
        <v>8</v>
      </c>
      <c r="B215" s="2">
        <v>2</v>
      </c>
      <c r="C215" s="2" t="s">
        <v>53</v>
      </c>
      <c r="D215" s="2">
        <v>1</v>
      </c>
      <c r="E215" s="62" t="s">
        <v>166</v>
      </c>
    </row>
    <row r="216" spans="1:5" x14ac:dyDescent="0.25">
      <c r="A216" s="63" t="s">
        <v>20</v>
      </c>
      <c r="B216" s="2">
        <v>0</v>
      </c>
      <c r="C216" s="2" t="s">
        <v>53</v>
      </c>
      <c r="D216" s="2">
        <v>1</v>
      </c>
      <c r="E216" s="62" t="s">
        <v>28</v>
      </c>
    </row>
    <row r="217" spans="1:5" x14ac:dyDescent="0.25">
      <c r="A217" s="63" t="s">
        <v>17</v>
      </c>
      <c r="B217" s="2">
        <v>2</v>
      </c>
      <c r="C217" s="2" t="s">
        <v>53</v>
      </c>
      <c r="D217" s="2">
        <v>0</v>
      </c>
      <c r="E217" s="62" t="s">
        <v>26</v>
      </c>
    </row>
    <row r="218" spans="1:5" x14ac:dyDescent="0.25">
      <c r="A218" s="63" t="s">
        <v>23</v>
      </c>
      <c r="B218" s="2">
        <v>1</v>
      </c>
      <c r="C218" s="2" t="s">
        <v>53</v>
      </c>
      <c r="D218" s="2">
        <v>0</v>
      </c>
      <c r="E218" s="62" t="s">
        <v>15</v>
      </c>
    </row>
    <row r="219" spans="1:5" x14ac:dyDescent="0.25">
      <c r="A219" s="63" t="s">
        <v>27</v>
      </c>
      <c r="B219" s="2">
        <v>1</v>
      </c>
      <c r="C219" s="2" t="s">
        <v>53</v>
      </c>
      <c r="D219" s="2">
        <v>0</v>
      </c>
      <c r="E219" s="62" t="s">
        <v>30</v>
      </c>
    </row>
    <row r="221" spans="1:5" x14ac:dyDescent="0.25">
      <c r="A221" s="63" t="s">
        <v>164</v>
      </c>
    </row>
    <row r="222" spans="1:5" x14ac:dyDescent="0.25">
      <c r="A222" s="63" t="s">
        <v>19</v>
      </c>
      <c r="B222" s="2">
        <v>1</v>
      </c>
      <c r="C222" s="2" t="s">
        <v>53</v>
      </c>
      <c r="D222" s="2">
        <v>0</v>
      </c>
      <c r="E222" s="62" t="s">
        <v>165</v>
      </c>
    </row>
    <row r="223" spans="1:5" x14ac:dyDescent="0.25">
      <c r="A223" s="63" t="s">
        <v>5</v>
      </c>
      <c r="B223" s="2">
        <v>2</v>
      </c>
      <c r="C223" s="2" t="s">
        <v>53</v>
      </c>
      <c r="D223" s="2">
        <v>1</v>
      </c>
      <c r="E223" s="62" t="s">
        <v>6</v>
      </c>
    </row>
    <row r="224" spans="1:5" x14ac:dyDescent="0.25">
      <c r="A224" s="63" t="s">
        <v>22</v>
      </c>
      <c r="B224" s="2">
        <v>1</v>
      </c>
      <c r="C224" s="2" t="s">
        <v>53</v>
      </c>
      <c r="D224" s="2">
        <v>2</v>
      </c>
      <c r="E224" s="62" t="s">
        <v>12</v>
      </c>
    </row>
    <row r="225" spans="1:5" x14ac:dyDescent="0.25">
      <c r="A225" s="63" t="s">
        <v>8</v>
      </c>
      <c r="B225" s="2">
        <v>2</v>
      </c>
      <c r="C225" s="2" t="s">
        <v>53</v>
      </c>
      <c r="D225" s="2">
        <v>1</v>
      </c>
      <c r="E225" s="62" t="s">
        <v>166</v>
      </c>
    </row>
    <row r="226" spans="1:5" x14ac:dyDescent="0.25">
      <c r="A226" s="63" t="s">
        <v>20</v>
      </c>
      <c r="B226" s="2">
        <v>1</v>
      </c>
      <c r="C226" s="2" t="s">
        <v>53</v>
      </c>
      <c r="D226" s="2">
        <v>1</v>
      </c>
      <c r="E226" s="62" t="s">
        <v>28</v>
      </c>
    </row>
    <row r="227" spans="1:5" x14ac:dyDescent="0.25">
      <c r="A227" s="63" t="s">
        <v>17</v>
      </c>
      <c r="B227" s="2">
        <v>2</v>
      </c>
      <c r="C227" s="2" t="s">
        <v>53</v>
      </c>
      <c r="D227" s="2">
        <v>0</v>
      </c>
      <c r="E227" s="62" t="s">
        <v>26</v>
      </c>
    </row>
    <row r="228" spans="1:5" x14ac:dyDescent="0.25">
      <c r="A228" s="63" t="s">
        <v>23</v>
      </c>
      <c r="B228" s="2">
        <v>1</v>
      </c>
      <c r="C228" s="2" t="s">
        <v>53</v>
      </c>
      <c r="D228" s="2">
        <v>2</v>
      </c>
      <c r="E228" s="62" t="s">
        <v>15</v>
      </c>
    </row>
    <row r="229" spans="1:5" x14ac:dyDescent="0.25">
      <c r="A229" s="63" t="s">
        <v>27</v>
      </c>
      <c r="B229" s="2">
        <v>0</v>
      </c>
      <c r="C229" s="2" t="s">
        <v>53</v>
      </c>
      <c r="D229" s="2">
        <v>1</v>
      </c>
      <c r="E229" s="62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55"/>
  <sheetViews>
    <sheetView showGridLines="0" topLeftCell="A31" zoomScale="80" zoomScaleNormal="80" workbookViewId="0">
      <selection activeCell="K41" sqref="K41"/>
    </sheetView>
  </sheetViews>
  <sheetFormatPr defaultColWidth="8.85546875" defaultRowHeight="15.75" x14ac:dyDescent="0.25"/>
  <cols>
    <col min="1" max="1" width="15.42578125" style="10" bestFit="1" customWidth="1"/>
    <col min="2" max="2" width="5.28515625" style="15" customWidth="1"/>
    <col min="3" max="3" width="5.28515625" style="4" customWidth="1"/>
    <col min="4" max="4" width="5.28515625" style="15" customWidth="1"/>
    <col min="5" max="5" width="15.42578125" style="70" bestFit="1" customWidth="1"/>
    <col min="6" max="6" width="1.7109375" style="23" customWidth="1"/>
    <col min="7" max="7" width="13.42578125" style="10" bestFit="1" customWidth="1"/>
    <col min="8" max="10" width="5.28515625" style="3" customWidth="1"/>
    <col min="11" max="11" width="13.42578125" style="70" bestFit="1" customWidth="1"/>
    <col min="12" max="12" width="1.85546875" style="23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34" t="s">
        <v>40</v>
      </c>
      <c r="B1" s="135"/>
      <c r="C1" s="135"/>
      <c r="D1" s="135"/>
      <c r="E1" s="135"/>
      <c r="F1" s="135"/>
      <c r="G1" s="135"/>
      <c r="H1" s="135"/>
      <c r="I1" s="135"/>
      <c r="J1" s="135"/>
      <c r="K1" s="136"/>
    </row>
    <row r="2" spans="1:24" ht="16.5" thickTop="1" x14ac:dyDescent="0.25">
      <c r="A2" s="139" t="s">
        <v>0</v>
      </c>
      <c r="B2" s="140"/>
      <c r="C2" s="140"/>
      <c r="D2" s="140"/>
      <c r="E2" s="140"/>
      <c r="F2" s="24"/>
      <c r="G2" s="140" t="s">
        <v>36</v>
      </c>
      <c r="H2" s="140"/>
      <c r="I2" s="140"/>
      <c r="J2" s="140"/>
      <c r="K2" s="141"/>
      <c r="O2" s="137" t="s">
        <v>35</v>
      </c>
      <c r="P2" s="138"/>
      <c r="R2" s="145" t="s">
        <v>44</v>
      </c>
      <c r="S2" s="146"/>
      <c r="T2" s="147"/>
      <c r="V2" s="142" t="s">
        <v>45</v>
      </c>
      <c r="W2" s="143"/>
      <c r="X2" s="144"/>
    </row>
    <row r="3" spans="1:24" ht="18" customHeight="1" x14ac:dyDescent="0.25">
      <c r="A3" s="68" t="s">
        <v>11</v>
      </c>
      <c r="B3" s="6">
        <v>0</v>
      </c>
      <c r="C3" s="6" t="s">
        <v>33</v>
      </c>
      <c r="D3" s="6">
        <v>2</v>
      </c>
      <c r="E3" s="66" t="s">
        <v>14</v>
      </c>
      <c r="F3" s="25"/>
      <c r="G3" s="12" t="s">
        <v>4</v>
      </c>
      <c r="H3" s="6">
        <v>1</v>
      </c>
      <c r="I3" s="6" t="s">
        <v>33</v>
      </c>
      <c r="J3" s="6">
        <v>2</v>
      </c>
      <c r="K3" s="71" t="s">
        <v>22</v>
      </c>
      <c r="O3" s="5" t="s">
        <v>4</v>
      </c>
      <c r="P3" s="9" t="s">
        <v>17</v>
      </c>
      <c r="R3" s="166">
        <v>50</v>
      </c>
      <c r="S3" s="167"/>
      <c r="T3" s="168"/>
      <c r="V3" s="154">
        <v>23</v>
      </c>
      <c r="W3" s="155"/>
      <c r="X3" s="156"/>
    </row>
    <row r="4" spans="1:24" ht="18" customHeight="1" x14ac:dyDescent="0.25">
      <c r="A4" s="68" t="s">
        <v>28</v>
      </c>
      <c r="B4" s="6">
        <v>0</v>
      </c>
      <c r="C4" s="6" t="s">
        <v>33</v>
      </c>
      <c r="D4" s="6">
        <v>2</v>
      </c>
      <c r="E4" s="66" t="s">
        <v>19</v>
      </c>
      <c r="F4" s="25"/>
      <c r="G4" s="12" t="s">
        <v>15</v>
      </c>
      <c r="H4" s="6">
        <v>7</v>
      </c>
      <c r="I4" s="6" t="s">
        <v>33</v>
      </c>
      <c r="J4" s="6">
        <v>0</v>
      </c>
      <c r="K4" s="71" t="s">
        <v>56</v>
      </c>
      <c r="O4" s="5" t="s">
        <v>55</v>
      </c>
      <c r="P4" s="9" t="s">
        <v>18</v>
      </c>
      <c r="R4" s="166"/>
      <c r="S4" s="167"/>
      <c r="T4" s="168"/>
      <c r="V4" s="154"/>
      <c r="W4" s="155"/>
      <c r="X4" s="156"/>
    </row>
    <row r="5" spans="1:24" ht="18" customHeight="1" x14ac:dyDescent="0.25">
      <c r="A5" s="68" t="s">
        <v>11</v>
      </c>
      <c r="B5" s="6">
        <v>1</v>
      </c>
      <c r="C5" s="6" t="s">
        <v>33</v>
      </c>
      <c r="D5" s="6">
        <v>3</v>
      </c>
      <c r="E5" s="66" t="s">
        <v>28</v>
      </c>
      <c r="F5" s="25"/>
      <c r="G5" s="12" t="s">
        <v>22</v>
      </c>
      <c r="H5" s="6">
        <v>0</v>
      </c>
      <c r="I5" s="6" t="s">
        <v>33</v>
      </c>
      <c r="J5" s="6">
        <v>1</v>
      </c>
      <c r="K5" s="71" t="s">
        <v>56</v>
      </c>
      <c r="O5" s="5" t="s">
        <v>5</v>
      </c>
      <c r="P5" s="9" t="s">
        <v>19</v>
      </c>
      <c r="R5" s="169"/>
      <c r="S5" s="170"/>
      <c r="T5" s="171"/>
      <c r="V5" s="157"/>
      <c r="W5" s="158"/>
      <c r="X5" s="159"/>
    </row>
    <row r="6" spans="1:24" x14ac:dyDescent="0.25">
      <c r="A6" s="68" t="s">
        <v>19</v>
      </c>
      <c r="B6" s="6">
        <v>1</v>
      </c>
      <c r="C6" s="6" t="s">
        <v>33</v>
      </c>
      <c r="D6" s="6">
        <v>1</v>
      </c>
      <c r="E6" s="66" t="s">
        <v>14</v>
      </c>
      <c r="F6" s="25"/>
      <c r="G6" s="12" t="s">
        <v>15</v>
      </c>
      <c r="H6" s="6">
        <v>1</v>
      </c>
      <c r="I6" s="6" t="s">
        <v>33</v>
      </c>
      <c r="J6" s="6">
        <v>1</v>
      </c>
      <c r="K6" s="71" t="s">
        <v>4</v>
      </c>
      <c r="O6" s="5" t="s">
        <v>6</v>
      </c>
      <c r="P6" s="9" t="s">
        <v>20</v>
      </c>
    </row>
    <row r="7" spans="1:24" x14ac:dyDescent="0.25">
      <c r="A7" s="68" t="s">
        <v>19</v>
      </c>
      <c r="B7" s="6">
        <v>2</v>
      </c>
      <c r="C7" s="6" t="s">
        <v>33</v>
      </c>
      <c r="D7" s="6">
        <v>0</v>
      </c>
      <c r="E7" s="66" t="s">
        <v>11</v>
      </c>
      <c r="F7" s="25"/>
      <c r="G7" s="12" t="s">
        <v>22</v>
      </c>
      <c r="H7" s="6">
        <v>2</v>
      </c>
      <c r="I7" s="6" t="s">
        <v>33</v>
      </c>
      <c r="J7" s="6">
        <v>1</v>
      </c>
      <c r="K7" s="71" t="s">
        <v>15</v>
      </c>
      <c r="O7" s="5" t="s">
        <v>7</v>
      </c>
      <c r="P7" s="9" t="s">
        <v>21</v>
      </c>
      <c r="R7" s="178" t="s">
        <v>48</v>
      </c>
      <c r="S7" s="179"/>
      <c r="T7" s="180"/>
      <c r="V7" s="142" t="s">
        <v>46</v>
      </c>
      <c r="W7" s="143"/>
      <c r="X7" s="144"/>
    </row>
    <row r="8" spans="1:24" x14ac:dyDescent="0.25">
      <c r="A8" s="68" t="s">
        <v>14</v>
      </c>
      <c r="B8" s="6">
        <v>1</v>
      </c>
      <c r="C8" s="6" t="s">
        <v>33</v>
      </c>
      <c r="D8" s="6">
        <v>2</v>
      </c>
      <c r="E8" s="66" t="s">
        <v>28</v>
      </c>
      <c r="F8" s="25"/>
      <c r="G8" s="12" t="s">
        <v>56</v>
      </c>
      <c r="H8" s="6">
        <v>2</v>
      </c>
      <c r="I8" s="6" t="s">
        <v>33</v>
      </c>
      <c r="J8" s="6">
        <v>4</v>
      </c>
      <c r="K8" s="71" t="s">
        <v>4</v>
      </c>
      <c r="O8" s="5" t="s">
        <v>8</v>
      </c>
      <c r="P8" s="9" t="s">
        <v>22</v>
      </c>
      <c r="R8" s="166">
        <f>V16*0.5</f>
        <v>90</v>
      </c>
      <c r="S8" s="167"/>
      <c r="T8" s="168"/>
      <c r="V8" s="160">
        <v>10</v>
      </c>
      <c r="W8" s="161"/>
      <c r="X8" s="162"/>
    </row>
    <row r="9" spans="1:24" x14ac:dyDescent="0.25">
      <c r="A9" s="139" t="s">
        <v>1</v>
      </c>
      <c r="B9" s="140"/>
      <c r="C9" s="140"/>
      <c r="D9" s="140"/>
      <c r="E9" s="140"/>
      <c r="F9" s="25"/>
      <c r="G9" s="140" t="s">
        <v>37</v>
      </c>
      <c r="H9" s="140"/>
      <c r="I9" s="140"/>
      <c r="J9" s="140"/>
      <c r="K9" s="141"/>
      <c r="O9" s="5" t="s">
        <v>9</v>
      </c>
      <c r="P9" s="9" t="s">
        <v>23</v>
      </c>
      <c r="R9" s="169"/>
      <c r="S9" s="170"/>
      <c r="T9" s="171"/>
      <c r="V9" s="163"/>
      <c r="W9" s="164"/>
      <c r="X9" s="165"/>
    </row>
    <row r="10" spans="1:24" x14ac:dyDescent="0.25">
      <c r="A10" s="68" t="s">
        <v>20</v>
      </c>
      <c r="B10" s="6">
        <v>6</v>
      </c>
      <c r="C10" s="6" t="s">
        <v>33</v>
      </c>
      <c r="D10" s="6">
        <v>2</v>
      </c>
      <c r="E10" s="66" t="s">
        <v>21</v>
      </c>
      <c r="F10" s="25"/>
      <c r="G10" s="12" t="s">
        <v>23</v>
      </c>
      <c r="H10" s="6">
        <v>0</v>
      </c>
      <c r="I10" s="6" t="s">
        <v>33</v>
      </c>
      <c r="J10" s="6">
        <v>0</v>
      </c>
      <c r="K10" s="71" t="s">
        <v>12</v>
      </c>
      <c r="O10" s="5" t="s">
        <v>10</v>
      </c>
      <c r="P10" s="9" t="s">
        <v>24</v>
      </c>
    </row>
    <row r="11" spans="1:24" x14ac:dyDescent="0.25">
      <c r="A11" s="68" t="s">
        <v>16</v>
      </c>
      <c r="B11" s="6">
        <v>1</v>
      </c>
      <c r="C11" s="6" t="s">
        <v>33</v>
      </c>
      <c r="D11" s="6">
        <v>1</v>
      </c>
      <c r="E11" s="66" t="s">
        <v>34</v>
      </c>
      <c r="F11" s="25"/>
      <c r="G11" s="12" t="s">
        <v>7</v>
      </c>
      <c r="H11" s="6">
        <v>1</v>
      </c>
      <c r="I11" s="6" t="s">
        <v>33</v>
      </c>
      <c r="J11" s="6">
        <v>0</v>
      </c>
      <c r="K11" s="71" t="s">
        <v>10</v>
      </c>
      <c r="O11" s="5" t="s">
        <v>11</v>
      </c>
      <c r="P11" s="9" t="s">
        <v>25</v>
      </c>
      <c r="R11" s="175" t="s">
        <v>49</v>
      </c>
      <c r="S11" s="176"/>
      <c r="T11" s="177"/>
      <c r="V11" s="142" t="s">
        <v>47</v>
      </c>
      <c r="W11" s="143"/>
      <c r="X11" s="144"/>
    </row>
    <row r="12" spans="1:24" ht="15.75" customHeight="1" x14ac:dyDescent="0.25">
      <c r="A12" s="68" t="s">
        <v>34</v>
      </c>
      <c r="B12" s="6">
        <v>0</v>
      </c>
      <c r="C12" s="6" t="s">
        <v>33</v>
      </c>
      <c r="D12" s="6">
        <v>2</v>
      </c>
      <c r="E12" s="66" t="s">
        <v>21</v>
      </c>
      <c r="F12" s="25"/>
      <c r="G12" s="12" t="s">
        <v>7</v>
      </c>
      <c r="H12" s="6">
        <v>0</v>
      </c>
      <c r="I12" s="6" t="s">
        <v>33</v>
      </c>
      <c r="J12" s="6">
        <v>2</v>
      </c>
      <c r="K12" s="71" t="s">
        <v>23</v>
      </c>
      <c r="O12" s="5" t="s">
        <v>67</v>
      </c>
      <c r="P12" s="9" t="s">
        <v>26</v>
      </c>
      <c r="R12" s="166">
        <f>V16*0.3</f>
        <v>54</v>
      </c>
      <c r="S12" s="167"/>
      <c r="T12" s="168"/>
      <c r="V12" s="148">
        <f>V3*V8</f>
        <v>230</v>
      </c>
      <c r="W12" s="149"/>
      <c r="X12" s="150"/>
    </row>
    <row r="13" spans="1:24" ht="15.75" customHeight="1" x14ac:dyDescent="0.25">
      <c r="A13" s="68" t="s">
        <v>20</v>
      </c>
      <c r="B13" s="6">
        <v>0</v>
      </c>
      <c r="C13" s="6" t="s">
        <v>33</v>
      </c>
      <c r="D13" s="6">
        <v>0</v>
      </c>
      <c r="E13" s="66" t="s">
        <v>16</v>
      </c>
      <c r="F13" s="25"/>
      <c r="G13" s="12" t="s">
        <v>12</v>
      </c>
      <c r="H13" s="6">
        <v>4</v>
      </c>
      <c r="I13" s="6" t="s">
        <v>33</v>
      </c>
      <c r="J13" s="6">
        <v>1</v>
      </c>
      <c r="K13" s="71" t="s">
        <v>10</v>
      </c>
      <c r="O13" s="5" t="s">
        <v>56</v>
      </c>
      <c r="P13" s="9" t="s">
        <v>27</v>
      </c>
      <c r="R13" s="169"/>
      <c r="S13" s="170"/>
      <c r="T13" s="171"/>
      <c r="V13" s="151"/>
      <c r="W13" s="152"/>
      <c r="X13" s="153"/>
    </row>
    <row r="14" spans="1:24" ht="15.75" customHeight="1" x14ac:dyDescent="0.25">
      <c r="A14" s="68" t="s">
        <v>21</v>
      </c>
      <c r="B14" s="6">
        <v>0</v>
      </c>
      <c r="C14" s="6" t="s">
        <v>33</v>
      </c>
      <c r="D14" s="6">
        <v>1</v>
      </c>
      <c r="E14" s="66" t="s">
        <v>16</v>
      </c>
      <c r="F14" s="25"/>
      <c r="G14" s="12" t="s">
        <v>12</v>
      </c>
      <c r="H14" s="6">
        <v>0</v>
      </c>
      <c r="I14" s="6" t="s">
        <v>33</v>
      </c>
      <c r="J14" s="6">
        <v>0</v>
      </c>
      <c r="K14" s="71" t="s">
        <v>7</v>
      </c>
      <c r="O14" s="5" t="s">
        <v>12</v>
      </c>
      <c r="P14" s="9" t="s">
        <v>28</v>
      </c>
      <c r="V14" s="14"/>
      <c r="W14" s="14"/>
      <c r="X14" s="14"/>
    </row>
    <row r="15" spans="1:24" x14ac:dyDescent="0.25">
      <c r="A15" s="68" t="s">
        <v>34</v>
      </c>
      <c r="B15" s="6">
        <v>0</v>
      </c>
      <c r="C15" s="6" t="s">
        <v>33</v>
      </c>
      <c r="D15" s="6">
        <v>3</v>
      </c>
      <c r="E15" s="66" t="s">
        <v>20</v>
      </c>
      <c r="F15" s="25"/>
      <c r="G15" s="12" t="s">
        <v>10</v>
      </c>
      <c r="H15" s="6">
        <v>1</v>
      </c>
      <c r="I15" s="6" t="s">
        <v>33</v>
      </c>
      <c r="J15" s="6">
        <v>2</v>
      </c>
      <c r="K15" s="71" t="s">
        <v>23</v>
      </c>
      <c r="O15" s="5" t="s">
        <v>13</v>
      </c>
      <c r="P15" s="9" t="s">
        <v>29</v>
      </c>
      <c r="R15" s="172" t="s">
        <v>50</v>
      </c>
      <c r="S15" s="173"/>
      <c r="T15" s="174"/>
      <c r="V15" s="142" t="s">
        <v>51</v>
      </c>
      <c r="W15" s="143"/>
      <c r="X15" s="144"/>
    </row>
    <row r="16" spans="1:24" ht="21" customHeight="1" x14ac:dyDescent="0.25">
      <c r="A16" s="139" t="s">
        <v>2</v>
      </c>
      <c r="B16" s="140"/>
      <c r="C16" s="140"/>
      <c r="D16" s="140"/>
      <c r="E16" s="140"/>
      <c r="F16" s="25"/>
      <c r="G16" s="140" t="s">
        <v>38</v>
      </c>
      <c r="H16" s="140"/>
      <c r="I16" s="140"/>
      <c r="J16" s="140"/>
      <c r="K16" s="141"/>
      <c r="O16" s="5" t="s">
        <v>14</v>
      </c>
      <c r="P16" s="9" t="s">
        <v>30</v>
      </c>
      <c r="R16" s="166">
        <f>V16*0.2</f>
        <v>36</v>
      </c>
      <c r="S16" s="167"/>
      <c r="T16" s="168"/>
      <c r="V16" s="148">
        <f>V12-R3</f>
        <v>180</v>
      </c>
      <c r="W16" s="149"/>
      <c r="X16" s="150"/>
    </row>
    <row r="17" spans="1:24" ht="21" customHeight="1" x14ac:dyDescent="0.25">
      <c r="A17" s="68" t="s">
        <v>5</v>
      </c>
      <c r="B17" s="6">
        <v>1</v>
      </c>
      <c r="C17" s="6" t="s">
        <v>33</v>
      </c>
      <c r="D17" s="6">
        <v>2</v>
      </c>
      <c r="E17" s="66" t="s">
        <v>55</v>
      </c>
      <c r="F17" s="25"/>
      <c r="G17" s="12" t="s">
        <v>30</v>
      </c>
      <c r="H17" s="6">
        <v>1</v>
      </c>
      <c r="I17" s="6" t="s">
        <v>33</v>
      </c>
      <c r="J17" s="6">
        <v>0</v>
      </c>
      <c r="K17" s="71" t="s">
        <v>9</v>
      </c>
      <c r="O17" s="5" t="s">
        <v>15</v>
      </c>
      <c r="P17" s="9" t="s">
        <v>31</v>
      </c>
      <c r="R17" s="169"/>
      <c r="S17" s="170"/>
      <c r="T17" s="171"/>
      <c r="V17" s="151"/>
      <c r="W17" s="152"/>
      <c r="X17" s="153"/>
    </row>
    <row r="18" spans="1:24" ht="16.5" thickBot="1" x14ac:dyDescent="0.3">
      <c r="A18" s="68" t="s">
        <v>24</v>
      </c>
      <c r="B18" s="6">
        <v>0</v>
      </c>
      <c r="C18" s="6" t="s">
        <v>33</v>
      </c>
      <c r="D18" s="6">
        <v>0</v>
      </c>
      <c r="E18" s="66" t="s">
        <v>26</v>
      </c>
      <c r="F18" s="25"/>
      <c r="G18" s="12" t="s">
        <v>8</v>
      </c>
      <c r="H18" s="6">
        <v>2</v>
      </c>
      <c r="I18" s="6" t="s">
        <v>33</v>
      </c>
      <c r="J18" s="6">
        <v>0</v>
      </c>
      <c r="K18" s="71" t="s">
        <v>29</v>
      </c>
      <c r="O18" s="7" t="s">
        <v>16</v>
      </c>
      <c r="P18" s="11" t="s">
        <v>32</v>
      </c>
    </row>
    <row r="19" spans="1:24" ht="16.5" thickTop="1" x14ac:dyDescent="0.25">
      <c r="A19" s="68" t="s">
        <v>26</v>
      </c>
      <c r="B19" s="6">
        <v>2</v>
      </c>
      <c r="C19" s="6" t="s">
        <v>33</v>
      </c>
      <c r="D19" s="6">
        <v>0</v>
      </c>
      <c r="E19" s="66" t="s">
        <v>55</v>
      </c>
      <c r="F19" s="25"/>
      <c r="G19" s="12" t="s">
        <v>9</v>
      </c>
      <c r="H19" s="6">
        <v>3</v>
      </c>
      <c r="I19" s="6" t="s">
        <v>33</v>
      </c>
      <c r="J19" s="6">
        <v>3</v>
      </c>
      <c r="K19" s="71" t="s">
        <v>29</v>
      </c>
    </row>
    <row r="20" spans="1:24" ht="18.75" x14ac:dyDescent="0.25">
      <c r="A20" s="68" t="s">
        <v>5</v>
      </c>
      <c r="B20" s="6">
        <v>2</v>
      </c>
      <c r="C20" s="6" t="s">
        <v>33</v>
      </c>
      <c r="D20" s="6">
        <v>0</v>
      </c>
      <c r="E20" s="66" t="s">
        <v>24</v>
      </c>
      <c r="F20" s="25"/>
      <c r="G20" s="12" t="s">
        <v>8</v>
      </c>
      <c r="H20" s="6">
        <v>1</v>
      </c>
      <c r="I20" s="6" t="s">
        <v>33</v>
      </c>
      <c r="J20" s="6">
        <v>0</v>
      </c>
      <c r="K20" s="71" t="s">
        <v>30</v>
      </c>
      <c r="O20" s="187" t="s">
        <v>124</v>
      </c>
      <c r="P20" s="187"/>
      <c r="Q20" s="187"/>
      <c r="R20" s="186"/>
      <c r="S20" s="186"/>
      <c r="T20" s="186"/>
    </row>
    <row r="21" spans="1:24" ht="18.75" x14ac:dyDescent="0.25">
      <c r="A21" s="68" t="s">
        <v>26</v>
      </c>
      <c r="B21" s="6">
        <v>0</v>
      </c>
      <c r="C21" s="6" t="s">
        <v>33</v>
      </c>
      <c r="D21" s="6">
        <v>2</v>
      </c>
      <c r="E21" s="66" t="s">
        <v>5</v>
      </c>
      <c r="F21" s="25"/>
      <c r="G21" s="12" t="s">
        <v>9</v>
      </c>
      <c r="H21" s="6">
        <v>1</v>
      </c>
      <c r="I21" s="6" t="s">
        <v>33</v>
      </c>
      <c r="J21" s="6">
        <v>0</v>
      </c>
      <c r="K21" s="71" t="s">
        <v>8</v>
      </c>
      <c r="O21" s="187" t="s">
        <v>125</v>
      </c>
      <c r="P21" s="187"/>
      <c r="Q21" s="187"/>
      <c r="R21" s="188"/>
      <c r="S21" s="188"/>
      <c r="T21" s="188"/>
    </row>
    <row r="22" spans="1:24" x14ac:dyDescent="0.25">
      <c r="A22" s="68" t="s">
        <v>55</v>
      </c>
      <c r="B22" s="6">
        <v>1</v>
      </c>
      <c r="C22" s="6" t="s">
        <v>33</v>
      </c>
      <c r="D22" s="6">
        <v>2</v>
      </c>
      <c r="E22" s="66" t="s">
        <v>24</v>
      </c>
      <c r="F22" s="25"/>
      <c r="G22" s="12" t="s">
        <v>29</v>
      </c>
      <c r="H22" s="6">
        <v>2</v>
      </c>
      <c r="I22" s="6" t="s">
        <v>33</v>
      </c>
      <c r="J22" s="6">
        <v>3</v>
      </c>
      <c r="K22" s="71" t="s">
        <v>30</v>
      </c>
    </row>
    <row r="23" spans="1:24" x14ac:dyDescent="0.25">
      <c r="A23" s="139" t="s">
        <v>3</v>
      </c>
      <c r="B23" s="140"/>
      <c r="C23" s="140"/>
      <c r="D23" s="140"/>
      <c r="E23" s="140"/>
      <c r="F23" s="25"/>
      <c r="G23" s="140" t="s">
        <v>39</v>
      </c>
      <c r="H23" s="140"/>
      <c r="I23" s="140"/>
      <c r="J23" s="140"/>
      <c r="K23" s="141"/>
    </row>
    <row r="24" spans="1:24" x14ac:dyDescent="0.25">
      <c r="A24" s="68" t="s">
        <v>13</v>
      </c>
      <c r="B24" s="6">
        <v>0</v>
      </c>
      <c r="C24" s="6" t="s">
        <v>33</v>
      </c>
      <c r="D24" s="6">
        <v>0</v>
      </c>
      <c r="E24" s="66" t="s">
        <v>31</v>
      </c>
      <c r="F24" s="25"/>
      <c r="G24" s="12" t="s">
        <v>32</v>
      </c>
      <c r="H24" s="6">
        <v>0</v>
      </c>
      <c r="I24" s="6" t="s">
        <v>33</v>
      </c>
      <c r="J24" s="6">
        <v>0</v>
      </c>
      <c r="K24" s="71" t="s">
        <v>67</v>
      </c>
    </row>
    <row r="25" spans="1:24" x14ac:dyDescent="0.25">
      <c r="A25" s="68" t="s">
        <v>17</v>
      </c>
      <c r="B25" s="6">
        <v>4</v>
      </c>
      <c r="C25" s="6" t="s">
        <v>33</v>
      </c>
      <c r="D25" s="6">
        <v>1</v>
      </c>
      <c r="E25" s="66" t="s">
        <v>6</v>
      </c>
      <c r="F25" s="25"/>
      <c r="G25" s="12" t="s">
        <v>27</v>
      </c>
      <c r="H25" s="6">
        <v>3</v>
      </c>
      <c r="I25" s="6" t="s">
        <v>33</v>
      </c>
      <c r="J25" s="6">
        <v>2</v>
      </c>
      <c r="K25" s="71" t="s">
        <v>18</v>
      </c>
    </row>
    <row r="26" spans="1:24" x14ac:dyDescent="0.25">
      <c r="A26" s="68" t="s">
        <v>31</v>
      </c>
      <c r="B26" s="6">
        <v>0</v>
      </c>
      <c r="C26" s="6" t="s">
        <v>33</v>
      </c>
      <c r="D26" s="6">
        <v>1</v>
      </c>
      <c r="E26" s="66" t="s">
        <v>6</v>
      </c>
      <c r="F26" s="25"/>
      <c r="G26" s="12" t="s">
        <v>67</v>
      </c>
      <c r="H26" s="6">
        <v>2</v>
      </c>
      <c r="I26" s="6" t="s">
        <v>33</v>
      </c>
      <c r="J26" s="6">
        <v>3</v>
      </c>
      <c r="K26" s="71" t="s">
        <v>18</v>
      </c>
    </row>
    <row r="27" spans="1:24" x14ac:dyDescent="0.25">
      <c r="A27" s="68" t="s">
        <v>17</v>
      </c>
      <c r="B27" s="6">
        <v>2</v>
      </c>
      <c r="C27" s="6" t="s">
        <v>33</v>
      </c>
      <c r="D27" s="6">
        <v>1</v>
      </c>
      <c r="E27" s="66" t="s">
        <v>13</v>
      </c>
      <c r="F27" s="25"/>
      <c r="G27" s="12" t="s">
        <v>27</v>
      </c>
      <c r="H27" s="6">
        <v>2</v>
      </c>
      <c r="I27" s="6" t="s">
        <v>33</v>
      </c>
      <c r="J27" s="6">
        <v>0</v>
      </c>
      <c r="K27" s="71" t="s">
        <v>32</v>
      </c>
    </row>
    <row r="28" spans="1:24" x14ac:dyDescent="0.25">
      <c r="A28" s="68" t="s">
        <v>31</v>
      </c>
      <c r="B28" s="6">
        <v>1</v>
      </c>
      <c r="C28" s="6" t="s">
        <v>33</v>
      </c>
      <c r="D28" s="6">
        <v>0</v>
      </c>
      <c r="E28" s="66" t="s">
        <v>17</v>
      </c>
      <c r="F28" s="25"/>
      <c r="G28" s="12" t="s">
        <v>67</v>
      </c>
      <c r="H28" s="6">
        <v>2</v>
      </c>
      <c r="I28" s="6" t="s">
        <v>33</v>
      </c>
      <c r="J28" s="6">
        <v>1</v>
      </c>
      <c r="K28" s="71" t="s">
        <v>27</v>
      </c>
    </row>
    <row r="29" spans="1:24" ht="16.5" thickBot="1" x14ac:dyDescent="0.3">
      <c r="A29" s="69" t="s">
        <v>6</v>
      </c>
      <c r="B29" s="8">
        <v>1</v>
      </c>
      <c r="C29" s="8" t="s">
        <v>33</v>
      </c>
      <c r="D29" s="8">
        <v>0</v>
      </c>
      <c r="E29" s="67" t="s">
        <v>13</v>
      </c>
      <c r="F29" s="26"/>
      <c r="G29" s="13" t="s">
        <v>18</v>
      </c>
      <c r="H29" s="8">
        <v>0</v>
      </c>
      <c r="I29" s="8" t="s">
        <v>33</v>
      </c>
      <c r="J29" s="8">
        <v>2</v>
      </c>
      <c r="K29" s="72" t="s">
        <v>32</v>
      </c>
    </row>
    <row r="30" spans="1:24" ht="17.25" thickTop="1" thickBot="1" x14ac:dyDescent="0.3"/>
    <row r="31" spans="1:24" ht="16.5" thickTop="1" x14ac:dyDescent="0.25">
      <c r="A31" s="181" t="s">
        <v>53</v>
      </c>
      <c r="B31" s="182"/>
      <c r="C31" s="182"/>
      <c r="D31" s="182"/>
      <c r="E31" s="183"/>
      <c r="G31" s="139" t="s">
        <v>174</v>
      </c>
      <c r="H31" s="140"/>
      <c r="I31" s="140"/>
      <c r="J31" s="140"/>
      <c r="K31" s="140"/>
    </row>
    <row r="32" spans="1:24" x14ac:dyDescent="0.25">
      <c r="A32" s="68" t="s">
        <v>19</v>
      </c>
      <c r="B32" s="6">
        <v>3</v>
      </c>
      <c r="C32" s="6" t="s">
        <v>53</v>
      </c>
      <c r="D32" s="6">
        <v>1</v>
      </c>
      <c r="E32" s="71" t="s">
        <v>165</v>
      </c>
      <c r="G32" s="189" t="s">
        <v>5</v>
      </c>
      <c r="H32" s="190"/>
      <c r="I32" s="190"/>
      <c r="J32" s="190"/>
      <c r="K32" s="191"/>
    </row>
    <row r="33" spans="1:11" x14ac:dyDescent="0.25">
      <c r="A33" s="68" t="s">
        <v>5</v>
      </c>
      <c r="B33" s="6">
        <v>2</v>
      </c>
      <c r="C33" s="6" t="s">
        <v>53</v>
      </c>
      <c r="D33" s="6">
        <v>1</v>
      </c>
      <c r="E33" s="71" t="s">
        <v>6</v>
      </c>
    </row>
    <row r="34" spans="1:11" x14ac:dyDescent="0.25">
      <c r="A34" s="68" t="s">
        <v>22</v>
      </c>
      <c r="B34" s="6">
        <v>1</v>
      </c>
      <c r="C34" s="6" t="s">
        <v>53</v>
      </c>
      <c r="D34" s="6">
        <v>1</v>
      </c>
      <c r="E34" s="71" t="s">
        <v>12</v>
      </c>
      <c r="G34" s="192" t="s">
        <v>125</v>
      </c>
      <c r="H34" s="193"/>
      <c r="I34" s="193"/>
      <c r="J34" s="193"/>
      <c r="K34" s="193"/>
    </row>
    <row r="35" spans="1:11" x14ac:dyDescent="0.25">
      <c r="A35" s="68" t="s">
        <v>8</v>
      </c>
      <c r="B35" s="6">
        <v>4</v>
      </c>
      <c r="C35" s="6" t="s">
        <v>53</v>
      </c>
      <c r="D35" s="6">
        <v>1</v>
      </c>
      <c r="E35" s="71" t="s">
        <v>166</v>
      </c>
      <c r="G35" s="133" t="s">
        <v>127</v>
      </c>
      <c r="H35" s="133"/>
      <c r="I35" s="133"/>
      <c r="J35" s="133"/>
      <c r="K35" s="133"/>
    </row>
    <row r="36" spans="1:11" x14ac:dyDescent="0.25">
      <c r="A36" s="68" t="s">
        <v>20</v>
      </c>
      <c r="B36" s="6">
        <v>3</v>
      </c>
      <c r="C36" s="6" t="s">
        <v>53</v>
      </c>
      <c r="D36" s="6">
        <v>0</v>
      </c>
      <c r="E36" s="71" t="s">
        <v>28</v>
      </c>
    </row>
    <row r="37" spans="1:11" x14ac:dyDescent="0.25">
      <c r="A37" s="68" t="s">
        <v>17</v>
      </c>
      <c r="B37" s="6">
        <v>3</v>
      </c>
      <c r="C37" s="6" t="s">
        <v>53</v>
      </c>
      <c r="D37" s="6">
        <v>1</v>
      </c>
      <c r="E37" s="71" t="s">
        <v>26</v>
      </c>
    </row>
    <row r="38" spans="1:11" x14ac:dyDescent="0.25">
      <c r="A38" s="68" t="s">
        <v>23</v>
      </c>
      <c r="B38" s="6">
        <v>0</v>
      </c>
      <c r="C38" s="6" t="s">
        <v>53</v>
      </c>
      <c r="D38" s="6">
        <v>0</v>
      </c>
      <c r="E38" s="71" t="s">
        <v>15</v>
      </c>
    </row>
    <row r="39" spans="1:11" ht="16.5" thickBot="1" x14ac:dyDescent="0.3">
      <c r="A39" s="69" t="s">
        <v>27</v>
      </c>
      <c r="B39" s="8">
        <v>6</v>
      </c>
      <c r="C39" s="8" t="s">
        <v>53</v>
      </c>
      <c r="D39" s="8">
        <v>1</v>
      </c>
      <c r="E39" s="72" t="s">
        <v>30</v>
      </c>
    </row>
    <row r="40" spans="1:11" ht="17.25" thickTop="1" thickBot="1" x14ac:dyDescent="0.3"/>
    <row r="41" spans="1:11" ht="16.5" thickTop="1" x14ac:dyDescent="0.25">
      <c r="A41" s="181" t="s">
        <v>138</v>
      </c>
      <c r="B41" s="182"/>
      <c r="C41" s="182"/>
      <c r="D41" s="182"/>
      <c r="E41" s="183"/>
    </row>
    <row r="42" spans="1:11" x14ac:dyDescent="0.25">
      <c r="A42" s="68" t="s">
        <v>19</v>
      </c>
      <c r="B42" s="6">
        <v>2</v>
      </c>
      <c r="C42" s="6" t="s">
        <v>53</v>
      </c>
      <c r="D42" s="6">
        <v>2</v>
      </c>
      <c r="E42" s="71" t="s">
        <v>5</v>
      </c>
    </row>
    <row r="43" spans="1:11" x14ac:dyDescent="0.25">
      <c r="A43" s="68" t="s">
        <v>12</v>
      </c>
      <c r="B43" s="6">
        <v>1</v>
      </c>
      <c r="C43" s="6" t="s">
        <v>53</v>
      </c>
      <c r="D43" s="6">
        <v>1</v>
      </c>
      <c r="E43" s="71" t="s">
        <v>8</v>
      </c>
    </row>
    <row r="44" spans="1:11" x14ac:dyDescent="0.25">
      <c r="A44" s="68" t="s">
        <v>20</v>
      </c>
      <c r="B44" s="6">
        <v>1</v>
      </c>
      <c r="C44" s="6" t="s">
        <v>53</v>
      </c>
      <c r="D44" s="6">
        <v>2</v>
      </c>
      <c r="E44" s="71" t="s">
        <v>17</v>
      </c>
    </row>
    <row r="45" spans="1:11" ht="16.5" thickBot="1" x14ac:dyDescent="0.3">
      <c r="A45" s="69" t="s">
        <v>23</v>
      </c>
      <c r="B45" s="8">
        <v>1</v>
      </c>
      <c r="C45" s="8" t="s">
        <v>53</v>
      </c>
      <c r="D45" s="8">
        <v>0</v>
      </c>
      <c r="E45" s="72" t="s">
        <v>27</v>
      </c>
    </row>
    <row r="46" spans="1:11" ht="16.5" thickTop="1" x14ac:dyDescent="0.25"/>
    <row r="47" spans="1:11" x14ac:dyDescent="0.25">
      <c r="A47" s="139" t="s">
        <v>139</v>
      </c>
      <c r="B47" s="140"/>
      <c r="C47" s="140"/>
      <c r="D47" s="140"/>
      <c r="E47" s="140"/>
    </row>
    <row r="48" spans="1:11" x14ac:dyDescent="0.25">
      <c r="A48" s="68" t="s">
        <v>5</v>
      </c>
      <c r="B48" s="6">
        <v>3</v>
      </c>
      <c r="C48" s="6" t="s">
        <v>53</v>
      </c>
      <c r="D48" s="6">
        <v>0</v>
      </c>
      <c r="E48" s="66" t="s">
        <v>12</v>
      </c>
    </row>
    <row r="49" spans="1:5" x14ac:dyDescent="0.25">
      <c r="A49" s="68" t="s">
        <v>17</v>
      </c>
      <c r="B49" s="6">
        <v>2</v>
      </c>
      <c r="C49" s="6" t="s">
        <v>53</v>
      </c>
      <c r="D49" s="6">
        <v>0</v>
      </c>
      <c r="E49" s="66" t="s">
        <v>23</v>
      </c>
    </row>
    <row r="51" spans="1:5" x14ac:dyDescent="0.25">
      <c r="A51" s="139" t="s">
        <v>140</v>
      </c>
      <c r="B51" s="140"/>
      <c r="C51" s="140"/>
      <c r="D51" s="140"/>
      <c r="E51" s="140"/>
    </row>
    <row r="52" spans="1:5" x14ac:dyDescent="0.25">
      <c r="A52" s="68" t="s">
        <v>12</v>
      </c>
      <c r="B52" s="6">
        <v>2</v>
      </c>
      <c r="C52" s="6" t="s">
        <v>53</v>
      </c>
      <c r="D52" s="6">
        <v>1</v>
      </c>
      <c r="E52" s="66" t="s">
        <v>23</v>
      </c>
    </row>
    <row r="53" spans="1:5" x14ac:dyDescent="0.25">
      <c r="B53" s="3"/>
      <c r="C53" s="3"/>
      <c r="D53" s="3"/>
    </row>
    <row r="54" spans="1:5" x14ac:dyDescent="0.25">
      <c r="A54" s="184" t="s">
        <v>141</v>
      </c>
      <c r="B54" s="185"/>
      <c r="C54" s="185"/>
      <c r="D54" s="185"/>
      <c r="E54" s="185"/>
    </row>
    <row r="55" spans="1:5" x14ac:dyDescent="0.25">
      <c r="A55" s="68" t="s">
        <v>5</v>
      </c>
      <c r="B55" s="6">
        <v>3</v>
      </c>
      <c r="C55" s="6" t="s">
        <v>53</v>
      </c>
      <c r="D55" s="6">
        <v>3</v>
      </c>
      <c r="E55" s="66" t="s">
        <v>17</v>
      </c>
    </row>
  </sheetData>
  <mergeCells count="39">
    <mergeCell ref="A41:E41"/>
    <mergeCell ref="A47:E47"/>
    <mergeCell ref="A51:E51"/>
    <mergeCell ref="A54:E54"/>
    <mergeCell ref="V16:X17"/>
    <mergeCell ref="R20:T20"/>
    <mergeCell ref="O21:Q21"/>
    <mergeCell ref="R21:T21"/>
    <mergeCell ref="G23:K23"/>
    <mergeCell ref="A23:E23"/>
    <mergeCell ref="O20:Q20"/>
    <mergeCell ref="R16:T17"/>
    <mergeCell ref="G31:K31"/>
    <mergeCell ref="G32:K32"/>
    <mergeCell ref="A31:E31"/>
    <mergeCell ref="G34:K34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V2:X2"/>
    <mergeCell ref="V7:X7"/>
    <mergeCell ref="R2:T2"/>
    <mergeCell ref="V12:X13"/>
    <mergeCell ref="V3:X5"/>
    <mergeCell ref="A1:K1"/>
    <mergeCell ref="O2:P2"/>
    <mergeCell ref="A2:E2"/>
    <mergeCell ref="A9:E9"/>
    <mergeCell ref="A16:E16"/>
    <mergeCell ref="G2:K2"/>
    <mergeCell ref="G9:K9"/>
    <mergeCell ref="G16:K16"/>
    <mergeCell ref="G35:K35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7"/>
  <sheetViews>
    <sheetView zoomScaleNormal="100" workbookViewId="0">
      <selection sqref="A1:E24"/>
    </sheetView>
  </sheetViews>
  <sheetFormatPr defaultColWidth="10" defaultRowHeight="15" x14ac:dyDescent="0.25"/>
  <cols>
    <col min="1" max="1" width="12.7109375" style="1" customWidth="1"/>
    <col min="2" max="3" width="10" style="1" customWidth="1"/>
    <col min="4" max="4" width="10.28515625" style="1" customWidth="1"/>
    <col min="5" max="5" width="10.7109375" style="1" bestFit="1" customWidth="1"/>
    <col min="6" max="7" width="2" style="101" customWidth="1"/>
    <col min="8" max="8" width="1.5703125" style="101" customWidth="1"/>
    <col min="9" max="9" width="11" style="106" customWidth="1"/>
    <col min="10" max="12" width="4" style="107" customWidth="1"/>
    <col min="13" max="13" width="11" style="108" customWidth="1"/>
    <col min="14" max="14" width="1.5703125" style="109" customWidth="1"/>
    <col min="15" max="15" width="11" style="109" customWidth="1"/>
    <col min="16" max="18" width="4" style="109" customWidth="1"/>
    <col min="19" max="19" width="11" style="109" customWidth="1"/>
    <col min="20" max="20" width="1.5703125" style="109" customWidth="1"/>
    <col min="21" max="21" width="11" style="109" customWidth="1"/>
    <col min="22" max="24" width="4" style="109" customWidth="1"/>
    <col min="25" max="25" width="11" style="109" customWidth="1"/>
    <col min="26" max="26" width="1.5703125" style="109" customWidth="1"/>
    <col min="27" max="27" width="11" style="109" customWidth="1"/>
    <col min="28" max="30" width="4" style="109" customWidth="1"/>
    <col min="31" max="31" width="11" style="109" customWidth="1"/>
    <col min="32" max="32" width="1.5703125" style="109" customWidth="1"/>
    <col min="33" max="33" width="11" style="109" customWidth="1"/>
    <col min="34" max="36" width="4" style="109" customWidth="1"/>
    <col min="37" max="37" width="11" style="109" customWidth="1"/>
    <col min="38" max="38" width="10" style="101"/>
    <col min="39" max="16384" width="10" style="1"/>
  </cols>
  <sheetData>
    <row r="1" spans="1:37" ht="30.75" customHeight="1" x14ac:dyDescent="0.25">
      <c r="A1" s="116" t="s">
        <v>182</v>
      </c>
      <c r="B1" s="116" t="s">
        <v>183</v>
      </c>
      <c r="C1" s="116" t="s">
        <v>175</v>
      </c>
      <c r="D1" s="116" t="s">
        <v>176</v>
      </c>
      <c r="E1" s="116" t="s">
        <v>177</v>
      </c>
    </row>
    <row r="2" spans="1:37" x14ac:dyDescent="0.25">
      <c r="A2" s="117" t="s">
        <v>70</v>
      </c>
      <c r="B2" s="120" t="s">
        <v>8</v>
      </c>
      <c r="C2" s="123" t="s">
        <v>5</v>
      </c>
      <c r="D2" s="120" t="s">
        <v>126</v>
      </c>
      <c r="E2" s="120" t="s">
        <v>135</v>
      </c>
      <c r="I2" s="195" t="s">
        <v>218</v>
      </c>
      <c r="J2" s="195"/>
      <c r="K2" s="195"/>
      <c r="L2" s="195"/>
      <c r="M2" s="195"/>
      <c r="O2" s="195" t="s">
        <v>212</v>
      </c>
      <c r="P2" s="195"/>
      <c r="Q2" s="195"/>
      <c r="R2" s="195"/>
      <c r="S2" s="195"/>
      <c r="U2" s="195" t="s">
        <v>204</v>
      </c>
      <c r="V2" s="195"/>
      <c r="W2" s="195"/>
      <c r="X2" s="195"/>
      <c r="Y2" s="195"/>
      <c r="AA2" s="195" t="s">
        <v>196</v>
      </c>
      <c r="AB2" s="195"/>
      <c r="AC2" s="195"/>
      <c r="AD2" s="195"/>
      <c r="AE2" s="195"/>
      <c r="AG2" s="195" t="s">
        <v>186</v>
      </c>
      <c r="AH2" s="195"/>
      <c r="AI2" s="195"/>
      <c r="AJ2" s="195"/>
      <c r="AK2" s="195"/>
    </row>
    <row r="3" spans="1:37" x14ac:dyDescent="0.25">
      <c r="A3" s="119" t="s">
        <v>91</v>
      </c>
      <c r="B3" s="120" t="s">
        <v>8</v>
      </c>
      <c r="C3" s="120" t="s">
        <v>7</v>
      </c>
      <c r="D3" s="120" t="s">
        <v>126</v>
      </c>
      <c r="E3" s="123" t="s">
        <v>127</v>
      </c>
      <c r="I3" s="110" t="s">
        <v>12</v>
      </c>
      <c r="J3" s="111">
        <v>1</v>
      </c>
      <c r="K3" s="111" t="s">
        <v>53</v>
      </c>
      <c r="L3" s="111">
        <v>1</v>
      </c>
      <c r="M3" s="112" t="s">
        <v>23</v>
      </c>
      <c r="O3" s="110" t="s">
        <v>12</v>
      </c>
      <c r="P3" s="111">
        <v>0</v>
      </c>
      <c r="Q3" s="111" t="s">
        <v>53</v>
      </c>
      <c r="R3" s="111">
        <v>2</v>
      </c>
      <c r="S3" s="112" t="s">
        <v>23</v>
      </c>
      <c r="U3" s="110" t="s">
        <v>12</v>
      </c>
      <c r="V3" s="111">
        <v>1</v>
      </c>
      <c r="W3" s="111" t="s">
        <v>53</v>
      </c>
      <c r="X3" s="111">
        <v>1</v>
      </c>
      <c r="Y3" s="112" t="s">
        <v>23</v>
      </c>
      <c r="AA3" s="110" t="s">
        <v>12</v>
      </c>
      <c r="AB3" s="111">
        <v>1</v>
      </c>
      <c r="AC3" s="111" t="s">
        <v>53</v>
      </c>
      <c r="AD3" s="111">
        <v>3</v>
      </c>
      <c r="AE3" s="112" t="s">
        <v>23</v>
      </c>
      <c r="AG3" s="110" t="s">
        <v>12</v>
      </c>
      <c r="AH3" s="111">
        <v>2</v>
      </c>
      <c r="AI3" s="111" t="s">
        <v>53</v>
      </c>
      <c r="AJ3" s="111">
        <v>1</v>
      </c>
      <c r="AK3" s="112" t="s">
        <v>23</v>
      </c>
    </row>
    <row r="4" spans="1:37" x14ac:dyDescent="0.25">
      <c r="A4" s="119" t="s">
        <v>92</v>
      </c>
      <c r="B4" s="120" t="s">
        <v>20</v>
      </c>
      <c r="C4" s="120" t="s">
        <v>8</v>
      </c>
      <c r="D4" s="120" t="s">
        <v>136</v>
      </c>
      <c r="E4" s="120" t="s">
        <v>126</v>
      </c>
      <c r="I4" s="194" t="s">
        <v>219</v>
      </c>
      <c r="J4" s="194"/>
      <c r="K4" s="194"/>
      <c r="L4" s="194"/>
      <c r="M4" s="194"/>
      <c r="O4" s="196" t="s">
        <v>213</v>
      </c>
      <c r="P4" s="196"/>
      <c r="Q4" s="196"/>
      <c r="R4" s="196"/>
      <c r="S4" s="196"/>
      <c r="U4" s="194" t="s">
        <v>205</v>
      </c>
      <c r="V4" s="194"/>
      <c r="W4" s="194"/>
      <c r="X4" s="194"/>
      <c r="Y4" s="194"/>
      <c r="AA4" s="196" t="s">
        <v>197</v>
      </c>
      <c r="AB4" s="196"/>
      <c r="AC4" s="196"/>
      <c r="AD4" s="196"/>
      <c r="AE4" s="196"/>
      <c r="AG4" s="194" t="s">
        <v>187</v>
      </c>
      <c r="AH4" s="194"/>
      <c r="AI4" s="194"/>
      <c r="AJ4" s="194"/>
      <c r="AK4" s="194"/>
    </row>
    <row r="5" spans="1:37" x14ac:dyDescent="0.25">
      <c r="A5" s="117" t="s">
        <v>69</v>
      </c>
      <c r="B5" s="125" t="s">
        <v>17</v>
      </c>
      <c r="C5" s="120" t="s">
        <v>7</v>
      </c>
      <c r="D5" s="123" t="s">
        <v>127</v>
      </c>
      <c r="E5" s="125" t="s">
        <v>129</v>
      </c>
      <c r="I5" s="110" t="s">
        <v>5</v>
      </c>
      <c r="J5" s="111">
        <v>1</v>
      </c>
      <c r="K5" s="111" t="s">
        <v>53</v>
      </c>
      <c r="L5" s="111">
        <v>0</v>
      </c>
      <c r="M5" s="112" t="s">
        <v>17</v>
      </c>
      <c r="O5" s="110" t="s">
        <v>5</v>
      </c>
      <c r="P5" s="111">
        <v>2</v>
      </c>
      <c r="Q5" s="111" t="s">
        <v>53</v>
      </c>
      <c r="R5" s="111">
        <v>2</v>
      </c>
      <c r="S5" s="112" t="s">
        <v>17</v>
      </c>
      <c r="U5" s="110" t="s">
        <v>5</v>
      </c>
      <c r="V5" s="111">
        <v>2</v>
      </c>
      <c r="W5" s="111" t="s">
        <v>53</v>
      </c>
      <c r="X5" s="111">
        <v>1</v>
      </c>
      <c r="Y5" s="112" t="s">
        <v>17</v>
      </c>
      <c r="AA5" s="110" t="s">
        <v>5</v>
      </c>
      <c r="AB5" s="111">
        <v>1</v>
      </c>
      <c r="AC5" s="111" t="s">
        <v>53</v>
      </c>
      <c r="AD5" s="111">
        <v>2</v>
      </c>
      <c r="AE5" s="112" t="s">
        <v>17</v>
      </c>
      <c r="AG5" s="110" t="s">
        <v>5</v>
      </c>
      <c r="AH5" s="111">
        <v>3</v>
      </c>
      <c r="AI5" s="111" t="s">
        <v>53</v>
      </c>
      <c r="AJ5" s="111">
        <v>2</v>
      </c>
      <c r="AK5" s="112" t="s">
        <v>17</v>
      </c>
    </row>
    <row r="6" spans="1:37" x14ac:dyDescent="0.25">
      <c r="A6" s="124" t="s">
        <v>72</v>
      </c>
      <c r="B6" s="120" t="s">
        <v>8</v>
      </c>
      <c r="C6" s="123" t="s">
        <v>5</v>
      </c>
      <c r="D6" s="123" t="s">
        <v>127</v>
      </c>
      <c r="E6" s="125" t="s">
        <v>135</v>
      </c>
      <c r="O6" s="106"/>
      <c r="P6" s="107"/>
      <c r="Q6" s="107"/>
      <c r="R6" s="107"/>
      <c r="S6" s="108"/>
      <c r="U6" s="106"/>
      <c r="V6" s="107"/>
      <c r="W6" s="107"/>
      <c r="X6" s="107"/>
      <c r="Y6" s="108"/>
      <c r="AA6" s="106"/>
      <c r="AB6" s="107"/>
      <c r="AC6" s="107"/>
      <c r="AD6" s="107"/>
      <c r="AE6" s="108"/>
      <c r="AG6" s="106"/>
      <c r="AH6" s="107"/>
      <c r="AI6" s="107"/>
      <c r="AJ6" s="107"/>
      <c r="AK6" s="108"/>
    </row>
    <row r="7" spans="1:37" x14ac:dyDescent="0.25">
      <c r="A7" s="117" t="s">
        <v>71</v>
      </c>
      <c r="B7" s="120" t="s">
        <v>8</v>
      </c>
      <c r="C7" s="123" t="s">
        <v>5</v>
      </c>
      <c r="D7" s="120" t="s">
        <v>126</v>
      </c>
      <c r="E7" s="125" t="s">
        <v>127</v>
      </c>
      <c r="I7" s="195" t="s">
        <v>216</v>
      </c>
      <c r="J7" s="195"/>
      <c r="K7" s="195"/>
      <c r="L7" s="195"/>
      <c r="M7" s="195"/>
      <c r="O7" s="195" t="s">
        <v>210</v>
      </c>
      <c r="P7" s="195"/>
      <c r="Q7" s="195"/>
      <c r="R7" s="195"/>
      <c r="S7" s="195"/>
      <c r="U7" s="195" t="s">
        <v>202</v>
      </c>
      <c r="V7" s="195"/>
      <c r="W7" s="195"/>
      <c r="X7" s="195"/>
      <c r="Y7" s="195"/>
      <c r="AA7" s="195" t="s">
        <v>194</v>
      </c>
      <c r="AB7" s="195"/>
      <c r="AC7" s="195"/>
      <c r="AD7" s="195"/>
      <c r="AE7" s="195"/>
      <c r="AG7" s="195" t="s">
        <v>184</v>
      </c>
      <c r="AH7" s="195"/>
      <c r="AI7" s="195"/>
      <c r="AJ7" s="195"/>
      <c r="AK7" s="195"/>
    </row>
    <row r="8" spans="1:37" x14ac:dyDescent="0.25">
      <c r="A8" s="119" t="s">
        <v>73</v>
      </c>
      <c r="B8" s="120" t="s">
        <v>8</v>
      </c>
      <c r="C8" s="125" t="s">
        <v>17</v>
      </c>
      <c r="D8" s="120" t="s">
        <v>136</v>
      </c>
      <c r="E8" s="125" t="s">
        <v>137</v>
      </c>
      <c r="I8" s="110" t="s">
        <v>12</v>
      </c>
      <c r="J8" s="111">
        <v>1</v>
      </c>
      <c r="K8" s="111" t="s">
        <v>53</v>
      </c>
      <c r="L8" s="111">
        <v>0</v>
      </c>
      <c r="M8" s="112" t="s">
        <v>23</v>
      </c>
      <c r="O8" s="110" t="s">
        <v>12</v>
      </c>
      <c r="P8" s="111">
        <v>2</v>
      </c>
      <c r="Q8" s="111" t="s">
        <v>53</v>
      </c>
      <c r="R8" s="111">
        <v>1</v>
      </c>
      <c r="S8" s="112" t="s">
        <v>23</v>
      </c>
      <c r="U8" s="110" t="s">
        <v>12</v>
      </c>
      <c r="V8" s="111">
        <v>1</v>
      </c>
      <c r="W8" s="111" t="s">
        <v>53</v>
      </c>
      <c r="X8" s="111">
        <v>0</v>
      </c>
      <c r="Y8" s="112" t="s">
        <v>23</v>
      </c>
      <c r="AA8" s="110" t="s">
        <v>12</v>
      </c>
      <c r="AB8" s="111">
        <v>0</v>
      </c>
      <c r="AC8" s="111" t="s">
        <v>53</v>
      </c>
      <c r="AD8" s="111">
        <v>1</v>
      </c>
      <c r="AE8" s="112" t="s">
        <v>23</v>
      </c>
      <c r="AG8" s="110" t="s">
        <v>12</v>
      </c>
      <c r="AH8" s="111">
        <v>1</v>
      </c>
      <c r="AI8" s="111" t="s">
        <v>53</v>
      </c>
      <c r="AJ8" s="111">
        <v>2</v>
      </c>
      <c r="AK8" s="112" t="s">
        <v>23</v>
      </c>
    </row>
    <row r="9" spans="1:37" x14ac:dyDescent="0.25">
      <c r="A9" s="119" t="s">
        <v>74</v>
      </c>
      <c r="B9" s="120" t="s">
        <v>8</v>
      </c>
      <c r="C9" s="120" t="s">
        <v>15</v>
      </c>
      <c r="D9" s="120" t="s">
        <v>137</v>
      </c>
      <c r="E9" s="120" t="s">
        <v>136</v>
      </c>
      <c r="I9" s="196" t="s">
        <v>217</v>
      </c>
      <c r="J9" s="196"/>
      <c r="K9" s="196"/>
      <c r="L9" s="196"/>
      <c r="M9" s="196"/>
      <c r="O9" s="194" t="s">
        <v>211</v>
      </c>
      <c r="P9" s="194"/>
      <c r="Q9" s="194"/>
      <c r="R9" s="194"/>
      <c r="S9" s="194"/>
      <c r="U9" s="196" t="s">
        <v>203</v>
      </c>
      <c r="V9" s="196"/>
      <c r="W9" s="196"/>
      <c r="X9" s="196"/>
      <c r="Y9" s="196"/>
      <c r="AA9" s="194" t="s">
        <v>195</v>
      </c>
      <c r="AB9" s="194"/>
      <c r="AC9" s="194"/>
      <c r="AD9" s="194"/>
      <c r="AE9" s="194"/>
      <c r="AG9" s="196" t="s">
        <v>185</v>
      </c>
      <c r="AH9" s="196"/>
      <c r="AI9" s="196"/>
      <c r="AJ9" s="196"/>
      <c r="AK9" s="196"/>
    </row>
    <row r="10" spans="1:37" x14ac:dyDescent="0.25">
      <c r="A10" s="117" t="s">
        <v>75</v>
      </c>
      <c r="B10" s="120" t="s">
        <v>8</v>
      </c>
      <c r="C10" s="123" t="s">
        <v>5</v>
      </c>
      <c r="D10" s="125" t="s">
        <v>129</v>
      </c>
      <c r="E10" s="120" t="s">
        <v>135</v>
      </c>
      <c r="I10" s="110" t="s">
        <v>5</v>
      </c>
      <c r="J10" s="111">
        <v>2</v>
      </c>
      <c r="K10" s="111" t="s">
        <v>53</v>
      </c>
      <c r="L10" s="111">
        <v>2</v>
      </c>
      <c r="M10" s="112" t="s">
        <v>17</v>
      </c>
      <c r="O10" s="110" t="s">
        <v>5</v>
      </c>
      <c r="P10" s="111">
        <v>3</v>
      </c>
      <c r="Q10" s="111" t="s">
        <v>53</v>
      </c>
      <c r="R10" s="111">
        <v>1</v>
      </c>
      <c r="S10" s="112" t="s">
        <v>17</v>
      </c>
      <c r="U10" s="110" t="s">
        <v>5</v>
      </c>
      <c r="V10" s="111">
        <v>1</v>
      </c>
      <c r="W10" s="111" t="s">
        <v>53</v>
      </c>
      <c r="X10" s="111">
        <v>1</v>
      </c>
      <c r="Y10" s="112" t="s">
        <v>17</v>
      </c>
      <c r="AA10" s="110" t="s">
        <v>5</v>
      </c>
      <c r="AB10" s="111">
        <v>2</v>
      </c>
      <c r="AC10" s="111" t="s">
        <v>53</v>
      </c>
      <c r="AD10" s="111">
        <v>1</v>
      </c>
      <c r="AE10" s="112" t="s">
        <v>17</v>
      </c>
      <c r="AG10" s="110" t="s">
        <v>5</v>
      </c>
      <c r="AH10" s="111">
        <v>2</v>
      </c>
      <c r="AI10" s="111" t="s">
        <v>53</v>
      </c>
      <c r="AJ10" s="111">
        <v>1</v>
      </c>
      <c r="AK10" s="112" t="s">
        <v>17</v>
      </c>
    </row>
    <row r="11" spans="1:37" x14ac:dyDescent="0.25">
      <c r="A11" s="117" t="s">
        <v>76</v>
      </c>
      <c r="B11" s="120" t="s">
        <v>8</v>
      </c>
      <c r="C11" s="123" t="s">
        <v>5</v>
      </c>
      <c r="D11" s="120" t="s">
        <v>133</v>
      </c>
      <c r="E11" s="125" t="s">
        <v>129</v>
      </c>
      <c r="O11" s="106"/>
      <c r="P11" s="107"/>
      <c r="Q11" s="107"/>
      <c r="R11" s="107"/>
      <c r="S11" s="108"/>
      <c r="U11" s="106"/>
      <c r="V11" s="107"/>
      <c r="W11" s="107"/>
      <c r="X11" s="107"/>
      <c r="Y11" s="108"/>
      <c r="AA11" s="106"/>
      <c r="AB11" s="107"/>
      <c r="AC11" s="107"/>
      <c r="AD11" s="107"/>
      <c r="AE11" s="108"/>
    </row>
    <row r="12" spans="1:37" x14ac:dyDescent="0.25">
      <c r="A12" s="119" t="s">
        <v>77</v>
      </c>
      <c r="B12" s="120" t="s">
        <v>8</v>
      </c>
      <c r="C12" s="122" t="s">
        <v>17</v>
      </c>
      <c r="D12" s="120" t="s">
        <v>126</v>
      </c>
      <c r="E12" s="125" t="s">
        <v>129</v>
      </c>
      <c r="I12" s="195" t="s">
        <v>214</v>
      </c>
      <c r="J12" s="195"/>
      <c r="K12" s="195"/>
      <c r="L12" s="195"/>
      <c r="M12" s="195"/>
      <c r="O12" s="195" t="s">
        <v>208</v>
      </c>
      <c r="P12" s="195"/>
      <c r="Q12" s="195"/>
      <c r="R12" s="195"/>
      <c r="S12" s="195"/>
      <c r="U12" s="195" t="s">
        <v>200</v>
      </c>
      <c r="V12" s="195"/>
      <c r="W12" s="195"/>
      <c r="X12" s="195"/>
      <c r="Y12" s="195"/>
      <c r="AA12" s="195" t="s">
        <v>192</v>
      </c>
      <c r="AB12" s="195"/>
      <c r="AC12" s="195"/>
      <c r="AD12" s="195"/>
      <c r="AE12" s="195"/>
      <c r="AG12" s="195" t="s">
        <v>222</v>
      </c>
      <c r="AH12" s="195"/>
      <c r="AI12" s="195"/>
      <c r="AJ12" s="195"/>
      <c r="AK12" s="195"/>
    </row>
    <row r="13" spans="1:37" x14ac:dyDescent="0.25">
      <c r="A13" s="117" t="s">
        <v>78</v>
      </c>
      <c r="B13" s="120" t="s">
        <v>8</v>
      </c>
      <c r="C13" s="120" t="s">
        <v>4</v>
      </c>
      <c r="D13" s="123" t="s">
        <v>127</v>
      </c>
      <c r="E13" s="125" t="s">
        <v>132</v>
      </c>
      <c r="I13" s="110" t="s">
        <v>12</v>
      </c>
      <c r="J13" s="111">
        <v>2</v>
      </c>
      <c r="K13" s="111" t="s">
        <v>53</v>
      </c>
      <c r="L13" s="111">
        <v>1</v>
      </c>
      <c r="M13" s="112" t="s">
        <v>23</v>
      </c>
      <c r="O13" s="110" t="s">
        <v>12</v>
      </c>
      <c r="P13" s="111">
        <v>1</v>
      </c>
      <c r="Q13" s="111" t="s">
        <v>53</v>
      </c>
      <c r="R13" s="111">
        <v>1</v>
      </c>
      <c r="S13" s="112" t="s">
        <v>23</v>
      </c>
      <c r="U13" s="110" t="s">
        <v>12</v>
      </c>
      <c r="V13" s="111">
        <v>0</v>
      </c>
      <c r="W13" s="111" t="s">
        <v>53</v>
      </c>
      <c r="X13" s="111">
        <v>2</v>
      </c>
      <c r="Y13" s="112" t="s">
        <v>23</v>
      </c>
      <c r="AA13" s="110" t="s">
        <v>12</v>
      </c>
      <c r="AB13" s="111">
        <v>0</v>
      </c>
      <c r="AC13" s="111" t="s">
        <v>53</v>
      </c>
      <c r="AD13" s="111">
        <v>1</v>
      </c>
      <c r="AE13" s="112" t="s">
        <v>23</v>
      </c>
      <c r="AG13" s="115" t="s">
        <v>12</v>
      </c>
      <c r="AH13" s="111" t="s">
        <v>220</v>
      </c>
      <c r="AI13" s="111" t="s">
        <v>53</v>
      </c>
      <c r="AJ13" s="111" t="s">
        <v>220</v>
      </c>
      <c r="AK13" s="115" t="s">
        <v>23</v>
      </c>
    </row>
    <row r="14" spans="1:37" x14ac:dyDescent="0.25">
      <c r="A14" s="117" t="s">
        <v>79</v>
      </c>
      <c r="B14" s="120" t="s">
        <v>8</v>
      </c>
      <c r="C14" s="123" t="s">
        <v>5</v>
      </c>
      <c r="D14" s="120" t="s">
        <v>126</v>
      </c>
      <c r="E14" s="125" t="s">
        <v>130</v>
      </c>
      <c r="I14" s="194" t="s">
        <v>215</v>
      </c>
      <c r="J14" s="194"/>
      <c r="K14" s="194"/>
      <c r="L14" s="194"/>
      <c r="M14" s="194"/>
      <c r="O14" s="196" t="s">
        <v>209</v>
      </c>
      <c r="P14" s="196"/>
      <c r="Q14" s="196"/>
      <c r="R14" s="196"/>
      <c r="S14" s="196"/>
      <c r="U14" s="194" t="s">
        <v>201</v>
      </c>
      <c r="V14" s="194"/>
      <c r="W14" s="194"/>
      <c r="X14" s="194"/>
      <c r="Y14" s="194"/>
      <c r="AA14" s="196" t="s">
        <v>193</v>
      </c>
      <c r="AB14" s="196"/>
      <c r="AC14" s="196"/>
      <c r="AD14" s="196"/>
      <c r="AE14" s="196"/>
      <c r="AG14" s="194" t="s">
        <v>223</v>
      </c>
      <c r="AH14" s="194"/>
      <c r="AI14" s="194"/>
      <c r="AJ14" s="194"/>
      <c r="AK14" s="194"/>
    </row>
    <row r="15" spans="1:37" x14ac:dyDescent="0.25">
      <c r="A15" s="119" t="s">
        <v>80</v>
      </c>
      <c r="B15" s="120" t="s">
        <v>8</v>
      </c>
      <c r="C15" s="120" t="s">
        <v>19</v>
      </c>
      <c r="D15" s="120" t="s">
        <v>126</v>
      </c>
      <c r="E15" s="125" t="s">
        <v>129</v>
      </c>
      <c r="I15" s="110" t="s">
        <v>5</v>
      </c>
      <c r="J15" s="111">
        <v>1</v>
      </c>
      <c r="K15" s="111" t="s">
        <v>53</v>
      </c>
      <c r="L15" s="111">
        <v>2</v>
      </c>
      <c r="M15" s="112" t="s">
        <v>17</v>
      </c>
      <c r="O15" s="110" t="s">
        <v>5</v>
      </c>
      <c r="P15" s="111">
        <v>1</v>
      </c>
      <c r="Q15" s="111" t="s">
        <v>53</v>
      </c>
      <c r="R15" s="111">
        <v>1</v>
      </c>
      <c r="S15" s="112" t="s">
        <v>17</v>
      </c>
      <c r="U15" s="110" t="s">
        <v>5</v>
      </c>
      <c r="V15" s="111">
        <v>3</v>
      </c>
      <c r="W15" s="111" t="s">
        <v>53</v>
      </c>
      <c r="X15" s="111">
        <v>2</v>
      </c>
      <c r="Y15" s="112" t="s">
        <v>17</v>
      </c>
      <c r="AA15" s="110" t="s">
        <v>5</v>
      </c>
      <c r="AB15" s="111">
        <v>1</v>
      </c>
      <c r="AC15" s="111" t="s">
        <v>53</v>
      </c>
      <c r="AD15" s="111">
        <v>2</v>
      </c>
      <c r="AE15" s="112" t="s">
        <v>17</v>
      </c>
      <c r="AG15" s="115" t="s">
        <v>5</v>
      </c>
      <c r="AH15" s="111">
        <v>1</v>
      </c>
      <c r="AI15" s="111" t="s">
        <v>53</v>
      </c>
      <c r="AJ15" s="111">
        <v>2</v>
      </c>
      <c r="AK15" s="115" t="s">
        <v>17</v>
      </c>
    </row>
    <row r="16" spans="1:37" x14ac:dyDescent="0.25">
      <c r="A16" s="117" t="s">
        <v>81</v>
      </c>
      <c r="B16" s="120" t="s">
        <v>8</v>
      </c>
      <c r="C16" s="123" t="s">
        <v>5</v>
      </c>
      <c r="D16" s="120" t="s">
        <v>126</v>
      </c>
      <c r="E16" s="125" t="s">
        <v>130</v>
      </c>
      <c r="O16" s="106"/>
      <c r="P16" s="107"/>
      <c r="Q16" s="107"/>
      <c r="R16" s="107"/>
      <c r="S16" s="108"/>
      <c r="U16" s="106"/>
      <c r="V16" s="107"/>
      <c r="W16" s="107"/>
      <c r="X16" s="107"/>
      <c r="Y16" s="108"/>
      <c r="AA16" s="106"/>
      <c r="AB16" s="107"/>
      <c r="AC16" s="107"/>
      <c r="AD16" s="107"/>
      <c r="AE16" s="108"/>
    </row>
    <row r="17" spans="1:37" x14ac:dyDescent="0.25">
      <c r="A17" s="119" t="s">
        <v>82</v>
      </c>
      <c r="B17" s="120" t="s">
        <v>15</v>
      </c>
      <c r="C17" s="120" t="s">
        <v>6</v>
      </c>
      <c r="D17" s="120" t="s">
        <v>126</v>
      </c>
      <c r="E17" s="125" t="s">
        <v>131</v>
      </c>
      <c r="I17" s="195" t="s">
        <v>206</v>
      </c>
      <c r="J17" s="195"/>
      <c r="K17" s="195"/>
      <c r="L17" s="195"/>
      <c r="M17" s="195"/>
      <c r="O17" s="195" t="s">
        <v>198</v>
      </c>
      <c r="P17" s="195"/>
      <c r="Q17" s="195"/>
      <c r="R17" s="195"/>
      <c r="S17" s="195"/>
      <c r="U17" s="195" t="s">
        <v>190</v>
      </c>
      <c r="V17" s="195"/>
      <c r="W17" s="195"/>
      <c r="X17" s="195"/>
      <c r="Y17" s="195"/>
      <c r="AA17" s="195" t="s">
        <v>188</v>
      </c>
      <c r="AB17" s="195"/>
      <c r="AC17" s="195"/>
      <c r="AD17" s="195"/>
      <c r="AE17" s="195"/>
      <c r="AG17" s="195" t="s">
        <v>224</v>
      </c>
      <c r="AH17" s="195"/>
      <c r="AI17" s="195"/>
      <c r="AJ17" s="195"/>
      <c r="AK17" s="195"/>
    </row>
    <row r="18" spans="1:37" x14ac:dyDescent="0.25">
      <c r="A18" s="119" t="s">
        <v>83</v>
      </c>
      <c r="B18" s="120" t="s">
        <v>8</v>
      </c>
      <c r="C18" s="120" t="s">
        <v>19</v>
      </c>
      <c r="D18" s="120" t="s">
        <v>132</v>
      </c>
      <c r="E18" s="125" t="s">
        <v>129</v>
      </c>
      <c r="I18" s="110" t="s">
        <v>12</v>
      </c>
      <c r="J18" s="111">
        <v>2</v>
      </c>
      <c r="K18" s="111" t="s">
        <v>53</v>
      </c>
      <c r="L18" s="111">
        <v>1</v>
      </c>
      <c r="M18" s="112" t="s">
        <v>23</v>
      </c>
      <c r="O18" s="110" t="s">
        <v>12</v>
      </c>
      <c r="P18" s="111">
        <v>0</v>
      </c>
      <c r="Q18" s="111" t="s">
        <v>53</v>
      </c>
      <c r="R18" s="111">
        <v>1</v>
      </c>
      <c r="S18" s="112" t="s">
        <v>23</v>
      </c>
      <c r="U18" s="110" t="s">
        <v>12</v>
      </c>
      <c r="V18" s="111">
        <v>1</v>
      </c>
      <c r="W18" s="111" t="s">
        <v>53</v>
      </c>
      <c r="X18" s="111">
        <v>2</v>
      </c>
      <c r="Y18" s="112" t="s">
        <v>23</v>
      </c>
      <c r="AA18" s="110" t="s">
        <v>12</v>
      </c>
      <c r="AB18" s="111">
        <v>1</v>
      </c>
      <c r="AC18" s="111" t="s">
        <v>53</v>
      </c>
      <c r="AD18" s="111">
        <v>1</v>
      </c>
      <c r="AE18" s="112" t="s">
        <v>23</v>
      </c>
      <c r="AG18" s="115" t="s">
        <v>12</v>
      </c>
      <c r="AH18" s="111" t="s">
        <v>220</v>
      </c>
      <c r="AI18" s="111" t="s">
        <v>53</v>
      </c>
      <c r="AJ18" s="111" t="s">
        <v>220</v>
      </c>
      <c r="AK18" s="115" t="s">
        <v>23</v>
      </c>
    </row>
    <row r="19" spans="1:37" x14ac:dyDescent="0.25">
      <c r="A19" s="119" t="s">
        <v>84</v>
      </c>
      <c r="B19" s="120" t="s">
        <v>8</v>
      </c>
      <c r="C19" s="120" t="s">
        <v>54</v>
      </c>
      <c r="D19" s="120" t="s">
        <v>126</v>
      </c>
      <c r="E19" s="125" t="s">
        <v>134</v>
      </c>
      <c r="I19" s="196" t="s">
        <v>207</v>
      </c>
      <c r="J19" s="196"/>
      <c r="K19" s="196"/>
      <c r="L19" s="196"/>
      <c r="M19" s="196"/>
      <c r="O19" s="194" t="s">
        <v>199</v>
      </c>
      <c r="P19" s="194"/>
      <c r="Q19" s="194"/>
      <c r="R19" s="194"/>
      <c r="S19" s="194"/>
      <c r="U19" s="196" t="s">
        <v>191</v>
      </c>
      <c r="V19" s="196"/>
      <c r="W19" s="196"/>
      <c r="X19" s="196"/>
      <c r="Y19" s="196"/>
      <c r="AA19" s="194" t="s">
        <v>189</v>
      </c>
      <c r="AB19" s="194"/>
      <c r="AC19" s="194"/>
      <c r="AD19" s="194"/>
      <c r="AE19" s="194"/>
      <c r="AG19" s="196" t="s">
        <v>225</v>
      </c>
      <c r="AH19" s="196"/>
      <c r="AI19" s="196"/>
      <c r="AJ19" s="196"/>
      <c r="AK19" s="196"/>
    </row>
    <row r="20" spans="1:37" x14ac:dyDescent="0.25">
      <c r="A20" s="117" t="s">
        <v>93</v>
      </c>
      <c r="B20" s="120" t="s">
        <v>8</v>
      </c>
      <c r="C20" s="120" t="s">
        <v>19</v>
      </c>
      <c r="D20" s="120" t="s">
        <v>126</v>
      </c>
      <c r="E20" s="123" t="s">
        <v>129</v>
      </c>
      <c r="I20" s="110" t="s">
        <v>5</v>
      </c>
      <c r="J20" s="111">
        <v>1</v>
      </c>
      <c r="K20" s="111" t="s">
        <v>53</v>
      </c>
      <c r="L20" s="111">
        <v>0</v>
      </c>
      <c r="M20" s="112" t="s">
        <v>17</v>
      </c>
      <c r="O20" s="110" t="s">
        <v>5</v>
      </c>
      <c r="P20" s="111">
        <v>1</v>
      </c>
      <c r="Q20" s="111" t="s">
        <v>53</v>
      </c>
      <c r="R20" s="111">
        <v>2</v>
      </c>
      <c r="S20" s="112" t="s">
        <v>17</v>
      </c>
      <c r="U20" s="110" t="s">
        <v>5</v>
      </c>
      <c r="V20" s="111">
        <v>1</v>
      </c>
      <c r="W20" s="111" t="s">
        <v>53</v>
      </c>
      <c r="X20" s="111">
        <v>3</v>
      </c>
      <c r="Y20" s="112" t="s">
        <v>17</v>
      </c>
      <c r="AA20" s="110" t="s">
        <v>5</v>
      </c>
      <c r="AB20" s="111">
        <v>1</v>
      </c>
      <c r="AC20" s="111" t="s">
        <v>53</v>
      </c>
      <c r="AD20" s="111">
        <v>2</v>
      </c>
      <c r="AE20" s="112" t="s">
        <v>17</v>
      </c>
      <c r="AG20" s="115" t="s">
        <v>5</v>
      </c>
      <c r="AH20" s="111">
        <v>2</v>
      </c>
      <c r="AI20" s="111" t="s">
        <v>53</v>
      </c>
      <c r="AJ20" s="111">
        <v>1</v>
      </c>
      <c r="AK20" s="115" t="s">
        <v>17</v>
      </c>
    </row>
    <row r="21" spans="1:37" x14ac:dyDescent="0.25">
      <c r="A21" s="117" t="s">
        <v>86</v>
      </c>
      <c r="B21" s="121" t="s">
        <v>8</v>
      </c>
      <c r="C21" s="126" t="s">
        <v>17</v>
      </c>
      <c r="D21" s="121" t="s">
        <v>126</v>
      </c>
      <c r="E21" s="124" t="s">
        <v>127</v>
      </c>
      <c r="O21" s="106"/>
      <c r="P21" s="107"/>
      <c r="Q21" s="107"/>
      <c r="R21" s="107"/>
      <c r="S21" s="108"/>
      <c r="U21" s="106"/>
      <c r="V21" s="107"/>
      <c r="W21" s="107"/>
      <c r="X21" s="107"/>
      <c r="Y21" s="108"/>
      <c r="AA21" s="106"/>
      <c r="AB21" s="107"/>
      <c r="AC21" s="107"/>
      <c r="AD21" s="107"/>
      <c r="AE21" s="108"/>
    </row>
    <row r="22" spans="1:37" x14ac:dyDescent="0.25">
      <c r="A22" s="118" t="s">
        <v>87</v>
      </c>
      <c r="B22" s="121" t="s">
        <v>8</v>
      </c>
      <c r="C22" s="126" t="s">
        <v>27</v>
      </c>
      <c r="D22" s="121" t="s">
        <v>130</v>
      </c>
      <c r="E22" s="124" t="s">
        <v>127</v>
      </c>
      <c r="I22" s="195" t="s">
        <v>226</v>
      </c>
      <c r="J22" s="195"/>
      <c r="K22" s="195"/>
      <c r="L22" s="195"/>
      <c r="M22" s="195"/>
      <c r="O22" s="195" t="s">
        <v>228</v>
      </c>
      <c r="P22" s="195"/>
      <c r="Q22" s="195"/>
      <c r="R22" s="195"/>
      <c r="S22" s="195"/>
    </row>
    <row r="23" spans="1:37" x14ac:dyDescent="0.25">
      <c r="A23" s="118" t="s">
        <v>88</v>
      </c>
      <c r="B23" s="121" t="s">
        <v>8</v>
      </c>
      <c r="C23" s="126" t="s">
        <v>17</v>
      </c>
      <c r="D23" s="124" t="s">
        <v>127</v>
      </c>
      <c r="E23" s="126" t="s">
        <v>129</v>
      </c>
      <c r="I23" s="110" t="s">
        <v>12</v>
      </c>
      <c r="J23" s="111" t="s">
        <v>220</v>
      </c>
      <c r="K23" s="111" t="s">
        <v>53</v>
      </c>
      <c r="L23" s="111" t="s">
        <v>220</v>
      </c>
      <c r="M23" s="112" t="s">
        <v>23</v>
      </c>
      <c r="O23" s="115" t="s">
        <v>12</v>
      </c>
      <c r="P23" s="111" t="s">
        <v>220</v>
      </c>
      <c r="Q23" s="111" t="s">
        <v>53</v>
      </c>
      <c r="R23" s="111" t="s">
        <v>220</v>
      </c>
      <c r="S23" s="115" t="s">
        <v>23</v>
      </c>
    </row>
    <row r="24" spans="1:37" x14ac:dyDescent="0.25">
      <c r="A24" s="119" t="s">
        <v>89</v>
      </c>
      <c r="B24" s="121" t="s">
        <v>8</v>
      </c>
      <c r="C24" s="121" t="s">
        <v>15</v>
      </c>
      <c r="D24" s="121" t="s">
        <v>128</v>
      </c>
      <c r="E24" s="126" t="s">
        <v>129</v>
      </c>
      <c r="I24" s="194" t="s">
        <v>227</v>
      </c>
      <c r="J24" s="194"/>
      <c r="K24" s="194"/>
      <c r="L24" s="194"/>
      <c r="M24" s="194"/>
      <c r="O24" s="196" t="s">
        <v>229</v>
      </c>
      <c r="P24" s="196"/>
      <c r="Q24" s="196"/>
      <c r="R24" s="196"/>
      <c r="S24" s="196"/>
    </row>
    <row r="25" spans="1:37" x14ac:dyDescent="0.25">
      <c r="I25" s="110" t="s">
        <v>5</v>
      </c>
      <c r="J25" s="111">
        <v>1</v>
      </c>
      <c r="K25" s="111" t="s">
        <v>53</v>
      </c>
      <c r="L25" s="111">
        <v>2</v>
      </c>
      <c r="M25" s="112" t="s">
        <v>17</v>
      </c>
      <c r="O25" s="115" t="s">
        <v>5</v>
      </c>
      <c r="P25" s="111">
        <v>0</v>
      </c>
      <c r="Q25" s="111" t="s">
        <v>53</v>
      </c>
      <c r="R25" s="111">
        <v>3</v>
      </c>
      <c r="S25" s="115" t="s">
        <v>17</v>
      </c>
    </row>
    <row r="86" spans="15:19" x14ac:dyDescent="0.25">
      <c r="O86" s="106"/>
      <c r="P86" s="107"/>
      <c r="Q86" s="107"/>
      <c r="R86" s="107"/>
      <c r="S86" s="108"/>
    </row>
    <row r="87" spans="15:19" x14ac:dyDescent="0.25">
      <c r="O87" s="106"/>
      <c r="P87" s="107"/>
      <c r="Q87" s="107"/>
      <c r="R87" s="107"/>
      <c r="S87" s="108"/>
    </row>
    <row r="88" spans="15:19" x14ac:dyDescent="0.25">
      <c r="O88" s="106"/>
      <c r="P88" s="107"/>
      <c r="Q88" s="107"/>
      <c r="R88" s="107"/>
      <c r="S88" s="108"/>
    </row>
    <row r="89" spans="15:19" x14ac:dyDescent="0.25">
      <c r="O89" s="106"/>
      <c r="P89" s="107"/>
      <c r="Q89" s="107"/>
      <c r="R89" s="107"/>
      <c r="S89" s="108"/>
    </row>
    <row r="90" spans="15:19" x14ac:dyDescent="0.25">
      <c r="O90" s="106"/>
      <c r="P90" s="107"/>
      <c r="Q90" s="107"/>
      <c r="R90" s="107"/>
      <c r="S90" s="108"/>
    </row>
    <row r="91" spans="15:19" x14ac:dyDescent="0.25">
      <c r="O91" s="106"/>
      <c r="P91" s="107"/>
      <c r="Q91" s="107"/>
      <c r="R91" s="107"/>
      <c r="S91" s="108"/>
    </row>
    <row r="92" spans="15:19" x14ac:dyDescent="0.25">
      <c r="O92" s="106"/>
      <c r="P92" s="107"/>
      <c r="Q92" s="107"/>
      <c r="R92" s="107"/>
      <c r="S92" s="108"/>
    </row>
    <row r="93" spans="15:19" x14ac:dyDescent="0.25">
      <c r="O93" s="106"/>
      <c r="P93" s="107"/>
      <c r="Q93" s="107"/>
      <c r="R93" s="107"/>
      <c r="S93" s="108"/>
    </row>
    <row r="94" spans="15:19" x14ac:dyDescent="0.25">
      <c r="O94" s="106"/>
      <c r="P94" s="107"/>
      <c r="Q94" s="107"/>
      <c r="R94" s="107"/>
      <c r="S94" s="108"/>
    </row>
    <row r="95" spans="15:19" x14ac:dyDescent="0.25">
      <c r="O95" s="106"/>
      <c r="P95" s="107"/>
      <c r="Q95" s="107"/>
      <c r="R95" s="107"/>
      <c r="S95" s="108"/>
    </row>
    <row r="96" spans="15:19" x14ac:dyDescent="0.25">
      <c r="O96" s="106"/>
      <c r="P96" s="107"/>
      <c r="Q96" s="107"/>
      <c r="R96" s="107"/>
      <c r="S96" s="108"/>
    </row>
    <row r="97" spans="15:19" x14ac:dyDescent="0.25">
      <c r="O97" s="106"/>
      <c r="P97" s="107"/>
      <c r="Q97" s="107"/>
      <c r="R97" s="107"/>
      <c r="S97" s="108"/>
    </row>
    <row r="98" spans="15:19" x14ac:dyDescent="0.25">
      <c r="O98" s="106"/>
      <c r="P98" s="107"/>
      <c r="Q98" s="107"/>
      <c r="R98" s="107"/>
      <c r="S98" s="108"/>
    </row>
    <row r="99" spans="15:19" x14ac:dyDescent="0.25">
      <c r="O99" s="106"/>
      <c r="P99" s="107"/>
      <c r="Q99" s="107"/>
      <c r="R99" s="107"/>
      <c r="S99" s="108"/>
    </row>
    <row r="100" spans="15:19" x14ac:dyDescent="0.25">
      <c r="O100" s="106"/>
      <c r="P100" s="107"/>
      <c r="Q100" s="107"/>
      <c r="R100" s="107"/>
      <c r="S100" s="108"/>
    </row>
    <row r="101" spans="15:19" x14ac:dyDescent="0.25">
      <c r="O101" s="106"/>
      <c r="P101" s="107"/>
      <c r="Q101" s="107"/>
      <c r="R101" s="107"/>
      <c r="S101" s="108"/>
    </row>
    <row r="102" spans="15:19" x14ac:dyDescent="0.25">
      <c r="O102" s="106"/>
      <c r="P102" s="107"/>
      <c r="Q102" s="107"/>
      <c r="R102" s="107"/>
      <c r="S102" s="108"/>
    </row>
    <row r="103" spans="15:19" x14ac:dyDescent="0.25">
      <c r="O103" s="106"/>
      <c r="P103" s="107"/>
      <c r="Q103" s="107"/>
      <c r="R103" s="107"/>
      <c r="S103" s="108"/>
    </row>
    <row r="104" spans="15:19" x14ac:dyDescent="0.25">
      <c r="O104" s="106"/>
      <c r="P104" s="107"/>
      <c r="Q104" s="107"/>
      <c r="R104" s="107"/>
      <c r="S104" s="108"/>
    </row>
    <row r="105" spans="15:19" x14ac:dyDescent="0.25">
      <c r="O105" s="106"/>
      <c r="P105" s="107"/>
      <c r="Q105" s="107"/>
      <c r="R105" s="107"/>
      <c r="S105" s="108"/>
    </row>
    <row r="106" spans="15:19" x14ac:dyDescent="0.25">
      <c r="O106" s="106"/>
      <c r="P106" s="107"/>
      <c r="Q106" s="107"/>
      <c r="R106" s="107"/>
      <c r="S106" s="108"/>
    </row>
    <row r="107" spans="15:19" x14ac:dyDescent="0.25">
      <c r="O107" s="106"/>
      <c r="P107" s="107"/>
      <c r="Q107" s="107"/>
      <c r="R107" s="107"/>
      <c r="S107" s="108"/>
    </row>
    <row r="108" spans="15:19" x14ac:dyDescent="0.25">
      <c r="O108" s="106"/>
      <c r="P108" s="107"/>
      <c r="Q108" s="107"/>
      <c r="R108" s="107"/>
      <c r="S108" s="108"/>
    </row>
    <row r="109" spans="15:19" x14ac:dyDescent="0.25">
      <c r="O109" s="106"/>
      <c r="P109" s="107"/>
      <c r="Q109" s="107"/>
      <c r="R109" s="107"/>
      <c r="S109" s="108"/>
    </row>
    <row r="110" spans="15:19" x14ac:dyDescent="0.25">
      <c r="O110" s="106"/>
      <c r="P110" s="107"/>
      <c r="Q110" s="107"/>
      <c r="R110" s="107"/>
      <c r="S110" s="108"/>
    </row>
    <row r="111" spans="15:19" x14ac:dyDescent="0.25">
      <c r="O111" s="106"/>
      <c r="P111" s="107"/>
      <c r="Q111" s="107"/>
      <c r="R111" s="107"/>
      <c r="S111" s="108"/>
    </row>
    <row r="112" spans="15:19" x14ac:dyDescent="0.25">
      <c r="O112" s="106"/>
      <c r="P112" s="107"/>
      <c r="Q112" s="107"/>
      <c r="R112" s="107"/>
      <c r="S112" s="108"/>
    </row>
    <row r="113" spans="15:19" x14ac:dyDescent="0.25">
      <c r="O113" s="106"/>
      <c r="P113" s="107"/>
      <c r="Q113" s="107"/>
      <c r="R113" s="107"/>
      <c r="S113" s="108"/>
    </row>
    <row r="114" spans="15:19" x14ac:dyDescent="0.25">
      <c r="O114" s="106"/>
      <c r="P114" s="107"/>
      <c r="Q114" s="107"/>
      <c r="R114" s="107"/>
      <c r="S114" s="108"/>
    </row>
    <row r="115" spans="15:19" x14ac:dyDescent="0.25">
      <c r="O115" s="106"/>
      <c r="P115" s="107"/>
      <c r="Q115" s="107"/>
      <c r="R115" s="107"/>
      <c r="S115" s="108"/>
    </row>
    <row r="116" spans="15:19" x14ac:dyDescent="0.25">
      <c r="O116" s="106"/>
      <c r="P116" s="107"/>
      <c r="Q116" s="107"/>
      <c r="R116" s="107"/>
      <c r="S116" s="108"/>
    </row>
    <row r="117" spans="15:19" x14ac:dyDescent="0.25">
      <c r="O117" s="106"/>
      <c r="P117" s="107"/>
      <c r="Q117" s="107"/>
      <c r="R117" s="107"/>
      <c r="S117" s="108"/>
    </row>
    <row r="118" spans="15:19" x14ac:dyDescent="0.25">
      <c r="O118" s="106"/>
      <c r="P118" s="107"/>
      <c r="Q118" s="107"/>
      <c r="R118" s="107"/>
      <c r="S118" s="108"/>
    </row>
    <row r="119" spans="15:19" x14ac:dyDescent="0.25">
      <c r="O119" s="106"/>
      <c r="P119" s="107"/>
      <c r="Q119" s="107"/>
      <c r="R119" s="107"/>
      <c r="S119" s="108"/>
    </row>
    <row r="120" spans="15:19" x14ac:dyDescent="0.25">
      <c r="O120" s="106"/>
      <c r="P120" s="107"/>
      <c r="Q120" s="107"/>
      <c r="R120" s="107"/>
      <c r="S120" s="108"/>
    </row>
    <row r="121" spans="15:19" x14ac:dyDescent="0.25">
      <c r="O121" s="106"/>
      <c r="P121" s="107"/>
      <c r="Q121" s="107"/>
      <c r="R121" s="107"/>
      <c r="S121" s="108"/>
    </row>
    <row r="122" spans="15:19" x14ac:dyDescent="0.25">
      <c r="O122" s="106"/>
      <c r="P122" s="107"/>
      <c r="Q122" s="107"/>
      <c r="R122" s="107"/>
      <c r="S122" s="108"/>
    </row>
    <row r="123" spans="15:19" x14ac:dyDescent="0.25">
      <c r="O123" s="106"/>
      <c r="P123" s="107"/>
      <c r="Q123" s="107"/>
      <c r="R123" s="107"/>
      <c r="S123" s="108"/>
    </row>
    <row r="124" spans="15:19" x14ac:dyDescent="0.25">
      <c r="O124" s="106"/>
      <c r="P124" s="107"/>
      <c r="Q124" s="107"/>
      <c r="R124" s="107"/>
      <c r="S124" s="108"/>
    </row>
    <row r="125" spans="15:19" x14ac:dyDescent="0.25">
      <c r="O125" s="106"/>
      <c r="P125" s="107"/>
      <c r="Q125" s="107"/>
      <c r="R125" s="107"/>
      <c r="S125" s="108"/>
    </row>
    <row r="126" spans="15:19" x14ac:dyDescent="0.25">
      <c r="O126" s="106"/>
      <c r="P126" s="107"/>
      <c r="Q126" s="107"/>
      <c r="R126" s="107"/>
      <c r="S126" s="108"/>
    </row>
    <row r="127" spans="15:19" x14ac:dyDescent="0.25">
      <c r="O127" s="106"/>
      <c r="P127" s="107"/>
      <c r="Q127" s="107"/>
      <c r="R127" s="107"/>
      <c r="S127" s="108"/>
    </row>
    <row r="128" spans="15:19" x14ac:dyDescent="0.25">
      <c r="O128" s="106"/>
      <c r="P128" s="107"/>
      <c r="Q128" s="107"/>
      <c r="R128" s="107"/>
      <c r="S128" s="108"/>
    </row>
    <row r="129" spans="15:19" x14ac:dyDescent="0.25">
      <c r="O129" s="106"/>
      <c r="P129" s="107"/>
      <c r="Q129" s="107"/>
      <c r="R129" s="107"/>
      <c r="S129" s="108"/>
    </row>
    <row r="130" spans="15:19" x14ac:dyDescent="0.25">
      <c r="O130" s="106"/>
      <c r="P130" s="107"/>
      <c r="Q130" s="107"/>
      <c r="R130" s="107"/>
      <c r="S130" s="108"/>
    </row>
    <row r="131" spans="15:19" x14ac:dyDescent="0.25">
      <c r="O131" s="106"/>
      <c r="P131" s="107"/>
      <c r="Q131" s="107"/>
      <c r="R131" s="107"/>
      <c r="S131" s="108"/>
    </row>
    <row r="132" spans="15:19" x14ac:dyDescent="0.25">
      <c r="O132" s="106"/>
      <c r="P132" s="107"/>
      <c r="Q132" s="107"/>
      <c r="R132" s="107"/>
      <c r="S132" s="108"/>
    </row>
    <row r="133" spans="15:19" x14ac:dyDescent="0.25">
      <c r="O133" s="106"/>
      <c r="P133" s="107"/>
      <c r="Q133" s="107"/>
      <c r="R133" s="107"/>
      <c r="S133" s="108"/>
    </row>
    <row r="134" spans="15:19" x14ac:dyDescent="0.25">
      <c r="O134" s="106"/>
      <c r="P134" s="107"/>
      <c r="Q134" s="107"/>
      <c r="R134" s="107"/>
      <c r="S134" s="108"/>
    </row>
    <row r="135" spans="15:19" x14ac:dyDescent="0.25">
      <c r="O135" s="106"/>
      <c r="P135" s="107"/>
      <c r="Q135" s="107"/>
      <c r="R135" s="107"/>
      <c r="S135" s="108"/>
    </row>
    <row r="136" spans="15:19" x14ac:dyDescent="0.25">
      <c r="O136" s="106"/>
      <c r="P136" s="107"/>
      <c r="Q136" s="107"/>
      <c r="R136" s="107"/>
      <c r="S136" s="108"/>
    </row>
    <row r="137" spans="15:19" x14ac:dyDescent="0.25">
      <c r="O137" s="106"/>
      <c r="P137" s="107"/>
      <c r="Q137" s="107"/>
      <c r="R137" s="107"/>
      <c r="S137" s="108"/>
    </row>
    <row r="138" spans="15:19" x14ac:dyDescent="0.25">
      <c r="O138" s="106"/>
      <c r="P138" s="107"/>
      <c r="Q138" s="107"/>
      <c r="R138" s="107"/>
      <c r="S138" s="108"/>
    </row>
    <row r="139" spans="15:19" x14ac:dyDescent="0.25">
      <c r="O139" s="106"/>
      <c r="P139" s="107"/>
      <c r="Q139" s="107"/>
      <c r="R139" s="107"/>
      <c r="S139" s="108"/>
    </row>
    <row r="140" spans="15:19" x14ac:dyDescent="0.25">
      <c r="O140" s="106"/>
      <c r="P140" s="107"/>
      <c r="Q140" s="107"/>
      <c r="R140" s="107"/>
      <c r="S140" s="108"/>
    </row>
    <row r="141" spans="15:19" x14ac:dyDescent="0.25">
      <c r="O141" s="106"/>
      <c r="P141" s="107"/>
      <c r="Q141" s="107"/>
      <c r="R141" s="107"/>
      <c r="S141" s="108"/>
    </row>
    <row r="142" spans="15:19" x14ac:dyDescent="0.25">
      <c r="O142" s="106"/>
      <c r="P142" s="107"/>
      <c r="Q142" s="107"/>
      <c r="R142" s="107"/>
      <c r="S142" s="108"/>
    </row>
    <row r="143" spans="15:19" x14ac:dyDescent="0.25">
      <c r="O143" s="106"/>
      <c r="P143" s="107"/>
      <c r="Q143" s="107"/>
      <c r="R143" s="107"/>
      <c r="S143" s="108"/>
    </row>
    <row r="144" spans="15:19" x14ac:dyDescent="0.25">
      <c r="O144" s="106"/>
      <c r="P144" s="107"/>
      <c r="Q144" s="107"/>
      <c r="R144" s="107"/>
      <c r="S144" s="108"/>
    </row>
    <row r="145" spans="15:19" x14ac:dyDescent="0.25">
      <c r="O145" s="106"/>
      <c r="P145" s="107"/>
      <c r="Q145" s="107"/>
      <c r="R145" s="107"/>
      <c r="S145" s="108"/>
    </row>
    <row r="146" spans="15:19" x14ac:dyDescent="0.25">
      <c r="O146" s="106"/>
      <c r="P146" s="107"/>
      <c r="Q146" s="107"/>
      <c r="R146" s="107"/>
      <c r="S146" s="108"/>
    </row>
    <row r="147" spans="15:19" x14ac:dyDescent="0.25">
      <c r="O147" s="106"/>
      <c r="P147" s="107"/>
      <c r="Q147" s="107"/>
      <c r="R147" s="107"/>
      <c r="S147" s="108"/>
    </row>
    <row r="148" spans="15:19" x14ac:dyDescent="0.25">
      <c r="O148" s="106"/>
      <c r="P148" s="107"/>
      <c r="Q148" s="107"/>
      <c r="R148" s="107"/>
      <c r="S148" s="108"/>
    </row>
    <row r="149" spans="15:19" x14ac:dyDescent="0.25">
      <c r="O149" s="106"/>
      <c r="P149" s="107"/>
      <c r="Q149" s="107"/>
      <c r="R149" s="107"/>
      <c r="S149" s="108"/>
    </row>
    <row r="150" spans="15:19" x14ac:dyDescent="0.25">
      <c r="O150" s="106"/>
      <c r="P150" s="107"/>
      <c r="Q150" s="107"/>
      <c r="R150" s="107"/>
      <c r="S150" s="108"/>
    </row>
    <row r="151" spans="15:19" x14ac:dyDescent="0.25">
      <c r="O151" s="106"/>
      <c r="P151" s="107"/>
      <c r="Q151" s="107"/>
      <c r="R151" s="107"/>
      <c r="S151" s="108"/>
    </row>
    <row r="152" spans="15:19" x14ac:dyDescent="0.25">
      <c r="O152" s="106"/>
      <c r="P152" s="107"/>
      <c r="Q152" s="107"/>
      <c r="R152" s="107"/>
      <c r="S152" s="108"/>
    </row>
    <row r="153" spans="15:19" x14ac:dyDescent="0.25">
      <c r="O153" s="106"/>
      <c r="P153" s="107"/>
      <c r="Q153" s="107"/>
      <c r="R153" s="107"/>
      <c r="S153" s="108"/>
    </row>
    <row r="154" spans="15:19" x14ac:dyDescent="0.25">
      <c r="O154" s="106"/>
      <c r="P154" s="107"/>
      <c r="Q154" s="107"/>
      <c r="R154" s="107"/>
      <c r="S154" s="108"/>
    </row>
    <row r="155" spans="15:19" x14ac:dyDescent="0.25">
      <c r="O155" s="106"/>
      <c r="P155" s="107"/>
      <c r="Q155" s="107"/>
      <c r="R155" s="107"/>
      <c r="S155" s="108"/>
    </row>
    <row r="156" spans="15:19" x14ac:dyDescent="0.25">
      <c r="O156" s="106"/>
      <c r="P156" s="107"/>
      <c r="Q156" s="107"/>
      <c r="R156" s="107"/>
      <c r="S156" s="108"/>
    </row>
    <row r="157" spans="15:19" x14ac:dyDescent="0.25">
      <c r="O157" s="106"/>
      <c r="P157" s="107"/>
      <c r="Q157" s="107"/>
      <c r="R157" s="107"/>
      <c r="S157" s="108"/>
    </row>
    <row r="158" spans="15:19" x14ac:dyDescent="0.25">
      <c r="O158" s="106"/>
      <c r="P158" s="107"/>
      <c r="Q158" s="107"/>
      <c r="R158" s="107"/>
      <c r="S158" s="108"/>
    </row>
    <row r="159" spans="15:19" x14ac:dyDescent="0.25">
      <c r="O159" s="106"/>
      <c r="P159" s="107"/>
      <c r="Q159" s="107"/>
      <c r="R159" s="107"/>
      <c r="S159" s="108"/>
    </row>
    <row r="160" spans="15:19" x14ac:dyDescent="0.25">
      <c r="O160" s="106"/>
      <c r="P160" s="107"/>
      <c r="Q160" s="107"/>
      <c r="R160" s="107"/>
      <c r="S160" s="108"/>
    </row>
    <row r="161" spans="15:19" x14ac:dyDescent="0.25">
      <c r="O161" s="106"/>
      <c r="P161" s="107"/>
      <c r="Q161" s="107"/>
      <c r="R161" s="107"/>
      <c r="S161" s="108"/>
    </row>
    <row r="162" spans="15:19" x14ac:dyDescent="0.25">
      <c r="O162" s="106"/>
      <c r="P162" s="107"/>
      <c r="Q162" s="107"/>
      <c r="R162" s="107"/>
      <c r="S162" s="108"/>
    </row>
    <row r="163" spans="15:19" x14ac:dyDescent="0.25">
      <c r="O163" s="106"/>
      <c r="P163" s="107"/>
      <c r="Q163" s="107"/>
      <c r="R163" s="107"/>
      <c r="S163" s="108"/>
    </row>
    <row r="164" spans="15:19" x14ac:dyDescent="0.25">
      <c r="O164" s="106"/>
      <c r="P164" s="107"/>
      <c r="Q164" s="107"/>
      <c r="R164" s="107"/>
      <c r="S164" s="108"/>
    </row>
    <row r="165" spans="15:19" x14ac:dyDescent="0.25">
      <c r="O165" s="106"/>
      <c r="P165" s="107"/>
      <c r="Q165" s="107"/>
      <c r="R165" s="107"/>
      <c r="S165" s="108"/>
    </row>
    <row r="166" spans="15:19" x14ac:dyDescent="0.25">
      <c r="O166" s="106"/>
      <c r="P166" s="107"/>
      <c r="Q166" s="107"/>
      <c r="R166" s="107"/>
      <c r="S166" s="108"/>
    </row>
    <row r="167" spans="15:19" x14ac:dyDescent="0.25">
      <c r="O167" s="106"/>
      <c r="P167" s="107"/>
      <c r="Q167" s="107"/>
      <c r="R167" s="107"/>
      <c r="S167" s="108"/>
    </row>
  </sheetData>
  <mergeCells count="44">
    <mergeCell ref="I22:M22"/>
    <mergeCell ref="O22:S22"/>
    <mergeCell ref="I24:M24"/>
    <mergeCell ref="O24:S24"/>
    <mergeCell ref="AG19:AK19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O4:S4"/>
    <mergeCell ref="O19:S19"/>
    <mergeCell ref="O17:S17"/>
    <mergeCell ref="U14:Y14"/>
    <mergeCell ref="U12:Y12"/>
    <mergeCell ref="U19:Y19"/>
    <mergeCell ref="U17:Y17"/>
    <mergeCell ref="AG9:AK9"/>
    <mergeCell ref="AG7:AK7"/>
    <mergeCell ref="O7:S7"/>
    <mergeCell ref="AG17:AK17"/>
    <mergeCell ref="AG4:AK4"/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85"/>
  <sheetViews>
    <sheetView zoomScale="85" zoomScaleNormal="85" workbookViewId="0">
      <pane xSplit="15" ySplit="16" topLeftCell="P71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76" customWidth="1"/>
    <col min="5" max="5" width="17.7109375" style="19" customWidth="1"/>
    <col min="6" max="7" width="2.7109375" style="17" customWidth="1"/>
    <col min="8" max="8" width="7.140625" style="16" bestFit="1" customWidth="1"/>
    <col min="9" max="9" width="2.7109375" style="17" customWidth="1"/>
    <col min="10" max="10" width="2.7109375" style="21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140625" style="51" customWidth="1"/>
    <col min="32" max="42" width="5.140625" style="17" customWidth="1"/>
    <col min="43" max="16384" width="9.140625" style="17"/>
  </cols>
  <sheetData>
    <row r="1" spans="1:31" x14ac:dyDescent="0.25">
      <c r="A1" s="199" t="s">
        <v>58</v>
      </c>
      <c r="B1" s="199"/>
      <c r="C1" s="199"/>
      <c r="D1" s="199"/>
      <c r="E1" s="199"/>
      <c r="K1" s="201" t="s">
        <v>58</v>
      </c>
      <c r="L1" s="201"/>
      <c r="M1" s="201"/>
      <c r="N1" s="201"/>
      <c r="O1" s="201"/>
    </row>
    <row r="2" spans="1:31" x14ac:dyDescent="0.25">
      <c r="A2" s="18" t="s">
        <v>11</v>
      </c>
      <c r="B2" s="76">
        <v>1</v>
      </c>
      <c r="C2" s="76" t="s">
        <v>53</v>
      </c>
      <c r="D2" s="76">
        <v>1</v>
      </c>
      <c r="E2" s="19" t="s">
        <v>14</v>
      </c>
      <c r="H2" s="99">
        <v>0</v>
      </c>
      <c r="I2" s="99"/>
      <c r="J2" s="100" t="str">
        <f>IF(Tabela!F3="","",Tabela!F3)</f>
        <v/>
      </c>
      <c r="K2" s="99" t="str">
        <f>Tabela!A3</f>
        <v>Catar</v>
      </c>
      <c r="L2" s="99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0" t="s">
        <v>70</v>
      </c>
      <c r="X2" s="200"/>
      <c r="Y2" s="200"/>
      <c r="Z2" s="200"/>
      <c r="AA2" s="200"/>
      <c r="AB2" s="200"/>
      <c r="AC2" s="200"/>
      <c r="AD2" s="200"/>
      <c r="AE2" s="200"/>
    </row>
    <row r="3" spans="1:31" x14ac:dyDescent="0.25">
      <c r="A3" s="18" t="s">
        <v>28</v>
      </c>
      <c r="B3" s="76">
        <v>1</v>
      </c>
      <c r="C3" s="76" t="s">
        <v>53</v>
      </c>
      <c r="D3" s="76">
        <v>2</v>
      </c>
      <c r="E3" s="19" t="s">
        <v>19</v>
      </c>
      <c r="H3" s="16">
        <v>15</v>
      </c>
      <c r="J3" s="21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0"/>
      <c r="X3" s="200"/>
      <c r="Y3" s="200"/>
      <c r="Z3" s="200"/>
      <c r="AA3" s="200"/>
      <c r="AB3" s="200"/>
      <c r="AC3" s="200"/>
      <c r="AD3" s="200"/>
      <c r="AE3" s="200"/>
    </row>
    <row r="4" spans="1:31" x14ac:dyDescent="0.25">
      <c r="A4" s="18" t="s">
        <v>11</v>
      </c>
      <c r="B4" s="76">
        <v>1</v>
      </c>
      <c r="C4" s="76" t="s">
        <v>53</v>
      </c>
      <c r="D4" s="76">
        <v>1</v>
      </c>
      <c r="E4" s="19" t="s">
        <v>28</v>
      </c>
      <c r="H4" s="16">
        <v>5</v>
      </c>
      <c r="J4" s="21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0"/>
      <c r="X4" s="200"/>
      <c r="Y4" s="200"/>
      <c r="Z4" s="200"/>
      <c r="AA4" s="200"/>
      <c r="AB4" s="200"/>
      <c r="AC4" s="200"/>
      <c r="AD4" s="200"/>
      <c r="AE4" s="200"/>
    </row>
    <row r="5" spans="1:31" x14ac:dyDescent="0.25">
      <c r="A5" s="18" t="s">
        <v>19</v>
      </c>
      <c r="B5" s="76">
        <v>2</v>
      </c>
      <c r="C5" s="76" t="s">
        <v>53</v>
      </c>
      <c r="D5" s="76">
        <v>1</v>
      </c>
      <c r="E5" s="19" t="s">
        <v>14</v>
      </c>
      <c r="H5" s="16">
        <v>5</v>
      </c>
      <c r="J5" s="21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0"/>
      <c r="X5" s="200"/>
      <c r="Y5" s="200"/>
      <c r="Z5" s="200"/>
      <c r="AA5" s="200"/>
      <c r="AB5" s="200"/>
      <c r="AC5" s="200"/>
      <c r="AD5" s="200"/>
      <c r="AE5" s="200"/>
    </row>
    <row r="6" spans="1:31" x14ac:dyDescent="0.25">
      <c r="A6" s="18" t="s">
        <v>19</v>
      </c>
      <c r="B6" s="76">
        <v>2</v>
      </c>
      <c r="C6" s="76" t="s">
        <v>53</v>
      </c>
      <c r="D6" s="76">
        <v>1</v>
      </c>
      <c r="E6" s="19" t="s">
        <v>11</v>
      </c>
      <c r="H6" s="16">
        <v>15</v>
      </c>
      <c r="J6" s="21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0"/>
      <c r="X6" s="200"/>
      <c r="Y6" s="200"/>
      <c r="Z6" s="200"/>
      <c r="AA6" s="200"/>
      <c r="AB6" s="200"/>
      <c r="AC6" s="200"/>
      <c r="AD6" s="200"/>
      <c r="AE6" s="200"/>
    </row>
    <row r="7" spans="1:31" x14ac:dyDescent="0.25">
      <c r="A7" s="18" t="s">
        <v>14</v>
      </c>
      <c r="B7" s="76">
        <v>1</v>
      </c>
      <c r="C7" s="76" t="s">
        <v>53</v>
      </c>
      <c r="D7" s="76">
        <v>2</v>
      </c>
      <c r="E7" s="19" t="s">
        <v>28</v>
      </c>
      <c r="H7" s="16">
        <v>25</v>
      </c>
      <c r="J7" s="21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99" t="s">
        <v>65</v>
      </c>
      <c r="B8" s="199"/>
      <c r="C8" s="199"/>
      <c r="D8" s="199"/>
      <c r="E8" s="199"/>
      <c r="J8" s="21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76">
        <v>2</v>
      </c>
      <c r="C9" s="76" t="s">
        <v>53</v>
      </c>
      <c r="D9" s="76">
        <v>1</v>
      </c>
      <c r="E9" s="19" t="s">
        <v>21</v>
      </c>
      <c r="H9" s="16">
        <v>10</v>
      </c>
      <c r="J9" s="21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7" t="s">
        <v>66</v>
      </c>
      <c r="R9" s="197"/>
      <c r="S9" s="197"/>
      <c r="T9" s="197"/>
      <c r="U9" s="197"/>
      <c r="W9" s="127" t="s">
        <v>123</v>
      </c>
      <c r="X9" s="127"/>
      <c r="Y9" s="127"/>
      <c r="Z9" s="127"/>
      <c r="AA9" s="127"/>
      <c r="AB9" s="127"/>
      <c r="AC9" s="127"/>
      <c r="AD9" s="127"/>
      <c r="AE9" s="127"/>
    </row>
    <row r="10" spans="1:31" x14ac:dyDescent="0.25">
      <c r="A10" s="18" t="s">
        <v>54</v>
      </c>
      <c r="B10" s="76">
        <v>1</v>
      </c>
      <c r="C10" s="76" t="s">
        <v>53</v>
      </c>
      <c r="D10" s="76">
        <v>1</v>
      </c>
      <c r="E10" s="19" t="s">
        <v>34</v>
      </c>
      <c r="H10" s="16">
        <v>25</v>
      </c>
      <c r="J10" s="21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7"/>
      <c r="R10" s="197"/>
      <c r="S10" s="197"/>
      <c r="T10" s="197"/>
      <c r="U10" s="197"/>
      <c r="W10" s="127" t="s">
        <v>14</v>
      </c>
      <c r="X10" s="127"/>
      <c r="Y10" s="127"/>
      <c r="Z10" s="51">
        <v>1</v>
      </c>
      <c r="AB10" s="51">
        <v>2</v>
      </c>
      <c r="AC10" s="127" t="s">
        <v>28</v>
      </c>
      <c r="AD10" s="127"/>
      <c r="AE10" s="127"/>
    </row>
    <row r="11" spans="1:31" ht="15" customHeight="1" x14ac:dyDescent="0.25">
      <c r="A11" s="18" t="s">
        <v>34</v>
      </c>
      <c r="B11" s="76">
        <v>0</v>
      </c>
      <c r="C11" s="76" t="s">
        <v>53</v>
      </c>
      <c r="D11" s="76">
        <v>0</v>
      </c>
      <c r="E11" s="19" t="s">
        <v>21</v>
      </c>
      <c r="H11" s="16">
        <v>5</v>
      </c>
      <c r="J11" s="21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8">
        <f>SUM(H2:H85)</f>
        <v>700</v>
      </c>
      <c r="R11" s="198"/>
      <c r="S11" s="198"/>
      <c r="T11" s="198"/>
      <c r="U11" s="198"/>
      <c r="W11" s="127" t="s">
        <v>16</v>
      </c>
      <c r="X11" s="127"/>
      <c r="Y11" s="127"/>
      <c r="Z11" s="51">
        <v>1</v>
      </c>
      <c r="AB11" s="51">
        <v>1</v>
      </c>
      <c r="AC11" s="127" t="s">
        <v>34</v>
      </c>
      <c r="AD11" s="127"/>
      <c r="AE11" s="127"/>
    </row>
    <row r="12" spans="1:31" ht="15" customHeight="1" x14ac:dyDescent="0.25">
      <c r="A12" s="18" t="s">
        <v>20</v>
      </c>
      <c r="B12" s="76">
        <v>2</v>
      </c>
      <c r="C12" s="76" t="s">
        <v>53</v>
      </c>
      <c r="D12" s="76">
        <v>0</v>
      </c>
      <c r="E12" s="19" t="s">
        <v>54</v>
      </c>
      <c r="H12" s="16">
        <v>5</v>
      </c>
      <c r="J12" s="21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8"/>
      <c r="R12" s="198"/>
      <c r="S12" s="198"/>
      <c r="T12" s="198"/>
      <c r="U12" s="198"/>
      <c r="W12" s="127" t="s">
        <v>5</v>
      </c>
      <c r="X12" s="127"/>
      <c r="Y12" s="127"/>
      <c r="Z12" s="51">
        <v>2</v>
      </c>
      <c r="AB12" s="51">
        <v>0</v>
      </c>
      <c r="AC12" s="127" t="s">
        <v>24</v>
      </c>
      <c r="AD12" s="127"/>
      <c r="AE12" s="127"/>
    </row>
    <row r="13" spans="1:31" ht="15" customHeight="1" x14ac:dyDescent="0.25">
      <c r="A13" s="18" t="s">
        <v>21</v>
      </c>
      <c r="B13" s="76">
        <v>1</v>
      </c>
      <c r="C13" s="76" t="s">
        <v>53</v>
      </c>
      <c r="D13" s="76">
        <v>1</v>
      </c>
      <c r="E13" s="19" t="s">
        <v>54</v>
      </c>
      <c r="H13" s="16">
        <v>5</v>
      </c>
      <c r="J13" s="21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8"/>
      <c r="R13" s="198"/>
      <c r="S13" s="198"/>
      <c r="T13" s="198"/>
      <c r="U13" s="198"/>
      <c r="W13" s="127" t="s">
        <v>55</v>
      </c>
      <c r="X13" s="127"/>
      <c r="Y13" s="127"/>
      <c r="Z13" s="51">
        <v>1</v>
      </c>
      <c r="AB13" s="51">
        <v>2</v>
      </c>
      <c r="AC13" s="127" t="s">
        <v>24</v>
      </c>
      <c r="AD13" s="127"/>
      <c r="AE13" s="127"/>
    </row>
    <row r="14" spans="1:31" ht="15" customHeight="1" x14ac:dyDescent="0.25">
      <c r="A14" s="18" t="s">
        <v>34</v>
      </c>
      <c r="B14" s="76">
        <v>1</v>
      </c>
      <c r="C14" s="76" t="s">
        <v>53</v>
      </c>
      <c r="D14" s="76">
        <v>2</v>
      </c>
      <c r="E14" s="19" t="s">
        <v>20</v>
      </c>
      <c r="H14" s="16">
        <v>10</v>
      </c>
      <c r="J14" s="21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8"/>
      <c r="R14" s="198"/>
      <c r="S14" s="198"/>
      <c r="T14" s="198"/>
      <c r="U14" s="198"/>
      <c r="W14" s="127" t="s">
        <v>15</v>
      </c>
      <c r="X14" s="127"/>
      <c r="Y14" s="127"/>
      <c r="Z14" s="51">
        <v>1</v>
      </c>
      <c r="AB14" s="51">
        <v>1</v>
      </c>
      <c r="AC14" s="127" t="s">
        <v>4</v>
      </c>
      <c r="AD14" s="127"/>
      <c r="AE14" s="127"/>
    </row>
    <row r="15" spans="1:31" ht="15" customHeight="1" x14ac:dyDescent="0.25">
      <c r="A15" s="199" t="s">
        <v>64</v>
      </c>
      <c r="B15" s="199"/>
      <c r="C15" s="199"/>
      <c r="D15" s="199"/>
      <c r="E15" s="199"/>
      <c r="J15" s="21" t="str">
        <f>IF(Tabela!F16="","",Tabela!F16)</f>
        <v/>
      </c>
      <c r="K15" s="201" t="s">
        <v>64</v>
      </c>
      <c r="L15" s="201"/>
      <c r="M15" s="201"/>
      <c r="N15" s="201"/>
      <c r="O15" s="201"/>
      <c r="Q15" s="198"/>
      <c r="R15" s="198"/>
      <c r="S15" s="198"/>
      <c r="T15" s="198"/>
      <c r="U15" s="198"/>
      <c r="W15" s="127" t="s">
        <v>10</v>
      </c>
      <c r="X15" s="127"/>
      <c r="Y15" s="127"/>
      <c r="Z15" s="51">
        <v>1</v>
      </c>
      <c r="AB15" s="51">
        <v>2</v>
      </c>
      <c r="AC15" s="127" t="s">
        <v>23</v>
      </c>
      <c r="AD15" s="127"/>
      <c r="AE15" s="127"/>
    </row>
    <row r="16" spans="1:31" x14ac:dyDescent="0.25">
      <c r="A16" s="18" t="s">
        <v>5</v>
      </c>
      <c r="B16" s="76">
        <v>3</v>
      </c>
      <c r="C16" s="76" t="s">
        <v>53</v>
      </c>
      <c r="D16" s="76">
        <v>1</v>
      </c>
      <c r="E16" s="19" t="s">
        <v>55</v>
      </c>
      <c r="H16" s="16">
        <v>0</v>
      </c>
      <c r="J16" s="21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7" t="s">
        <v>8</v>
      </c>
      <c r="X16" s="127"/>
      <c r="Y16" s="127"/>
      <c r="Z16" s="51">
        <v>2</v>
      </c>
      <c r="AB16" s="51">
        <v>0</v>
      </c>
      <c r="AC16" s="127" t="s">
        <v>29</v>
      </c>
      <c r="AD16" s="127"/>
      <c r="AE16" s="127"/>
    </row>
    <row r="17" spans="1:31" x14ac:dyDescent="0.25">
      <c r="A17" s="18" t="s">
        <v>24</v>
      </c>
      <c r="B17" s="76">
        <v>1</v>
      </c>
      <c r="C17" s="76" t="s">
        <v>53</v>
      </c>
      <c r="D17" s="76">
        <v>1</v>
      </c>
      <c r="E17" s="19" t="s">
        <v>26</v>
      </c>
      <c r="H17" s="16">
        <v>10</v>
      </c>
      <c r="J17" s="21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7" t="s">
        <v>22</v>
      </c>
      <c r="X17" s="127"/>
      <c r="Y17" s="127"/>
      <c r="Z17" s="51">
        <v>1</v>
      </c>
      <c r="AB17" s="51">
        <v>1</v>
      </c>
      <c r="AC17" s="127" t="s">
        <v>12</v>
      </c>
      <c r="AD17" s="127"/>
      <c r="AE17" s="127"/>
    </row>
    <row r="18" spans="1:31" x14ac:dyDescent="0.25">
      <c r="A18" s="18" t="s">
        <v>26</v>
      </c>
      <c r="B18" s="76">
        <v>2</v>
      </c>
      <c r="C18" s="76" t="s">
        <v>53</v>
      </c>
      <c r="D18" s="76">
        <v>1</v>
      </c>
      <c r="E18" s="19" t="s">
        <v>55</v>
      </c>
      <c r="H18" s="16">
        <v>15</v>
      </c>
      <c r="J18" s="21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7"/>
      <c r="X18" s="127"/>
      <c r="Y18" s="127"/>
      <c r="AC18" s="127"/>
      <c r="AD18" s="127"/>
      <c r="AE18" s="127"/>
    </row>
    <row r="19" spans="1:31" x14ac:dyDescent="0.25">
      <c r="A19" s="18" t="s">
        <v>5</v>
      </c>
      <c r="B19" s="76">
        <v>2</v>
      </c>
      <c r="C19" s="76" t="s">
        <v>53</v>
      </c>
      <c r="D19" s="76">
        <v>0</v>
      </c>
      <c r="E19" s="19" t="s">
        <v>24</v>
      </c>
      <c r="H19" s="16">
        <v>25</v>
      </c>
      <c r="J19" s="21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8</v>
      </c>
      <c r="R19" s="22">
        <v>12</v>
      </c>
      <c r="S19" s="22">
        <v>14</v>
      </c>
      <c r="T19" s="22">
        <v>16</v>
      </c>
      <c r="U19" s="22">
        <v>14</v>
      </c>
      <c r="W19" s="127"/>
      <c r="X19" s="127"/>
      <c r="Y19" s="127"/>
      <c r="AC19" s="127"/>
      <c r="AD19" s="127"/>
      <c r="AE19" s="127"/>
    </row>
    <row r="20" spans="1:31" x14ac:dyDescent="0.25">
      <c r="A20" s="18" t="s">
        <v>26</v>
      </c>
      <c r="B20" s="76">
        <v>1</v>
      </c>
      <c r="C20" s="76" t="s">
        <v>53</v>
      </c>
      <c r="D20" s="76">
        <v>2</v>
      </c>
      <c r="E20" s="19" t="s">
        <v>5</v>
      </c>
      <c r="H20" s="16">
        <v>15</v>
      </c>
      <c r="J20" s="21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7"/>
      <c r="X20" s="127"/>
      <c r="Y20" s="127"/>
      <c r="AC20" s="127"/>
      <c r="AD20" s="127"/>
      <c r="AE20" s="127"/>
    </row>
    <row r="21" spans="1:31" x14ac:dyDescent="0.25">
      <c r="A21" s="18" t="s">
        <v>55</v>
      </c>
      <c r="B21" s="76">
        <v>1</v>
      </c>
      <c r="C21" s="76" t="s">
        <v>53</v>
      </c>
      <c r="D21" s="76">
        <v>2</v>
      </c>
      <c r="E21" s="19" t="s">
        <v>24</v>
      </c>
      <c r="H21" s="16">
        <v>25</v>
      </c>
      <c r="J21" s="21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202" t="s">
        <v>42</v>
      </c>
      <c r="R21" s="202"/>
      <c r="S21" s="199" t="s">
        <v>8</v>
      </c>
      <c r="T21" s="199"/>
      <c r="U21" s="199" t="s">
        <v>5</v>
      </c>
      <c r="V21" s="199"/>
      <c r="W21" s="127"/>
      <c r="X21" s="127"/>
      <c r="Y21" s="127"/>
      <c r="AC21" s="127"/>
      <c r="AD21" s="127"/>
      <c r="AE21" s="127"/>
    </row>
    <row r="22" spans="1:31" x14ac:dyDescent="0.25">
      <c r="A22" s="199" t="s">
        <v>63</v>
      </c>
      <c r="B22" s="199"/>
      <c r="C22" s="199"/>
      <c r="D22" s="199"/>
      <c r="E22" s="199"/>
      <c r="J22" s="21" t="str">
        <f>IF(Tabela!F23="","",Tabela!F23)</f>
        <v/>
      </c>
      <c r="K22" s="201" t="s">
        <v>63</v>
      </c>
      <c r="L22" s="201"/>
      <c r="M22" s="201"/>
      <c r="N22" s="201"/>
      <c r="O22" s="201"/>
      <c r="Q22" s="202" t="s">
        <v>41</v>
      </c>
      <c r="R22" s="202"/>
      <c r="S22" s="203" t="s">
        <v>126</v>
      </c>
      <c r="T22" s="203"/>
      <c r="U22" s="203" t="s">
        <v>135</v>
      </c>
      <c r="V22" s="203"/>
      <c r="W22" s="127"/>
      <c r="X22" s="127"/>
      <c r="Y22" s="127"/>
      <c r="AC22" s="127"/>
      <c r="AD22" s="127"/>
      <c r="AE22" s="127"/>
    </row>
    <row r="23" spans="1:31" x14ac:dyDescent="0.25">
      <c r="A23" s="18" t="s">
        <v>13</v>
      </c>
      <c r="B23" s="76">
        <v>2</v>
      </c>
      <c r="C23" s="76" t="s">
        <v>53</v>
      </c>
      <c r="D23" s="76">
        <v>0</v>
      </c>
      <c r="E23" s="19" t="s">
        <v>31</v>
      </c>
      <c r="H23" s="16">
        <v>5</v>
      </c>
      <c r="J23" s="21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7"/>
      <c r="X23" s="127"/>
      <c r="Y23" s="127"/>
      <c r="AC23" s="127"/>
      <c r="AD23" s="127"/>
      <c r="AE23" s="127"/>
    </row>
    <row r="24" spans="1:31" x14ac:dyDescent="0.25">
      <c r="A24" s="18" t="s">
        <v>17</v>
      </c>
      <c r="B24" s="76">
        <v>2</v>
      </c>
      <c r="C24" s="76" t="s">
        <v>53</v>
      </c>
      <c r="D24" s="76">
        <v>1</v>
      </c>
      <c r="E24" s="19" t="s">
        <v>6</v>
      </c>
      <c r="H24" s="16">
        <v>15</v>
      </c>
      <c r="J24" s="21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7"/>
      <c r="X24" s="127"/>
      <c r="Y24" s="127"/>
      <c r="AC24" s="127"/>
      <c r="AD24" s="127"/>
      <c r="AE24" s="127"/>
    </row>
    <row r="25" spans="1:31" x14ac:dyDescent="0.25">
      <c r="A25" s="18" t="s">
        <v>31</v>
      </c>
      <c r="B25" s="76">
        <v>1</v>
      </c>
      <c r="C25" s="76" t="s">
        <v>53</v>
      </c>
      <c r="D25" s="76">
        <v>1</v>
      </c>
      <c r="E25" s="19" t="s">
        <v>6</v>
      </c>
      <c r="H25" s="16">
        <v>5</v>
      </c>
      <c r="J25" s="21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7"/>
      <c r="X25" s="127"/>
      <c r="Y25" s="127"/>
      <c r="AC25" s="127"/>
      <c r="AD25" s="127"/>
      <c r="AE25" s="127"/>
    </row>
    <row r="26" spans="1:31" x14ac:dyDescent="0.25">
      <c r="A26" s="18" t="s">
        <v>17</v>
      </c>
      <c r="B26" s="76">
        <v>1</v>
      </c>
      <c r="C26" s="76" t="s">
        <v>53</v>
      </c>
      <c r="D26" s="76">
        <v>1</v>
      </c>
      <c r="E26" s="19" t="s">
        <v>13</v>
      </c>
      <c r="H26" s="16">
        <v>5</v>
      </c>
      <c r="J26" s="21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7"/>
      <c r="X26" s="127"/>
      <c r="Y26" s="127"/>
      <c r="AC26" s="127"/>
      <c r="AD26" s="127"/>
      <c r="AE26" s="127"/>
    </row>
    <row r="27" spans="1:31" x14ac:dyDescent="0.25">
      <c r="A27" s="18" t="s">
        <v>31</v>
      </c>
      <c r="B27" s="76">
        <v>0</v>
      </c>
      <c r="C27" s="76" t="s">
        <v>53</v>
      </c>
      <c r="D27" s="76">
        <v>1</v>
      </c>
      <c r="E27" s="19" t="s">
        <v>17</v>
      </c>
      <c r="H27" s="16">
        <v>0</v>
      </c>
      <c r="J27" s="21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7"/>
      <c r="X27" s="127"/>
      <c r="Y27" s="127"/>
      <c r="AC27" s="127"/>
      <c r="AD27" s="127"/>
      <c r="AE27" s="127"/>
    </row>
    <row r="28" spans="1:31" x14ac:dyDescent="0.25">
      <c r="A28" s="18" t="s">
        <v>6</v>
      </c>
      <c r="B28" s="76">
        <v>1</v>
      </c>
      <c r="C28" s="76" t="s">
        <v>53</v>
      </c>
      <c r="D28" s="76">
        <v>2</v>
      </c>
      <c r="E28" s="19" t="s">
        <v>13</v>
      </c>
      <c r="H28" s="16">
        <v>5</v>
      </c>
      <c r="J28" s="21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7"/>
      <c r="X28" s="127"/>
      <c r="Y28" s="127"/>
      <c r="AC28" s="127"/>
      <c r="AD28" s="127"/>
      <c r="AE28" s="127"/>
    </row>
    <row r="29" spans="1:31" x14ac:dyDescent="0.25">
      <c r="A29" s="199" t="s">
        <v>62</v>
      </c>
      <c r="B29" s="199"/>
      <c r="C29" s="199"/>
      <c r="D29" s="199"/>
      <c r="E29" s="199"/>
      <c r="K29" s="201" t="s">
        <v>62</v>
      </c>
      <c r="L29" s="201"/>
      <c r="M29" s="201"/>
      <c r="N29" s="201"/>
      <c r="O29" s="201"/>
      <c r="W29" s="127"/>
      <c r="X29" s="127"/>
      <c r="Y29" s="127"/>
      <c r="AC29" s="127"/>
      <c r="AD29" s="127"/>
      <c r="AE29" s="127"/>
    </row>
    <row r="30" spans="1:31" x14ac:dyDescent="0.25">
      <c r="A30" s="18" t="s">
        <v>4</v>
      </c>
      <c r="B30" s="76">
        <v>2</v>
      </c>
      <c r="C30" s="76" t="s">
        <v>53</v>
      </c>
      <c r="D30" s="76">
        <v>1</v>
      </c>
      <c r="E30" s="19" t="s">
        <v>22</v>
      </c>
      <c r="H30" s="16">
        <v>0</v>
      </c>
      <c r="J30" s="21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7"/>
      <c r="X30" s="127"/>
      <c r="Y30" s="127"/>
      <c r="AC30" s="127"/>
      <c r="AD30" s="127"/>
      <c r="AE30" s="127"/>
    </row>
    <row r="31" spans="1:31" x14ac:dyDescent="0.25">
      <c r="A31" s="18" t="s">
        <v>15</v>
      </c>
      <c r="B31" s="76">
        <v>2</v>
      </c>
      <c r="C31" s="76" t="s">
        <v>53</v>
      </c>
      <c r="D31" s="76">
        <v>0</v>
      </c>
      <c r="E31" s="19" t="s">
        <v>56</v>
      </c>
      <c r="H31" s="16">
        <v>15</v>
      </c>
      <c r="J31" s="21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76">
        <v>1</v>
      </c>
      <c r="C32" s="76" t="s">
        <v>53</v>
      </c>
      <c r="D32" s="76">
        <v>0</v>
      </c>
      <c r="E32" s="19" t="s">
        <v>56</v>
      </c>
      <c r="H32" s="16">
        <v>0</v>
      </c>
      <c r="J32" s="21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76">
        <v>1</v>
      </c>
      <c r="C33" s="76" t="s">
        <v>53</v>
      </c>
      <c r="D33" s="76">
        <v>1</v>
      </c>
      <c r="E33" s="19" t="s">
        <v>4</v>
      </c>
      <c r="H33" s="16">
        <v>25</v>
      </c>
      <c r="J33" s="21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76">
        <v>0</v>
      </c>
      <c r="C34" s="76" t="s">
        <v>53</v>
      </c>
      <c r="D34" s="76">
        <v>1</v>
      </c>
      <c r="E34" s="19" t="s">
        <v>15</v>
      </c>
      <c r="H34" s="16">
        <v>5</v>
      </c>
      <c r="J34" s="21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76">
        <v>1</v>
      </c>
      <c r="C35" s="76" t="s">
        <v>53</v>
      </c>
      <c r="D35" s="76">
        <v>2</v>
      </c>
      <c r="E35" s="19" t="s">
        <v>4</v>
      </c>
      <c r="H35" s="16">
        <v>10</v>
      </c>
      <c r="J35" s="21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99" t="s">
        <v>61</v>
      </c>
      <c r="B36" s="199"/>
      <c r="C36" s="199"/>
      <c r="D36" s="199"/>
      <c r="E36" s="199"/>
      <c r="J36" s="21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76">
        <v>1</v>
      </c>
      <c r="C37" s="76" t="s">
        <v>53</v>
      </c>
      <c r="D37" s="76">
        <v>2</v>
      </c>
      <c r="E37" s="19" t="s">
        <v>12</v>
      </c>
      <c r="H37" s="16">
        <v>0</v>
      </c>
      <c r="J37" s="21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76">
        <v>2</v>
      </c>
      <c r="C38" s="76" t="s">
        <v>53</v>
      </c>
      <c r="D38" s="76">
        <v>0</v>
      </c>
      <c r="E38" s="19" t="s">
        <v>10</v>
      </c>
      <c r="H38" s="16">
        <v>15</v>
      </c>
      <c r="J38" s="21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76">
        <v>2</v>
      </c>
      <c r="C39" s="76" t="s">
        <v>53</v>
      </c>
      <c r="D39" s="76">
        <v>0</v>
      </c>
      <c r="E39" s="19" t="s">
        <v>23</v>
      </c>
      <c r="H39" s="16">
        <v>0</v>
      </c>
      <c r="J39" s="21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76">
        <v>2</v>
      </c>
      <c r="C40" s="76" t="s">
        <v>53</v>
      </c>
      <c r="D40" s="76">
        <v>0</v>
      </c>
      <c r="E40" s="19" t="s">
        <v>10</v>
      </c>
      <c r="H40" s="16">
        <v>10</v>
      </c>
      <c r="J40" s="21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76">
        <v>1</v>
      </c>
      <c r="C41" s="76" t="s">
        <v>53</v>
      </c>
      <c r="D41" s="76">
        <v>1</v>
      </c>
      <c r="E41" s="19" t="s">
        <v>7</v>
      </c>
      <c r="H41" s="16">
        <v>10</v>
      </c>
      <c r="J41" s="21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76">
        <v>1</v>
      </c>
      <c r="C42" s="76" t="s">
        <v>53</v>
      </c>
      <c r="D42" s="76">
        <v>2</v>
      </c>
      <c r="E42" s="19" t="s">
        <v>23</v>
      </c>
      <c r="H42" s="16">
        <v>25</v>
      </c>
      <c r="J42" s="21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99" t="s">
        <v>60</v>
      </c>
      <c r="B43" s="199"/>
      <c r="C43" s="199"/>
      <c r="D43" s="199"/>
      <c r="E43" s="199"/>
      <c r="J43" s="21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76">
        <v>2</v>
      </c>
      <c r="C44" s="76" t="s">
        <v>53</v>
      </c>
      <c r="D44" s="76">
        <v>1</v>
      </c>
      <c r="E44" s="19" t="s">
        <v>9</v>
      </c>
      <c r="H44" s="16">
        <v>10</v>
      </c>
      <c r="J44" s="21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76">
        <v>2</v>
      </c>
      <c r="C45" s="76" t="s">
        <v>53</v>
      </c>
      <c r="D45" s="76">
        <v>0</v>
      </c>
      <c r="E45" s="19" t="s">
        <v>29</v>
      </c>
      <c r="H45" s="16">
        <v>25</v>
      </c>
      <c r="J45" s="21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76">
        <v>2</v>
      </c>
      <c r="C46" s="76" t="s">
        <v>53</v>
      </c>
      <c r="D46" s="76">
        <v>0</v>
      </c>
      <c r="E46" s="19" t="s">
        <v>29</v>
      </c>
      <c r="H46" s="16">
        <v>0</v>
      </c>
      <c r="J46" s="21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76">
        <v>2</v>
      </c>
      <c r="C47" s="76" t="s">
        <v>53</v>
      </c>
      <c r="D47" s="76">
        <v>1</v>
      </c>
      <c r="E47" s="19" t="s">
        <v>30</v>
      </c>
      <c r="H47" s="16">
        <v>10</v>
      </c>
      <c r="J47" s="21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76">
        <v>0</v>
      </c>
      <c r="C48" s="76" t="s">
        <v>53</v>
      </c>
      <c r="D48" s="76">
        <v>2</v>
      </c>
      <c r="E48" s="19" t="s">
        <v>8</v>
      </c>
      <c r="H48" s="16">
        <v>0</v>
      </c>
      <c r="J48" s="21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76">
        <v>1</v>
      </c>
      <c r="C49" s="76" t="s">
        <v>53</v>
      </c>
      <c r="D49" s="76">
        <v>2</v>
      </c>
      <c r="E49" s="19" t="s">
        <v>30</v>
      </c>
      <c r="H49" s="16">
        <v>10</v>
      </c>
      <c r="J49" s="21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99" t="s">
        <v>59</v>
      </c>
      <c r="B50" s="199"/>
      <c r="C50" s="199"/>
      <c r="D50" s="199"/>
      <c r="E50" s="199"/>
      <c r="J50" s="21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76">
        <v>1</v>
      </c>
      <c r="C51" s="76" t="s">
        <v>53</v>
      </c>
      <c r="D51" s="76">
        <v>1</v>
      </c>
      <c r="E51" s="19" t="s">
        <v>67</v>
      </c>
      <c r="H51" s="16">
        <v>10</v>
      </c>
      <c r="J51" s="21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76">
        <v>2</v>
      </c>
      <c r="C52" s="76" t="s">
        <v>53</v>
      </c>
      <c r="D52" s="76">
        <v>1</v>
      </c>
      <c r="E52" s="19" t="s">
        <v>18</v>
      </c>
      <c r="H52" s="16">
        <v>10</v>
      </c>
      <c r="J52" s="21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76">
        <v>1</v>
      </c>
      <c r="C53" s="76" t="s">
        <v>53</v>
      </c>
      <c r="D53" s="76">
        <v>2</v>
      </c>
      <c r="E53" s="19" t="s">
        <v>18</v>
      </c>
      <c r="H53" s="16">
        <v>10</v>
      </c>
      <c r="J53" s="21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76">
        <v>2</v>
      </c>
      <c r="C54" s="76" t="s">
        <v>53</v>
      </c>
      <c r="D54" s="76">
        <v>2</v>
      </c>
      <c r="E54" s="19" t="s">
        <v>32</v>
      </c>
      <c r="H54" s="16">
        <v>5</v>
      </c>
      <c r="J54" s="21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76">
        <v>1</v>
      </c>
      <c r="C55" s="76" t="s">
        <v>53</v>
      </c>
      <c r="D55" s="76">
        <v>2</v>
      </c>
      <c r="E55" s="19" t="s">
        <v>27</v>
      </c>
      <c r="H55" s="16">
        <v>0</v>
      </c>
      <c r="J55" s="21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76">
        <v>1</v>
      </c>
      <c r="C56" s="76" t="s">
        <v>53</v>
      </c>
      <c r="D56" s="76">
        <v>0</v>
      </c>
      <c r="E56" s="19" t="s">
        <v>32</v>
      </c>
      <c r="H56" s="16">
        <v>0</v>
      </c>
      <c r="J56" s="21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172</v>
      </c>
      <c r="B57" s="76" t="s">
        <v>171</v>
      </c>
      <c r="J57" s="21" t="str">
        <f>IF(Tabela!L30="","",Tabela!L30)</f>
        <v/>
      </c>
    </row>
    <row r="58" spans="1:15" x14ac:dyDescent="0.25">
      <c r="A58" s="204" t="str">
        <f>_xlfn.CONCAT(W2,A57)</f>
        <v>Macélio - Oitavas de Final</v>
      </c>
      <c r="B58" s="204"/>
      <c r="C58" s="204"/>
      <c r="D58" s="204"/>
      <c r="E58" s="204"/>
      <c r="J58" s="21" t="str">
        <f>IF(Tabela!F47="","",Tabela!F47)</f>
        <v/>
      </c>
      <c r="K58" s="205" t="s">
        <v>170</v>
      </c>
      <c r="L58" s="205"/>
      <c r="M58" s="205"/>
      <c r="N58" s="205"/>
      <c r="O58" s="205"/>
    </row>
    <row r="59" spans="1:15" x14ac:dyDescent="0.25">
      <c r="A59" s="84" t="s">
        <v>19</v>
      </c>
      <c r="B59" s="85">
        <v>1</v>
      </c>
      <c r="C59" s="85" t="s">
        <v>53</v>
      </c>
      <c r="D59" s="85">
        <v>0</v>
      </c>
      <c r="E59" s="86" t="s">
        <v>165</v>
      </c>
      <c r="H59" s="16">
        <v>10</v>
      </c>
      <c r="J59" s="21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21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1</v>
      </c>
      <c r="E61" s="86" t="s">
        <v>12</v>
      </c>
      <c r="H61" s="16">
        <v>25</v>
      </c>
      <c r="J61" s="21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166</v>
      </c>
      <c r="H62" s="16">
        <v>10</v>
      </c>
      <c r="J62" s="21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0</v>
      </c>
      <c r="E63" s="86" t="s">
        <v>28</v>
      </c>
      <c r="H63" s="16">
        <v>15</v>
      </c>
      <c r="J63" s="21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3</v>
      </c>
      <c r="C64" s="85" t="s">
        <v>53</v>
      </c>
      <c r="D64" s="85">
        <v>0</v>
      </c>
      <c r="E64" s="86" t="s">
        <v>26</v>
      </c>
      <c r="H64" s="16">
        <v>15</v>
      </c>
      <c r="J64" s="21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1</v>
      </c>
      <c r="E65" s="86" t="s">
        <v>15</v>
      </c>
      <c r="H65" s="16">
        <v>5</v>
      </c>
      <c r="J65" s="21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1</v>
      </c>
      <c r="E66" s="86" t="s">
        <v>30</v>
      </c>
      <c r="H66" s="16">
        <v>5</v>
      </c>
      <c r="J66" s="21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173</v>
      </c>
      <c r="B67" s="88"/>
      <c r="C67" s="88"/>
      <c r="D67" s="88"/>
      <c r="E67" s="89"/>
      <c r="J67" s="21" t="str">
        <f>IF(Tabela!F40="","",Tabela!F40)</f>
        <v/>
      </c>
    </row>
    <row r="68" spans="1:15" x14ac:dyDescent="0.25">
      <c r="A68" s="204" t="str">
        <f>_xlfn.CONCAT(W2,A67)</f>
        <v>Macélio - Quartas de Final</v>
      </c>
      <c r="B68" s="204"/>
      <c r="C68" s="204"/>
      <c r="D68" s="204"/>
      <c r="E68" s="204"/>
      <c r="J68" s="21" t="str">
        <f>IF(Tabela!F41="","",Tabela!F41)</f>
        <v/>
      </c>
      <c r="K68" s="205" t="s">
        <v>138</v>
      </c>
      <c r="L68" s="205"/>
      <c r="M68" s="205"/>
      <c r="N68" s="205"/>
      <c r="O68" s="205"/>
    </row>
    <row r="69" spans="1:15" x14ac:dyDescent="0.25">
      <c r="A69" s="91" t="str">
        <f>Tabela!A42</f>
        <v>Holanda</v>
      </c>
      <c r="B69" s="92">
        <v>1</v>
      </c>
      <c r="C69" s="92" t="s">
        <v>53</v>
      </c>
      <c r="D69" s="92">
        <v>2</v>
      </c>
      <c r="E69" s="90" t="str">
        <f>Tabela!E42</f>
        <v>Argentina</v>
      </c>
      <c r="H69" s="16">
        <v>5</v>
      </c>
      <c r="J69" s="21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1" t="s">
        <v>12</v>
      </c>
      <c r="B70" s="92">
        <v>1</v>
      </c>
      <c r="C70" s="92" t="s">
        <v>53</v>
      </c>
      <c r="D70" s="92">
        <v>3</v>
      </c>
      <c r="E70" s="90" t="s">
        <v>8</v>
      </c>
      <c r="H70" s="16">
        <v>5</v>
      </c>
      <c r="J70" s="21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1" t="s">
        <v>20</v>
      </c>
      <c r="B71" s="92">
        <v>2</v>
      </c>
      <c r="C71" s="92" t="s">
        <v>53</v>
      </c>
      <c r="D71" s="92">
        <v>1</v>
      </c>
      <c r="E71" s="90" t="s">
        <v>17</v>
      </c>
      <c r="H71" s="16">
        <v>0</v>
      </c>
      <c r="J71" s="21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1" t="str">
        <f>Tabela!A45</f>
        <v>Marrocos</v>
      </c>
      <c r="B72" s="92">
        <v>1</v>
      </c>
      <c r="C72" s="92" t="s">
        <v>53</v>
      </c>
      <c r="D72" s="92">
        <v>2</v>
      </c>
      <c r="E72" s="90" t="str">
        <f>Tabela!E45</f>
        <v>Portugal</v>
      </c>
      <c r="H72" s="16">
        <v>5</v>
      </c>
      <c r="J72" s="21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178</v>
      </c>
      <c r="B73" s="88"/>
      <c r="C73" s="88"/>
      <c r="D73" s="88"/>
      <c r="E73" s="89"/>
      <c r="J73" s="21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6" t="str">
        <f>_xlfn.CONCAT(W$2,A73)</f>
        <v>Macélio - Semi Final</v>
      </c>
      <c r="B74" s="206"/>
      <c r="C74" s="206"/>
      <c r="D74" s="206"/>
      <c r="E74" s="206"/>
      <c r="J74" s="21" t="str">
        <f>IF(Tabela!F47="","",Tabela!F47)</f>
        <v/>
      </c>
      <c r="K74" s="205" t="s">
        <v>139</v>
      </c>
      <c r="L74" s="205"/>
      <c r="M74" s="205"/>
      <c r="N74" s="205"/>
      <c r="O74" s="205"/>
    </row>
    <row r="75" spans="1:15" x14ac:dyDescent="0.25">
      <c r="A75" s="18" t="str">
        <f>IF(Tabela!A48="","",Tabela!A48)</f>
        <v>Argentina</v>
      </c>
      <c r="B75" s="76">
        <v>2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21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3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15</v>
      </c>
      <c r="J76" s="21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179</v>
      </c>
      <c r="J77" s="21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6" t="str">
        <f>_xlfn.CONCAT(W$2,A77)</f>
        <v>Macélio - Terceiro Lugar</v>
      </c>
      <c r="B78" s="206"/>
      <c r="C78" s="206"/>
      <c r="D78" s="206"/>
      <c r="E78" s="206"/>
      <c r="J78" s="21" t="str">
        <f>IF(Tabela!F51="","",Tabela!F51)</f>
        <v/>
      </c>
      <c r="K78" s="205" t="s">
        <v>140</v>
      </c>
      <c r="L78" s="205"/>
      <c r="M78" s="205"/>
      <c r="N78" s="205"/>
      <c r="O78" s="205"/>
    </row>
    <row r="79" spans="1:15" x14ac:dyDescent="0.25">
      <c r="A79" s="18" t="str">
        <f>IF(Tabela!A52="","",Tabela!A52)</f>
        <v>Croácia</v>
      </c>
      <c r="B79" s="76">
        <v>1</v>
      </c>
      <c r="C79" s="76" t="s">
        <v>53</v>
      </c>
      <c r="D79" s="76">
        <v>2</v>
      </c>
      <c r="E79" s="19" t="str">
        <f>IF(Tabela!E52="","",Tabela!E52)</f>
        <v>Marrocos</v>
      </c>
      <c r="H79" s="16">
        <v>0</v>
      </c>
      <c r="J79" s="21" t="str">
        <f>IF(Tabela!F52="","",Tabela!F52)</f>
        <v/>
      </c>
      <c r="K79" s="76" t="str">
        <f>IF(Tabela!A52="","",Tabela!A52)</f>
        <v>Croácia</v>
      </c>
      <c r="L79" s="76">
        <f>IF(Tabela!B52="","",Tabela!B52)</f>
        <v>2</v>
      </c>
      <c r="M79" s="76" t="str">
        <f>IF(Tabela!C52="","",Tabela!C52)</f>
        <v>X</v>
      </c>
      <c r="N79" s="76">
        <f>IF(Tabela!D52="","",Tabela!D52)</f>
        <v>1</v>
      </c>
      <c r="O79" s="76" t="str">
        <f>IF(Tabela!E52="","",Tabela!E52)</f>
        <v>Marrocos</v>
      </c>
    </row>
    <row r="80" spans="1:15" x14ac:dyDescent="0.25">
      <c r="A80" s="73" t="s">
        <v>180</v>
      </c>
      <c r="J80" s="21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6" t="str">
        <f>_xlfn.CONCAT(W$2,A80)</f>
        <v>Macélio - Final</v>
      </c>
      <c r="B81" s="206"/>
      <c r="C81" s="206"/>
      <c r="D81" s="206"/>
      <c r="E81" s="206"/>
      <c r="J81" s="21" t="str">
        <f>IF(Tabela!F54="","",Tabela!F54)</f>
        <v/>
      </c>
      <c r="K81" s="205" t="s">
        <v>141</v>
      </c>
      <c r="L81" s="205"/>
      <c r="M81" s="205"/>
      <c r="N81" s="205"/>
      <c r="O81" s="205"/>
    </row>
    <row r="82" spans="1:15" x14ac:dyDescent="0.25">
      <c r="A82" s="18" t="str">
        <f>IF(Tabela!A55="","",Tabela!A55)</f>
        <v>Argentina</v>
      </c>
      <c r="B82" s="76">
        <v>2</v>
      </c>
      <c r="C82" s="76" t="s">
        <v>53</v>
      </c>
      <c r="D82" s="76">
        <v>1</v>
      </c>
      <c r="E82" s="19" t="str">
        <f>IF(Tabela!E55="","",Tabela!E55)</f>
        <v>França</v>
      </c>
      <c r="H82" s="16">
        <v>0</v>
      </c>
      <c r="J82" s="21" t="str">
        <f>IF(Tabela!F55="","",Tabela!F55)</f>
        <v/>
      </c>
      <c r="K82" s="76" t="str">
        <f>IF(Tabela!A55="","",Tabela!A55)</f>
        <v>Argentina</v>
      </c>
      <c r="L82" s="76">
        <f>IF(Tabela!B55="","",Tabela!B55)</f>
        <v>3</v>
      </c>
      <c r="M82" s="76" t="str">
        <f>IF(Tabela!C55="","",Tabela!C55)</f>
        <v>X</v>
      </c>
      <c r="N82" s="76">
        <f>IF(Tabela!D55="","",Tabela!D55)</f>
        <v>3</v>
      </c>
      <c r="O82" s="76" t="str">
        <f>IF(Tabela!E55="","",Tabela!E55)</f>
        <v>França</v>
      </c>
    </row>
    <row r="84" spans="1:15" x14ac:dyDescent="0.25">
      <c r="E84" s="19" t="s">
        <v>174</v>
      </c>
      <c r="H84" s="16">
        <v>100</v>
      </c>
    </row>
    <row r="85" spans="1:15" x14ac:dyDescent="0.25">
      <c r="E85" s="19" t="s">
        <v>125</v>
      </c>
      <c r="H85" s="16">
        <v>0</v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50:E50"/>
    <mergeCell ref="K36:O36"/>
    <mergeCell ref="K43:O43"/>
    <mergeCell ref="K50:O50"/>
    <mergeCell ref="Q21:R21"/>
    <mergeCell ref="S21:T21"/>
    <mergeCell ref="A15:E15"/>
    <mergeCell ref="A22:E22"/>
    <mergeCell ref="A29:E29"/>
    <mergeCell ref="A36:E36"/>
    <mergeCell ref="A43:E43"/>
    <mergeCell ref="K1:O1"/>
    <mergeCell ref="K8:O8"/>
    <mergeCell ref="K15:O15"/>
    <mergeCell ref="K22:O22"/>
    <mergeCell ref="K29:O29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58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6" width="5.7109375" style="17" customWidth="1"/>
    <col min="37" max="84" width="4.7109375" style="17" customWidth="1"/>
    <col min="85" max="16384" width="9.140625" style="17"/>
  </cols>
  <sheetData>
    <row r="1" spans="1:56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56" x14ac:dyDescent="0.25">
      <c r="A2" s="18" t="s">
        <v>11</v>
      </c>
      <c r="B2" s="58">
        <v>1</v>
      </c>
      <c r="C2" s="58" t="s">
        <v>53</v>
      </c>
      <c r="D2" s="58">
        <v>2</v>
      </c>
      <c r="E2" s="19" t="s">
        <v>14</v>
      </c>
      <c r="H2" s="16">
        <v>15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0" t="s">
        <v>91</v>
      </c>
      <c r="X2" s="200"/>
      <c r="Y2" s="200"/>
      <c r="Z2" s="200"/>
      <c r="AA2" s="200"/>
      <c r="AB2" s="200"/>
      <c r="AC2" s="200"/>
      <c r="AD2" s="200"/>
      <c r="AE2" s="200"/>
    </row>
    <row r="3" spans="1:56" x14ac:dyDescent="0.25">
      <c r="A3" s="18" t="s">
        <v>28</v>
      </c>
      <c r="B3" s="58">
        <v>1</v>
      </c>
      <c r="C3" s="58" t="s">
        <v>53</v>
      </c>
      <c r="D3" s="58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0"/>
      <c r="X3" s="200"/>
      <c r="Y3" s="200"/>
      <c r="Z3" s="200"/>
      <c r="AA3" s="200"/>
      <c r="AB3" s="200"/>
      <c r="AC3" s="200"/>
      <c r="AD3" s="200"/>
      <c r="AE3" s="200"/>
    </row>
    <row r="4" spans="1:56" x14ac:dyDescent="0.25">
      <c r="A4" s="18" t="s">
        <v>11</v>
      </c>
      <c r="B4" s="58">
        <v>1</v>
      </c>
      <c r="C4" s="58" t="s">
        <v>53</v>
      </c>
      <c r="D4" s="58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0"/>
      <c r="X4" s="200"/>
      <c r="Y4" s="200"/>
      <c r="Z4" s="200"/>
      <c r="AA4" s="200"/>
      <c r="AB4" s="200"/>
      <c r="AC4" s="200"/>
      <c r="AD4" s="200"/>
      <c r="AE4" s="200"/>
    </row>
    <row r="5" spans="1:56" x14ac:dyDescent="0.25">
      <c r="A5" s="18" t="s">
        <v>19</v>
      </c>
      <c r="B5" s="58">
        <v>1</v>
      </c>
      <c r="C5" s="58" t="s">
        <v>53</v>
      </c>
      <c r="D5" s="58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0"/>
      <c r="X5" s="200"/>
      <c r="Y5" s="200"/>
      <c r="Z5" s="200"/>
      <c r="AA5" s="200"/>
      <c r="AB5" s="200"/>
      <c r="AC5" s="200"/>
      <c r="AD5" s="200"/>
      <c r="AE5" s="200"/>
    </row>
    <row r="6" spans="1:56" x14ac:dyDescent="0.25">
      <c r="A6" s="18" t="s">
        <v>19</v>
      </c>
      <c r="B6" s="58">
        <v>2</v>
      </c>
      <c r="C6" s="58" t="s">
        <v>53</v>
      </c>
      <c r="D6" s="58">
        <v>0</v>
      </c>
      <c r="E6" s="19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0"/>
      <c r="X6" s="200"/>
      <c r="Y6" s="200"/>
      <c r="Z6" s="200"/>
      <c r="AA6" s="200"/>
      <c r="AB6" s="200"/>
      <c r="AC6" s="200"/>
      <c r="AD6" s="200"/>
      <c r="AE6" s="200"/>
    </row>
    <row r="7" spans="1:56" x14ac:dyDescent="0.25">
      <c r="A7" s="18" t="s">
        <v>14</v>
      </c>
      <c r="B7" s="58">
        <v>1</v>
      </c>
      <c r="C7" s="58" t="s">
        <v>53</v>
      </c>
      <c r="D7" s="58">
        <v>0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56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56" x14ac:dyDescent="0.25">
      <c r="A9" s="18" t="s">
        <v>20</v>
      </c>
      <c r="B9" s="58">
        <v>2</v>
      </c>
      <c r="C9" s="58" t="s">
        <v>53</v>
      </c>
      <c r="D9" s="58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7" t="s">
        <v>66</v>
      </c>
      <c r="R9" s="197"/>
      <c r="S9" s="197"/>
      <c r="T9" s="197"/>
      <c r="U9" s="197"/>
      <c r="W9" s="127" t="s">
        <v>123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25">
      <c r="A10" s="18" t="s">
        <v>54</v>
      </c>
      <c r="B10" s="58">
        <v>1</v>
      </c>
      <c r="C10" s="58" t="s">
        <v>53</v>
      </c>
      <c r="D10" s="58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7"/>
      <c r="R10" s="197"/>
      <c r="S10" s="197"/>
      <c r="T10" s="197"/>
      <c r="U10" s="197"/>
      <c r="W10" s="127" t="s">
        <v>19</v>
      </c>
      <c r="X10" s="127"/>
      <c r="Y10" s="127"/>
      <c r="Z10" s="51">
        <v>1</v>
      </c>
      <c r="AB10" s="51">
        <v>1</v>
      </c>
      <c r="AC10" s="127" t="s">
        <v>14</v>
      </c>
      <c r="AD10" s="127"/>
      <c r="AE10" s="127"/>
    </row>
    <row r="11" spans="1:56" x14ac:dyDescent="0.25">
      <c r="A11" s="18" t="s">
        <v>34</v>
      </c>
      <c r="B11" s="58">
        <v>1</v>
      </c>
      <c r="C11" s="58" t="s">
        <v>53</v>
      </c>
      <c r="D11" s="58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8">
        <f>SUM(H2:H85)</f>
        <v>675</v>
      </c>
      <c r="R11" s="198"/>
      <c r="S11" s="198"/>
      <c r="T11" s="198"/>
      <c r="U11" s="198"/>
      <c r="W11" s="127" t="s">
        <v>19</v>
      </c>
      <c r="X11" s="127"/>
      <c r="Y11" s="127"/>
      <c r="Z11" s="51">
        <v>2</v>
      </c>
      <c r="AB11" s="51">
        <v>0</v>
      </c>
      <c r="AC11" s="127" t="s">
        <v>11</v>
      </c>
      <c r="AD11" s="127"/>
      <c r="AE11" s="127"/>
    </row>
    <row r="12" spans="1:56" x14ac:dyDescent="0.25">
      <c r="A12" s="18" t="s">
        <v>20</v>
      </c>
      <c r="B12" s="58">
        <v>2</v>
      </c>
      <c r="C12" s="58" t="s">
        <v>53</v>
      </c>
      <c r="D12" s="58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8"/>
      <c r="R12" s="198"/>
      <c r="S12" s="198"/>
      <c r="T12" s="198"/>
      <c r="U12" s="198"/>
      <c r="W12" s="127" t="s">
        <v>34</v>
      </c>
      <c r="X12" s="127"/>
      <c r="Y12" s="127"/>
      <c r="Z12" s="51">
        <v>0</v>
      </c>
      <c r="AB12" s="51">
        <v>3</v>
      </c>
      <c r="AC12" s="127" t="s">
        <v>20</v>
      </c>
      <c r="AD12" s="127"/>
      <c r="AE12" s="127"/>
    </row>
    <row r="13" spans="1:56" x14ac:dyDescent="0.25">
      <c r="A13" s="18" t="s">
        <v>21</v>
      </c>
      <c r="B13" s="58">
        <v>1</v>
      </c>
      <c r="C13" s="58" t="s">
        <v>53</v>
      </c>
      <c r="D13" s="58">
        <v>1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8"/>
      <c r="R13" s="198"/>
      <c r="S13" s="198"/>
      <c r="T13" s="198"/>
      <c r="U13" s="198"/>
      <c r="W13" s="127" t="s">
        <v>26</v>
      </c>
      <c r="X13" s="127"/>
      <c r="Y13" s="127"/>
      <c r="Z13" s="51">
        <v>2</v>
      </c>
      <c r="AB13" s="51">
        <v>0</v>
      </c>
      <c r="AC13" s="127" t="s">
        <v>55</v>
      </c>
      <c r="AD13" s="127"/>
      <c r="AE13" s="127"/>
    </row>
    <row r="14" spans="1:56" x14ac:dyDescent="0.25">
      <c r="A14" s="18" t="s">
        <v>34</v>
      </c>
      <c r="B14" s="58">
        <v>0</v>
      </c>
      <c r="C14" s="58" t="s">
        <v>53</v>
      </c>
      <c r="D14" s="58">
        <v>3</v>
      </c>
      <c r="E14" s="19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8"/>
      <c r="R14" s="198"/>
      <c r="S14" s="198"/>
      <c r="T14" s="198"/>
      <c r="U14" s="198"/>
      <c r="W14" s="127" t="s">
        <v>6</v>
      </c>
      <c r="X14" s="127"/>
      <c r="Y14" s="127"/>
      <c r="Z14" s="51">
        <v>1</v>
      </c>
      <c r="AB14" s="51">
        <v>0</v>
      </c>
      <c r="AC14" s="127" t="s">
        <v>13</v>
      </c>
      <c r="AD14" s="127"/>
      <c r="AE14" s="127"/>
      <c r="BD14" s="17">
        <v>5</v>
      </c>
    </row>
    <row r="15" spans="1:56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198"/>
      <c r="R15" s="198"/>
      <c r="S15" s="198"/>
      <c r="T15" s="198"/>
      <c r="U15" s="198"/>
      <c r="W15" s="127" t="s">
        <v>8</v>
      </c>
      <c r="X15" s="127"/>
      <c r="Y15" s="127"/>
      <c r="Z15" s="51">
        <v>2</v>
      </c>
      <c r="AB15" s="51">
        <v>0</v>
      </c>
      <c r="AC15" s="127" t="s">
        <v>29</v>
      </c>
      <c r="AD15" s="127"/>
      <c r="AE15" s="127"/>
    </row>
    <row r="16" spans="1:56" x14ac:dyDescent="0.25">
      <c r="A16" s="18" t="s">
        <v>5</v>
      </c>
      <c r="B16" s="58">
        <v>3</v>
      </c>
      <c r="C16" s="58" t="s">
        <v>53</v>
      </c>
      <c r="D16" s="58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7" t="s">
        <v>5</v>
      </c>
      <c r="X16" s="127"/>
      <c r="Y16" s="127"/>
      <c r="Z16" s="51">
        <v>2</v>
      </c>
      <c r="AB16" s="51">
        <v>1</v>
      </c>
      <c r="AC16" s="127" t="s">
        <v>6</v>
      </c>
      <c r="AD16" s="127"/>
      <c r="AE16" s="127"/>
    </row>
    <row r="17" spans="1:31" x14ac:dyDescent="0.25">
      <c r="A17" s="18" t="s">
        <v>24</v>
      </c>
      <c r="B17" s="58">
        <v>1</v>
      </c>
      <c r="C17" s="58" t="s">
        <v>53</v>
      </c>
      <c r="D17" s="58">
        <v>1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7" t="s">
        <v>17</v>
      </c>
      <c r="X17" s="127"/>
      <c r="Y17" s="127"/>
      <c r="Z17" s="51">
        <v>2</v>
      </c>
      <c r="AB17" s="51">
        <v>0</v>
      </c>
      <c r="AC17" s="127" t="s">
        <v>23</v>
      </c>
      <c r="AD17" s="127"/>
      <c r="AE17" s="127"/>
    </row>
    <row r="18" spans="1:31" x14ac:dyDescent="0.25">
      <c r="A18" s="18" t="s">
        <v>26</v>
      </c>
      <c r="B18" s="58">
        <v>2</v>
      </c>
      <c r="C18" s="58" t="s">
        <v>53</v>
      </c>
      <c r="D18" s="58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7" t="s">
        <v>12</v>
      </c>
      <c r="X18" s="127"/>
      <c r="Y18" s="127"/>
      <c r="Z18" s="51">
        <v>2</v>
      </c>
      <c r="AB18" s="51">
        <v>1</v>
      </c>
      <c r="AC18" s="127" t="s">
        <v>23</v>
      </c>
      <c r="AD18" s="127"/>
      <c r="AE18" s="127"/>
    </row>
    <row r="19" spans="1:31" x14ac:dyDescent="0.25">
      <c r="A19" s="18" t="s">
        <v>5</v>
      </c>
      <c r="B19" s="58">
        <v>2</v>
      </c>
      <c r="C19" s="58" t="s">
        <v>53</v>
      </c>
      <c r="D19" s="58">
        <v>1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42">
        <v>9</v>
      </c>
      <c r="R19" s="42">
        <v>14</v>
      </c>
      <c r="S19" s="42">
        <v>13</v>
      </c>
      <c r="T19" s="42">
        <v>12</v>
      </c>
      <c r="U19" s="42">
        <v>16</v>
      </c>
      <c r="W19" s="127"/>
      <c r="X19" s="127"/>
      <c r="Y19" s="127"/>
      <c r="AC19" s="127"/>
      <c r="AD19" s="127"/>
      <c r="AE19" s="127"/>
    </row>
    <row r="20" spans="1:31" x14ac:dyDescent="0.25">
      <c r="A20" s="18" t="s">
        <v>26</v>
      </c>
      <c r="B20" s="58">
        <v>1</v>
      </c>
      <c r="C20" s="58" t="s">
        <v>53</v>
      </c>
      <c r="D20" s="58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7"/>
      <c r="X20" s="127"/>
      <c r="Y20" s="127"/>
      <c r="AC20" s="127"/>
      <c r="AD20" s="127"/>
      <c r="AE20" s="127"/>
    </row>
    <row r="21" spans="1:31" x14ac:dyDescent="0.25">
      <c r="A21" s="18" t="s">
        <v>55</v>
      </c>
      <c r="B21" s="58">
        <v>0</v>
      </c>
      <c r="C21" s="58" t="s">
        <v>53</v>
      </c>
      <c r="D21" s="58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202" t="s">
        <v>42</v>
      </c>
      <c r="R21" s="202"/>
      <c r="S21" s="199" t="s">
        <v>8</v>
      </c>
      <c r="T21" s="199"/>
      <c r="U21" s="199" t="s">
        <v>7</v>
      </c>
      <c r="V21" s="199"/>
      <c r="W21" s="127"/>
      <c r="X21" s="127"/>
      <c r="Y21" s="127"/>
      <c r="AC21" s="127"/>
      <c r="AD21" s="127"/>
      <c r="AE21" s="127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202" t="s">
        <v>41</v>
      </c>
      <c r="R22" s="202"/>
      <c r="S22" s="203" t="s">
        <v>126</v>
      </c>
      <c r="T22" s="203"/>
      <c r="U22" s="203" t="s">
        <v>127</v>
      </c>
      <c r="V22" s="203"/>
      <c r="W22" s="127"/>
      <c r="X22" s="127"/>
      <c r="Y22" s="127"/>
      <c r="AC22" s="127"/>
      <c r="AD22" s="127"/>
      <c r="AE22" s="127"/>
    </row>
    <row r="23" spans="1:31" x14ac:dyDescent="0.25">
      <c r="A23" s="18" t="s">
        <v>13</v>
      </c>
      <c r="B23" s="58">
        <v>1</v>
      </c>
      <c r="C23" s="58" t="s">
        <v>53</v>
      </c>
      <c r="D23" s="58">
        <v>1</v>
      </c>
      <c r="E23" s="19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7"/>
      <c r="X23" s="127"/>
      <c r="Y23" s="127"/>
      <c r="AC23" s="127"/>
      <c r="AD23" s="127"/>
      <c r="AE23" s="127"/>
    </row>
    <row r="24" spans="1:31" x14ac:dyDescent="0.25">
      <c r="A24" s="18" t="s">
        <v>17</v>
      </c>
      <c r="B24" s="58">
        <v>2</v>
      </c>
      <c r="C24" s="58" t="s">
        <v>53</v>
      </c>
      <c r="D24" s="58">
        <v>1</v>
      </c>
      <c r="E24" s="19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7"/>
      <c r="X24" s="127"/>
      <c r="Y24" s="127"/>
      <c r="AC24" s="127"/>
      <c r="AD24" s="127"/>
      <c r="AE24" s="127"/>
    </row>
    <row r="25" spans="1:31" x14ac:dyDescent="0.25">
      <c r="A25" s="18" t="s">
        <v>31</v>
      </c>
      <c r="B25" s="58">
        <v>0</v>
      </c>
      <c r="C25" s="58" t="s">
        <v>53</v>
      </c>
      <c r="D25" s="58">
        <v>0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7"/>
      <c r="X25" s="127"/>
      <c r="Y25" s="127"/>
      <c r="AC25" s="127"/>
      <c r="AD25" s="127"/>
      <c r="AE25" s="127"/>
    </row>
    <row r="26" spans="1:31" x14ac:dyDescent="0.25">
      <c r="A26" s="18" t="s">
        <v>17</v>
      </c>
      <c r="B26" s="58">
        <v>2</v>
      </c>
      <c r="C26" s="58" t="s">
        <v>53</v>
      </c>
      <c r="D26" s="58">
        <v>0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7"/>
      <c r="X26" s="127"/>
      <c r="Y26" s="127"/>
      <c r="AC26" s="127"/>
      <c r="AD26" s="127"/>
      <c r="AE26" s="127"/>
    </row>
    <row r="27" spans="1:31" x14ac:dyDescent="0.25">
      <c r="A27" s="18" t="s">
        <v>31</v>
      </c>
      <c r="B27" s="58">
        <v>0</v>
      </c>
      <c r="C27" s="58" t="s">
        <v>53</v>
      </c>
      <c r="D27" s="58">
        <v>3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7"/>
      <c r="X27" s="127"/>
      <c r="Y27" s="127"/>
      <c r="Z27" s="56"/>
      <c r="AC27" s="127"/>
      <c r="AD27" s="127"/>
      <c r="AE27" s="127"/>
    </row>
    <row r="28" spans="1:31" x14ac:dyDescent="0.25">
      <c r="A28" s="18" t="s">
        <v>6</v>
      </c>
      <c r="B28" s="58">
        <v>1</v>
      </c>
      <c r="C28" s="58" t="s">
        <v>53</v>
      </c>
      <c r="D28" s="58">
        <v>0</v>
      </c>
      <c r="E28" s="19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7"/>
      <c r="X28" s="127"/>
      <c r="Y28" s="127"/>
      <c r="AC28" s="127"/>
      <c r="AD28" s="127"/>
      <c r="AE28" s="127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7"/>
      <c r="X29" s="127"/>
      <c r="Y29" s="127"/>
      <c r="AC29" s="127"/>
      <c r="AD29" s="127"/>
      <c r="AE29" s="127"/>
    </row>
    <row r="30" spans="1:31" x14ac:dyDescent="0.25">
      <c r="A30" s="18" t="s">
        <v>4</v>
      </c>
      <c r="B30" s="58">
        <v>2</v>
      </c>
      <c r="C30" s="58" t="s">
        <v>53</v>
      </c>
      <c r="D30" s="58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Q30" s="57"/>
      <c r="R30" s="57"/>
      <c r="W30" s="127"/>
      <c r="X30" s="127"/>
      <c r="Y30" s="127"/>
      <c r="AC30" s="127"/>
      <c r="AD30" s="127"/>
      <c r="AE30" s="127"/>
    </row>
    <row r="31" spans="1:31" x14ac:dyDescent="0.25">
      <c r="A31" s="18" t="s">
        <v>15</v>
      </c>
      <c r="B31" s="58">
        <v>2</v>
      </c>
      <c r="C31" s="58" t="s">
        <v>53</v>
      </c>
      <c r="D31" s="58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  <c r="Q31" s="57"/>
      <c r="R31" s="57"/>
    </row>
    <row r="32" spans="1:31" x14ac:dyDescent="0.25">
      <c r="A32" s="18" t="s">
        <v>22</v>
      </c>
      <c r="B32" s="58">
        <v>1</v>
      </c>
      <c r="C32" s="58" t="s">
        <v>53</v>
      </c>
      <c r="D32" s="58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58">
        <v>2</v>
      </c>
      <c r="C33" s="58" t="s">
        <v>53</v>
      </c>
      <c r="D33" s="58">
        <v>3</v>
      </c>
      <c r="E33" s="19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58">
        <v>2</v>
      </c>
      <c r="C34" s="58" t="s">
        <v>53</v>
      </c>
      <c r="D34" s="58">
        <v>2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58">
        <v>0</v>
      </c>
      <c r="C35" s="58" t="s">
        <v>53</v>
      </c>
      <c r="D35" s="58">
        <v>4</v>
      </c>
      <c r="E35" s="19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58">
        <v>1</v>
      </c>
      <c r="C37" s="58" t="s">
        <v>53</v>
      </c>
      <c r="D37" s="58">
        <v>3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58">
        <v>2</v>
      </c>
      <c r="C38" s="58" t="s">
        <v>53</v>
      </c>
      <c r="D38" s="58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58">
        <v>2</v>
      </c>
      <c r="C39" s="58" t="s">
        <v>53</v>
      </c>
      <c r="D39" s="58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58">
        <v>2</v>
      </c>
      <c r="C40" s="58" t="s">
        <v>53</v>
      </c>
      <c r="D40" s="58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58">
        <v>1</v>
      </c>
      <c r="C41" s="58" t="s">
        <v>53</v>
      </c>
      <c r="D41" s="58">
        <v>1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58">
        <v>1</v>
      </c>
      <c r="C42" s="58" t="s">
        <v>53</v>
      </c>
      <c r="D42" s="58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58">
        <v>2</v>
      </c>
      <c r="C44" s="58" t="s">
        <v>53</v>
      </c>
      <c r="D44" s="58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58">
        <v>2</v>
      </c>
      <c r="C45" s="58" t="s">
        <v>53</v>
      </c>
      <c r="D45" s="58">
        <v>0</v>
      </c>
      <c r="E45" s="19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58">
        <v>1</v>
      </c>
      <c r="C46" s="58" t="s">
        <v>53</v>
      </c>
      <c r="D46" s="58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58">
        <v>2</v>
      </c>
      <c r="C47" s="58" t="s">
        <v>53</v>
      </c>
      <c r="D47" s="58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58">
        <v>0</v>
      </c>
      <c r="C48" s="58" t="s">
        <v>53</v>
      </c>
      <c r="D48" s="58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58">
        <v>1</v>
      </c>
      <c r="C49" s="58" t="s">
        <v>53</v>
      </c>
      <c r="D49" s="58">
        <v>2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58">
        <v>2</v>
      </c>
      <c r="C51" s="58" t="s">
        <v>53</v>
      </c>
      <c r="D51" s="58">
        <v>1</v>
      </c>
      <c r="E51" s="19" t="s">
        <v>57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58">
        <v>1</v>
      </c>
      <c r="C52" s="58" t="s">
        <v>53</v>
      </c>
      <c r="D52" s="58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57</v>
      </c>
      <c r="B53" s="58">
        <v>2</v>
      </c>
      <c r="C53" s="58" t="s">
        <v>53</v>
      </c>
      <c r="D53" s="58">
        <v>1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58">
        <v>2</v>
      </c>
      <c r="C54" s="58" t="s">
        <v>53</v>
      </c>
      <c r="D54" s="58">
        <v>2</v>
      </c>
      <c r="E54" s="19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57</v>
      </c>
      <c r="B55" s="58">
        <v>1</v>
      </c>
      <c r="C55" s="58" t="s">
        <v>53</v>
      </c>
      <c r="D55" s="58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58">
        <v>1</v>
      </c>
      <c r="C56" s="58" t="s">
        <v>53</v>
      </c>
      <c r="D56" s="58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172</v>
      </c>
    </row>
    <row r="58" spans="1:15" x14ac:dyDescent="0.25">
      <c r="A58" s="208" t="str">
        <f>_xlfn.CONCAT(W2,A57)</f>
        <v>Ivan Alex_1 - Oitavas de Final</v>
      </c>
      <c r="B58" s="208"/>
      <c r="C58" s="208"/>
      <c r="D58" s="208"/>
      <c r="E58" s="208"/>
      <c r="K58" s="209" t="s">
        <v>170</v>
      </c>
      <c r="L58" s="209"/>
      <c r="M58" s="209"/>
      <c r="N58" s="209"/>
      <c r="O58" s="209"/>
    </row>
    <row r="59" spans="1:15" x14ac:dyDescent="0.25">
      <c r="A59" s="84" t="s">
        <v>19</v>
      </c>
      <c r="B59" s="85">
        <v>2</v>
      </c>
      <c r="C59" s="85" t="s">
        <v>53</v>
      </c>
      <c r="D59" s="85">
        <v>1</v>
      </c>
      <c r="E59" s="86" t="s">
        <v>165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2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166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1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2</v>
      </c>
      <c r="C65" s="85" t="s">
        <v>53</v>
      </c>
      <c r="D65" s="85">
        <v>1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2</v>
      </c>
      <c r="E66" s="8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173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Ivan Alex_1 - Quartas de Final</v>
      </c>
      <c r="B68" s="208"/>
      <c r="C68" s="208"/>
      <c r="D68" s="208"/>
      <c r="E68" s="208"/>
      <c r="J68" s="17" t="str">
        <f>IF(Tabela!F41="","",Tabela!F41)</f>
        <v/>
      </c>
      <c r="K68" s="209" t="s">
        <v>138</v>
      </c>
      <c r="L68" s="209"/>
      <c r="M68" s="209"/>
      <c r="N68" s="209"/>
      <c r="O68" s="209"/>
    </row>
    <row r="69" spans="1:15" x14ac:dyDescent="0.25">
      <c r="A69" s="91" t="str">
        <f>Tabela!A42</f>
        <v>Holanda</v>
      </c>
      <c r="B69" s="92">
        <v>1</v>
      </c>
      <c r="C69" s="92" t="s">
        <v>53</v>
      </c>
      <c r="D69" s="92">
        <v>0</v>
      </c>
      <c r="E69" s="90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1" t="s">
        <v>12</v>
      </c>
      <c r="B70" s="92">
        <v>0</v>
      </c>
      <c r="C70" s="92" t="s">
        <v>53</v>
      </c>
      <c r="D70" s="92">
        <v>3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1" t="s">
        <v>20</v>
      </c>
      <c r="B71" s="92">
        <v>1</v>
      </c>
      <c r="C71" s="92" t="s">
        <v>53</v>
      </c>
      <c r="D71" s="92">
        <v>3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1" t="str">
        <f>Tabela!A45</f>
        <v>Marrocos</v>
      </c>
      <c r="B72" s="92">
        <v>1</v>
      </c>
      <c r="C72" s="92" t="s">
        <v>53</v>
      </c>
      <c r="D72" s="92">
        <v>2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178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10" t="str">
        <f>_xlfn.CONCAT(W$2,A73)</f>
        <v>Ivan Alex_1 - Semi Final</v>
      </c>
      <c r="B74" s="210"/>
      <c r="C74" s="210"/>
      <c r="D74" s="210"/>
      <c r="E74" s="210"/>
      <c r="J74" s="17" t="str">
        <f>IF(Tabela!F47="","",Tabela!F47)</f>
        <v/>
      </c>
      <c r="K74" s="209" t="s">
        <v>139</v>
      </c>
      <c r="L74" s="209"/>
      <c r="M74" s="209"/>
      <c r="N74" s="209"/>
      <c r="O74" s="209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25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179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10" t="str">
        <f>_xlfn.CONCAT(W$2,A77)</f>
        <v>Ivan Alex_1 - Terceiro Lugar</v>
      </c>
      <c r="B78" s="210"/>
      <c r="C78" s="210"/>
      <c r="D78" s="210"/>
      <c r="E78" s="210"/>
      <c r="J78" s="17" t="str">
        <f>IF(Tabela!F51="","",Tabela!F51)</f>
        <v/>
      </c>
      <c r="K78" s="209" t="s">
        <v>140</v>
      </c>
      <c r="L78" s="209"/>
      <c r="M78" s="209"/>
      <c r="N78" s="209"/>
      <c r="O78" s="209"/>
    </row>
    <row r="79" spans="1:15" x14ac:dyDescent="0.25">
      <c r="A79" s="18" t="str">
        <f>IF(Tabela!A52="","",Tabela!A52)</f>
        <v>Croácia</v>
      </c>
      <c r="B79" s="76">
        <v>2</v>
      </c>
      <c r="C79" s="76" t="s">
        <v>53</v>
      </c>
      <c r="D79" s="76">
        <v>1</v>
      </c>
      <c r="E79" s="19" t="str">
        <f>IF(Tabela!E52="","",Tabela!E52)</f>
        <v>Marrocos</v>
      </c>
      <c r="H79" s="16">
        <v>25</v>
      </c>
      <c r="J79" s="17" t="str">
        <f>IF(Tabela!F52="","",Tabela!F52)</f>
        <v/>
      </c>
      <c r="K79" s="76" t="str">
        <f>IF(Tabela!A52="","",Tabela!A52)</f>
        <v>Croácia</v>
      </c>
      <c r="L79" s="76">
        <f>IF(Tabela!B52="","",Tabela!B52)</f>
        <v>2</v>
      </c>
      <c r="M79" s="76" t="str">
        <f>IF(Tabela!C52="","",Tabela!C52)</f>
        <v>X</v>
      </c>
      <c r="N79" s="76">
        <f>IF(Tabela!D52="","",Tabela!D52)</f>
        <v>1</v>
      </c>
      <c r="O79" s="76" t="str">
        <f>IF(Tabela!E52="","",Tabela!E52)</f>
        <v>Marrocos</v>
      </c>
    </row>
    <row r="80" spans="1:15" x14ac:dyDescent="0.25">
      <c r="A80" s="73" t="s">
        <v>180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10" t="str">
        <f>_xlfn.CONCAT(W$2,A80)</f>
        <v>Ivan Alex_1 - Final</v>
      </c>
      <c r="B81" s="210"/>
      <c r="C81" s="210"/>
      <c r="D81" s="210"/>
      <c r="E81" s="210"/>
      <c r="J81" s="17" t="str">
        <f>IF(Tabela!F54="","",Tabela!F54)</f>
        <v/>
      </c>
      <c r="K81" s="209" t="s">
        <v>141</v>
      </c>
      <c r="L81" s="209"/>
      <c r="M81" s="209"/>
      <c r="N81" s="209"/>
      <c r="O81" s="209"/>
    </row>
    <row r="82" spans="1:15" x14ac:dyDescent="0.25">
      <c r="A82" s="18" t="str">
        <f>IF(Tabela!A55="","",Tabela!A55)</f>
        <v>Argentina</v>
      </c>
      <c r="B82" s="76">
        <v>3</v>
      </c>
      <c r="C82" s="76" t="s">
        <v>53</v>
      </c>
      <c r="D82" s="76">
        <v>2</v>
      </c>
      <c r="E82" s="19" t="str">
        <f>IF(Tabela!E55="","",Tabela!E55)</f>
        <v>França</v>
      </c>
      <c r="H82" s="16">
        <v>5</v>
      </c>
      <c r="J82" s="17" t="str">
        <f>IF(Tabela!F55="","",Tabela!F55)</f>
        <v/>
      </c>
      <c r="K82" s="76" t="str">
        <f>IF(Tabela!A55="","",Tabela!A55)</f>
        <v>Argentina</v>
      </c>
      <c r="L82" s="76">
        <f>IF(Tabela!B55="","",Tabela!B55)</f>
        <v>3</v>
      </c>
      <c r="M82" s="76" t="str">
        <f>IF(Tabela!C55="","",Tabela!C55)</f>
        <v>X</v>
      </c>
      <c r="N82" s="76">
        <f>IF(Tabela!D55="","",Tabela!D55)</f>
        <v>3</v>
      </c>
      <c r="O82" s="76" t="str">
        <f>IF(Tabela!E55="","",Tabela!E55)</f>
        <v>França</v>
      </c>
    </row>
    <row r="83" spans="1:15" x14ac:dyDescent="0.25">
      <c r="J83" s="17" t="str">
        <f>IF(Tabela!F56="","",Tabela!F56)</f>
        <v/>
      </c>
    </row>
    <row r="84" spans="1:15" x14ac:dyDescent="0.25">
      <c r="E84" s="19" t="s">
        <v>174</v>
      </c>
      <c r="H84" s="16">
        <v>0</v>
      </c>
    </row>
    <row r="85" spans="1:15" x14ac:dyDescent="0.25">
      <c r="E85" s="19" t="s">
        <v>125</v>
      </c>
      <c r="H85" s="16">
        <v>50</v>
      </c>
    </row>
  </sheetData>
  <mergeCells count="78">
    <mergeCell ref="A74:E74"/>
    <mergeCell ref="A78:E78"/>
    <mergeCell ref="A81:E81"/>
    <mergeCell ref="K74:O74"/>
    <mergeCell ref="K78:O78"/>
    <mergeCell ref="K81:O81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A68:E68"/>
    <mergeCell ref="K68:O68"/>
    <mergeCell ref="A15:E15"/>
    <mergeCell ref="K8:O8"/>
    <mergeCell ref="A58:E58"/>
    <mergeCell ref="K58:O5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W14:Y14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W28:Y28"/>
    <mergeCell ref="AC28:AE28"/>
    <mergeCell ref="W29:Y29"/>
    <mergeCell ref="AC29:AE29"/>
    <mergeCell ref="W30:Y30"/>
    <mergeCell ref="AC30:AE30"/>
    <mergeCell ref="U21:V21"/>
    <mergeCell ref="S21:T21"/>
    <mergeCell ref="S22:T22"/>
    <mergeCell ref="U22:V22"/>
    <mergeCell ref="Q21:R21"/>
    <mergeCell ref="Q22:R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54" width="5.7109375" style="17" customWidth="1"/>
    <col min="55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18" t="s">
        <v>11</v>
      </c>
      <c r="B2" s="16">
        <v>0</v>
      </c>
      <c r="C2" s="16" t="s">
        <v>53</v>
      </c>
      <c r="D2" s="16">
        <v>2</v>
      </c>
      <c r="E2" s="19" t="s">
        <v>14</v>
      </c>
      <c r="H2" s="16">
        <v>25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0" t="s">
        <v>92</v>
      </c>
      <c r="X2" s="200"/>
      <c r="Y2" s="200"/>
      <c r="Z2" s="200"/>
      <c r="AA2" s="200"/>
      <c r="AB2" s="200"/>
      <c r="AC2" s="200"/>
      <c r="AD2" s="200"/>
      <c r="AE2" s="200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0"/>
      <c r="X3" s="200"/>
      <c r="Y3" s="200"/>
      <c r="Z3" s="200"/>
      <c r="AA3" s="200"/>
      <c r="AB3" s="200"/>
      <c r="AC3" s="200"/>
      <c r="AD3" s="200"/>
      <c r="AE3" s="200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0"/>
      <c r="X4" s="200"/>
      <c r="Y4" s="200"/>
      <c r="Z4" s="200"/>
      <c r="AA4" s="200"/>
      <c r="AB4" s="200"/>
      <c r="AC4" s="200"/>
      <c r="AD4" s="200"/>
      <c r="AE4" s="200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0"/>
      <c r="X5" s="200"/>
      <c r="Y5" s="200"/>
      <c r="Z5" s="200"/>
      <c r="AA5" s="200"/>
      <c r="AB5" s="200"/>
      <c r="AC5" s="200"/>
      <c r="AD5" s="200"/>
      <c r="AE5" s="200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9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0"/>
      <c r="X6" s="200"/>
      <c r="Y6" s="200"/>
      <c r="Z6" s="200"/>
      <c r="AA6" s="200"/>
      <c r="AB6" s="200"/>
      <c r="AC6" s="200"/>
      <c r="AD6" s="200"/>
      <c r="AE6" s="200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11" t="s">
        <v>65</v>
      </c>
      <c r="B8" s="211"/>
      <c r="C8" s="211"/>
      <c r="D8" s="211"/>
      <c r="E8" s="211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7" t="s">
        <v>66</v>
      </c>
      <c r="R9" s="197"/>
      <c r="S9" s="197"/>
      <c r="T9" s="197"/>
      <c r="U9" s="197"/>
      <c r="W9" s="127" t="s">
        <v>123</v>
      </c>
      <c r="X9" s="127"/>
      <c r="Y9" s="127"/>
      <c r="Z9" s="127"/>
      <c r="AA9" s="127"/>
      <c r="AB9" s="127"/>
      <c r="AC9" s="127"/>
      <c r="AD9" s="127"/>
      <c r="AE9" s="127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7"/>
      <c r="R10" s="197"/>
      <c r="S10" s="197"/>
      <c r="T10" s="197"/>
      <c r="U10" s="197"/>
      <c r="W10" s="127" t="s">
        <v>11</v>
      </c>
      <c r="X10" s="127"/>
      <c r="Y10" s="127"/>
      <c r="Z10" s="51">
        <v>0</v>
      </c>
      <c r="AB10" s="51">
        <v>2</v>
      </c>
      <c r="AC10" s="127" t="s">
        <v>14</v>
      </c>
      <c r="AD10" s="127"/>
      <c r="AE10" s="127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8">
        <f>SUM(H2:H85)</f>
        <v>660</v>
      </c>
      <c r="R11" s="198"/>
      <c r="S11" s="198"/>
      <c r="T11" s="198"/>
      <c r="U11" s="198"/>
      <c r="W11" s="127" t="s">
        <v>28</v>
      </c>
      <c r="X11" s="127"/>
      <c r="Y11" s="127"/>
      <c r="Z11" s="51">
        <v>0</v>
      </c>
      <c r="AB11" s="51">
        <v>2</v>
      </c>
      <c r="AC11" s="127" t="s">
        <v>19</v>
      </c>
      <c r="AD11" s="127"/>
      <c r="AE11" s="127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8"/>
      <c r="R12" s="198"/>
      <c r="S12" s="198"/>
      <c r="T12" s="198"/>
      <c r="U12" s="198"/>
      <c r="W12" s="127" t="s">
        <v>19</v>
      </c>
      <c r="X12" s="127"/>
      <c r="Y12" s="127"/>
      <c r="Z12" s="51">
        <v>1</v>
      </c>
      <c r="AB12" s="51">
        <v>1</v>
      </c>
      <c r="AC12" s="127" t="s">
        <v>14</v>
      </c>
      <c r="AD12" s="127"/>
      <c r="AE12" s="127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8"/>
      <c r="R13" s="198"/>
      <c r="S13" s="198"/>
      <c r="T13" s="198"/>
      <c r="U13" s="198"/>
      <c r="W13" s="127" t="s">
        <v>19</v>
      </c>
      <c r="X13" s="127"/>
      <c r="Y13" s="127"/>
      <c r="Z13" s="51">
        <v>2</v>
      </c>
      <c r="AB13" s="51">
        <v>0</v>
      </c>
      <c r="AC13" s="127" t="s">
        <v>11</v>
      </c>
      <c r="AD13" s="127"/>
      <c r="AE13" s="127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8"/>
      <c r="R14" s="198"/>
      <c r="S14" s="198"/>
      <c r="T14" s="198"/>
      <c r="U14" s="198"/>
      <c r="W14" s="127" t="s">
        <v>21</v>
      </c>
      <c r="X14" s="127"/>
      <c r="Y14" s="127"/>
      <c r="Z14" s="51">
        <v>0</v>
      </c>
      <c r="AB14" s="51">
        <v>1</v>
      </c>
      <c r="AC14" s="127" t="s">
        <v>16</v>
      </c>
      <c r="AD14" s="127"/>
      <c r="AE14" s="127"/>
    </row>
    <row r="15" spans="1:31" x14ac:dyDescent="0.25">
      <c r="A15" s="211" t="s">
        <v>64</v>
      </c>
      <c r="B15" s="211"/>
      <c r="C15" s="211"/>
      <c r="D15" s="211"/>
      <c r="E15" s="211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198"/>
      <c r="R15" s="198"/>
      <c r="S15" s="198"/>
      <c r="T15" s="198"/>
      <c r="U15" s="198"/>
      <c r="W15" s="127" t="s">
        <v>34</v>
      </c>
      <c r="X15" s="127"/>
      <c r="Y15" s="127"/>
      <c r="Z15" s="51">
        <v>0</v>
      </c>
      <c r="AB15" s="51">
        <v>3</v>
      </c>
      <c r="AC15" s="127" t="s">
        <v>20</v>
      </c>
      <c r="AD15" s="127"/>
      <c r="AE15" s="127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7" t="s">
        <v>26</v>
      </c>
      <c r="X16" s="127"/>
      <c r="Y16" s="127"/>
      <c r="Z16" s="51">
        <v>2</v>
      </c>
      <c r="AB16" s="51">
        <v>0</v>
      </c>
      <c r="AC16" s="127" t="s">
        <v>55</v>
      </c>
      <c r="AD16" s="127"/>
      <c r="AE16" s="127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7" t="s">
        <v>31</v>
      </c>
      <c r="X17" s="127"/>
      <c r="Y17" s="127"/>
      <c r="Z17" s="51">
        <v>0</v>
      </c>
      <c r="AB17" s="51">
        <v>1</v>
      </c>
      <c r="AC17" s="127" t="s">
        <v>6</v>
      </c>
      <c r="AD17" s="127"/>
      <c r="AE17" s="127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7" t="s">
        <v>22</v>
      </c>
      <c r="X18" s="127"/>
      <c r="Y18" s="127"/>
      <c r="Z18" s="51">
        <v>0</v>
      </c>
      <c r="AB18" s="51">
        <v>1</v>
      </c>
      <c r="AC18" s="127" t="s">
        <v>56</v>
      </c>
      <c r="AD18" s="127"/>
      <c r="AE18" s="127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14</v>
      </c>
      <c r="R19" s="22">
        <v>7</v>
      </c>
      <c r="S19" s="22">
        <v>16</v>
      </c>
      <c r="T19" s="22">
        <v>9</v>
      </c>
      <c r="U19" s="22">
        <v>18</v>
      </c>
      <c r="W19" s="127" t="s">
        <v>15</v>
      </c>
      <c r="X19" s="127"/>
      <c r="Y19" s="127"/>
      <c r="Z19" s="51">
        <v>1</v>
      </c>
      <c r="AB19" s="51">
        <v>1</v>
      </c>
      <c r="AC19" s="127" t="s">
        <v>4</v>
      </c>
      <c r="AD19" s="127"/>
      <c r="AE19" s="127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7" t="s">
        <v>30</v>
      </c>
      <c r="X20" s="127"/>
      <c r="Y20" s="127"/>
      <c r="Z20" s="51">
        <v>1</v>
      </c>
      <c r="AB20" s="51">
        <v>0</v>
      </c>
      <c r="AC20" s="127" t="s">
        <v>9</v>
      </c>
      <c r="AD20" s="127"/>
      <c r="AE20" s="127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202" t="s">
        <v>42</v>
      </c>
      <c r="R21" s="202"/>
      <c r="S21" s="199" t="s">
        <v>20</v>
      </c>
      <c r="T21" s="199"/>
      <c r="U21" s="199" t="s">
        <v>8</v>
      </c>
      <c r="V21" s="199"/>
      <c r="W21" s="127" t="s">
        <v>8</v>
      </c>
      <c r="X21" s="127"/>
      <c r="Y21" s="127"/>
      <c r="Z21" s="51">
        <v>2</v>
      </c>
      <c r="AB21" s="51">
        <v>0</v>
      </c>
      <c r="AC21" s="127" t="s">
        <v>29</v>
      </c>
      <c r="AD21" s="127"/>
      <c r="AE21" s="127"/>
    </row>
    <row r="22" spans="1:31" x14ac:dyDescent="0.25">
      <c r="A22" s="211" t="s">
        <v>63</v>
      </c>
      <c r="B22" s="211"/>
      <c r="C22" s="211"/>
      <c r="D22" s="211"/>
      <c r="E22" s="211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202" t="s">
        <v>41</v>
      </c>
      <c r="R22" s="202"/>
      <c r="S22" s="203" t="s">
        <v>136</v>
      </c>
      <c r="T22" s="203"/>
      <c r="U22" s="203" t="s">
        <v>126</v>
      </c>
      <c r="V22" s="203"/>
      <c r="W22" s="127" t="s">
        <v>20</v>
      </c>
      <c r="X22" s="127"/>
      <c r="Y22" s="127"/>
      <c r="Z22" s="51">
        <v>1</v>
      </c>
      <c r="AB22" s="51">
        <v>2</v>
      </c>
      <c r="AC22" s="127" t="s">
        <v>17</v>
      </c>
      <c r="AD22" s="127"/>
      <c r="AE22" s="127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7" t="s">
        <v>17</v>
      </c>
      <c r="X23" s="127"/>
      <c r="Y23" s="127"/>
      <c r="Z23" s="51">
        <v>2</v>
      </c>
      <c r="AB23" s="51">
        <v>0</v>
      </c>
      <c r="AC23" s="127" t="s">
        <v>23</v>
      </c>
      <c r="AD23" s="127"/>
      <c r="AE23" s="127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7"/>
      <c r="X24" s="127"/>
      <c r="Y24" s="127"/>
      <c r="AC24" s="127"/>
      <c r="AD24" s="127"/>
      <c r="AE24" s="127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7"/>
      <c r="X25" s="127"/>
      <c r="Y25" s="127"/>
      <c r="AC25" s="127"/>
      <c r="AD25" s="127"/>
      <c r="AE25" s="127"/>
    </row>
    <row r="26" spans="1:31" x14ac:dyDescent="0.25">
      <c r="A26" s="18" t="s">
        <v>17</v>
      </c>
      <c r="B26" s="16">
        <v>1</v>
      </c>
      <c r="C26" s="16" t="s">
        <v>53</v>
      </c>
      <c r="D26" s="16">
        <v>2</v>
      </c>
      <c r="E26" s="19" t="s">
        <v>13</v>
      </c>
      <c r="H26" s="16">
        <v>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7"/>
      <c r="X26" s="127"/>
      <c r="Y26" s="127"/>
      <c r="AC26" s="127"/>
      <c r="AD26" s="127"/>
      <c r="AE26" s="127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7"/>
      <c r="X27" s="127"/>
      <c r="Y27" s="127"/>
      <c r="AC27" s="127"/>
      <c r="AD27" s="127"/>
      <c r="AE27" s="127"/>
    </row>
    <row r="28" spans="1:31" x14ac:dyDescent="0.25">
      <c r="A28" s="18" t="s">
        <v>6</v>
      </c>
      <c r="B28" s="16">
        <v>1</v>
      </c>
      <c r="C28" s="16" t="s">
        <v>53</v>
      </c>
      <c r="D28" s="16">
        <v>3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7"/>
      <c r="X28" s="127"/>
      <c r="Y28" s="127"/>
      <c r="AC28" s="127"/>
      <c r="AD28" s="127"/>
      <c r="AE28" s="127"/>
    </row>
    <row r="29" spans="1:31" x14ac:dyDescent="0.25">
      <c r="A29" s="211" t="s">
        <v>62</v>
      </c>
      <c r="B29" s="211"/>
      <c r="C29" s="211"/>
      <c r="D29" s="211"/>
      <c r="E29" s="211"/>
      <c r="K29" s="201" t="s">
        <v>62</v>
      </c>
      <c r="L29" s="201"/>
      <c r="M29" s="201"/>
      <c r="N29" s="201"/>
      <c r="O29" s="201"/>
      <c r="W29" s="127"/>
      <c r="X29" s="127"/>
      <c r="Y29" s="127"/>
      <c r="AC29" s="127"/>
      <c r="AD29" s="127"/>
      <c r="AE29" s="127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7"/>
      <c r="X30" s="127"/>
      <c r="Y30" s="127"/>
      <c r="AC30" s="127"/>
      <c r="AD30" s="127"/>
      <c r="AE30" s="127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2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11" t="s">
        <v>61</v>
      </c>
      <c r="B36" s="211"/>
      <c r="C36" s="211"/>
      <c r="D36" s="211"/>
      <c r="E36" s="211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11" t="s">
        <v>60</v>
      </c>
      <c r="B43" s="211"/>
      <c r="C43" s="211"/>
      <c r="D43" s="211"/>
      <c r="E43" s="211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11" t="s">
        <v>59</v>
      </c>
      <c r="B50" s="211"/>
      <c r="C50" s="211"/>
      <c r="D50" s="211"/>
      <c r="E50" s="211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9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172</v>
      </c>
    </row>
    <row r="58" spans="1:15" x14ac:dyDescent="0.25">
      <c r="A58" s="208" t="str">
        <f>_xlfn.CONCAT(W2,A57)</f>
        <v>Bruno Flores - Oitavas de Final</v>
      </c>
      <c r="B58" s="208"/>
      <c r="C58" s="208"/>
      <c r="D58" s="208"/>
      <c r="E58" s="208"/>
      <c r="K58" s="209" t="s">
        <v>170</v>
      </c>
      <c r="L58" s="209"/>
      <c r="M58" s="209"/>
      <c r="N58" s="209"/>
      <c r="O58" s="209"/>
    </row>
    <row r="59" spans="1:15" x14ac:dyDescent="0.25">
      <c r="A59" s="84" t="s">
        <v>19</v>
      </c>
      <c r="B59" s="85">
        <v>2</v>
      </c>
      <c r="C59" s="85" t="s">
        <v>53</v>
      </c>
      <c r="D59" s="85">
        <v>1</v>
      </c>
      <c r="E59" s="86" t="s">
        <v>165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2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166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2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3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173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Bruno Flores - Quartas de Final</v>
      </c>
      <c r="B68" s="208"/>
      <c r="C68" s="208"/>
      <c r="D68" s="208"/>
      <c r="E68" s="208"/>
      <c r="J68" s="17" t="str">
        <f>IF(Tabela!F41="","",Tabela!F41)</f>
        <v/>
      </c>
      <c r="K68" s="209" t="s">
        <v>138</v>
      </c>
      <c r="L68" s="209"/>
      <c r="M68" s="209"/>
      <c r="N68" s="209"/>
      <c r="O68" s="209"/>
    </row>
    <row r="69" spans="1:15" x14ac:dyDescent="0.25">
      <c r="A69" s="91" t="str">
        <f>Tabela!A42</f>
        <v>Holanda</v>
      </c>
      <c r="B69" s="92">
        <v>1</v>
      </c>
      <c r="C69" s="92" t="s">
        <v>53</v>
      </c>
      <c r="D69" s="92">
        <v>1</v>
      </c>
      <c r="E69" s="90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1" t="s">
        <v>12</v>
      </c>
      <c r="B70" s="92">
        <v>0</v>
      </c>
      <c r="C70" s="92" t="s">
        <v>53</v>
      </c>
      <c r="D70" s="92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1" t="s">
        <v>20</v>
      </c>
      <c r="B71" s="92">
        <v>1</v>
      </c>
      <c r="C71" s="92" t="s">
        <v>53</v>
      </c>
      <c r="D71" s="92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1" t="str">
        <f>Tabela!A45</f>
        <v>Marrocos</v>
      </c>
      <c r="B72" s="92">
        <v>0</v>
      </c>
      <c r="C72" s="92" t="s">
        <v>53</v>
      </c>
      <c r="D72" s="92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178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10" t="str">
        <f>_xlfn.CONCAT(W$2,A73)</f>
        <v>Bruno Flores - Semi Final</v>
      </c>
      <c r="B74" s="210"/>
      <c r="C74" s="210"/>
      <c r="D74" s="210"/>
      <c r="E74" s="210"/>
      <c r="J74" s="17" t="str">
        <f>IF(Tabela!F47="","",Tabela!F47)</f>
        <v/>
      </c>
      <c r="K74" s="209" t="s">
        <v>139</v>
      </c>
      <c r="L74" s="209"/>
      <c r="M74" s="209"/>
      <c r="N74" s="209"/>
      <c r="O74" s="209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25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179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10" t="str">
        <f>_xlfn.CONCAT(W$2,A77)</f>
        <v>Bruno Flores - Terceiro Lugar</v>
      </c>
      <c r="B78" s="210"/>
      <c r="C78" s="210"/>
      <c r="D78" s="210"/>
      <c r="E78" s="210"/>
      <c r="J78" s="17" t="str">
        <f>IF(Tabela!F51="","",Tabela!F51)</f>
        <v/>
      </c>
      <c r="K78" s="209" t="s">
        <v>140</v>
      </c>
      <c r="L78" s="209"/>
      <c r="M78" s="209"/>
      <c r="N78" s="209"/>
      <c r="O78" s="209"/>
    </row>
    <row r="79" spans="1:15" x14ac:dyDescent="0.25">
      <c r="A79" s="18" t="str">
        <f>IF(Tabela!A52="","",Tabela!A52)</f>
        <v>Croácia</v>
      </c>
      <c r="B79" s="76">
        <v>1</v>
      </c>
      <c r="C79" s="76" t="s">
        <v>53</v>
      </c>
      <c r="D79" s="76">
        <v>1</v>
      </c>
      <c r="E79" s="19" t="str">
        <f>IF(Tabela!E52="","",Tabela!E52)</f>
        <v>Marrocos</v>
      </c>
      <c r="H79" s="16">
        <v>5</v>
      </c>
      <c r="J79" s="17" t="str">
        <f>IF(Tabela!F52="","",Tabela!F52)</f>
        <v/>
      </c>
      <c r="K79" s="76" t="str">
        <f>IF(Tabela!A52="","",Tabela!A52)</f>
        <v>Croácia</v>
      </c>
      <c r="L79" s="76">
        <f>IF(Tabela!B52="","",Tabela!B52)</f>
        <v>2</v>
      </c>
      <c r="M79" s="76" t="str">
        <f>IF(Tabela!C52="","",Tabela!C52)</f>
        <v>X</v>
      </c>
      <c r="N79" s="76">
        <f>IF(Tabela!D52="","",Tabela!D52)</f>
        <v>1</v>
      </c>
      <c r="O79" s="76" t="str">
        <f>IF(Tabela!E52="","",Tabela!E52)</f>
        <v>Marrocos</v>
      </c>
    </row>
    <row r="80" spans="1:15" x14ac:dyDescent="0.25">
      <c r="A80" s="73" t="s">
        <v>180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10" t="str">
        <f>_xlfn.CONCAT(W$2,A80)</f>
        <v>Bruno Flores - Final</v>
      </c>
      <c r="B81" s="210"/>
      <c r="C81" s="210"/>
      <c r="D81" s="210"/>
      <c r="E81" s="210"/>
      <c r="J81" s="17" t="str">
        <f>IF(Tabela!F54="","",Tabela!F54)</f>
        <v/>
      </c>
      <c r="K81" s="209" t="s">
        <v>141</v>
      </c>
      <c r="L81" s="209"/>
      <c r="M81" s="209"/>
      <c r="N81" s="209"/>
      <c r="O81" s="209"/>
    </row>
    <row r="82" spans="1:15" x14ac:dyDescent="0.25">
      <c r="A82" s="18" t="str">
        <f>IF(Tabela!A55="","",Tabela!A55)</f>
        <v>Argentina</v>
      </c>
      <c r="B82" s="76">
        <v>1</v>
      </c>
      <c r="C82" s="76" t="s">
        <v>53</v>
      </c>
      <c r="D82" s="76">
        <v>2</v>
      </c>
      <c r="E82" s="19" t="str">
        <f>IF(Tabela!E55="","",Tabela!E55)</f>
        <v>França</v>
      </c>
      <c r="H82" s="16">
        <v>0</v>
      </c>
      <c r="J82" s="17" t="str">
        <f>IF(Tabela!F55="","",Tabela!F55)</f>
        <v/>
      </c>
      <c r="K82" s="76" t="str">
        <f>IF(Tabela!A55="","",Tabela!A55)</f>
        <v>Argentina</v>
      </c>
      <c r="L82" s="76">
        <f>IF(Tabela!B55="","",Tabela!B55)</f>
        <v>3</v>
      </c>
      <c r="M82" s="76" t="str">
        <f>IF(Tabela!C55="","",Tabela!C55)</f>
        <v>X</v>
      </c>
      <c r="N82" s="76">
        <f>IF(Tabela!D55="","",Tabela!D55)</f>
        <v>3</v>
      </c>
      <c r="O82" s="76" t="str">
        <f>IF(Tabela!E55="","",Tabela!E55)</f>
        <v>França</v>
      </c>
    </row>
    <row r="84" spans="1:15" x14ac:dyDescent="0.25">
      <c r="E84" s="19" t="s">
        <v>174</v>
      </c>
      <c r="H84" s="16">
        <v>0</v>
      </c>
    </row>
    <row r="85" spans="1:15" x14ac:dyDescent="0.25">
      <c r="E85" s="19" t="s">
        <v>125</v>
      </c>
      <c r="H85" s="16">
        <v>0</v>
      </c>
    </row>
  </sheetData>
  <mergeCells count="78">
    <mergeCell ref="A74:E74"/>
    <mergeCell ref="A78:E78"/>
    <mergeCell ref="A81:E81"/>
    <mergeCell ref="K74:O74"/>
    <mergeCell ref="K78:O78"/>
    <mergeCell ref="K81:O81"/>
    <mergeCell ref="A68:E68"/>
    <mergeCell ref="K68:O6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W12:Y12"/>
    <mergeCell ref="AC12:AE12"/>
    <mergeCell ref="A1:E1"/>
    <mergeCell ref="A8:E8"/>
    <mergeCell ref="A15:E15"/>
    <mergeCell ref="W13:Y13"/>
    <mergeCell ref="AC13:AE13"/>
    <mergeCell ref="W14:Y14"/>
    <mergeCell ref="AC14:AE14"/>
    <mergeCell ref="W15:Y15"/>
    <mergeCell ref="AC15:AE15"/>
    <mergeCell ref="A22:E22"/>
    <mergeCell ref="A29:E29"/>
    <mergeCell ref="K1:O1"/>
    <mergeCell ref="K8:O8"/>
    <mergeCell ref="Q9:U10"/>
    <mergeCell ref="Q11:U15"/>
    <mergeCell ref="Q21:R21"/>
    <mergeCell ref="S21:T21"/>
    <mergeCell ref="U21:V21"/>
    <mergeCell ref="Q22:R22"/>
    <mergeCell ref="S22:T22"/>
    <mergeCell ref="U22:V22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A58:E58"/>
    <mergeCell ref="K58:O58"/>
    <mergeCell ref="W28:Y28"/>
    <mergeCell ref="AC28:AE28"/>
    <mergeCell ref="W29:Y29"/>
    <mergeCell ref="AC29:AE29"/>
    <mergeCell ref="W30:Y30"/>
    <mergeCell ref="AC30:AE30"/>
    <mergeCell ref="K50:O5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2" width="5.7109375" style="76" customWidth="1"/>
    <col min="3" max="3" width="5.7109375" style="16" customWidth="1"/>
    <col min="4" max="4" width="5.7109375" style="7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56" width="5.7109375" style="17" customWidth="1"/>
    <col min="57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18" t="s">
        <v>11</v>
      </c>
      <c r="B2" s="76">
        <v>1</v>
      </c>
      <c r="C2" s="16" t="s">
        <v>53</v>
      </c>
      <c r="D2" s="76">
        <v>1</v>
      </c>
      <c r="E2" s="19" t="s">
        <v>14</v>
      </c>
      <c r="H2" s="16">
        <v>0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0" t="s">
        <v>69</v>
      </c>
      <c r="X2" s="200"/>
      <c r="Y2" s="200"/>
      <c r="Z2" s="200"/>
      <c r="AA2" s="200"/>
      <c r="AB2" s="200"/>
      <c r="AC2" s="200"/>
      <c r="AD2" s="200"/>
      <c r="AE2" s="200"/>
    </row>
    <row r="3" spans="1:31" x14ac:dyDescent="0.25">
      <c r="A3" s="18" t="s">
        <v>28</v>
      </c>
      <c r="B3" s="76">
        <v>1</v>
      </c>
      <c r="C3" s="16" t="s">
        <v>53</v>
      </c>
      <c r="D3" s="7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0"/>
      <c r="X3" s="200"/>
      <c r="Y3" s="200"/>
      <c r="Z3" s="200"/>
      <c r="AA3" s="200"/>
      <c r="AB3" s="200"/>
      <c r="AC3" s="200"/>
      <c r="AD3" s="200"/>
      <c r="AE3" s="200"/>
    </row>
    <row r="4" spans="1:31" x14ac:dyDescent="0.25">
      <c r="A4" s="18" t="s">
        <v>11</v>
      </c>
      <c r="B4" s="76">
        <v>1</v>
      </c>
      <c r="C4" s="16" t="s">
        <v>53</v>
      </c>
      <c r="D4" s="7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0"/>
      <c r="X4" s="200"/>
      <c r="Y4" s="200"/>
      <c r="Z4" s="200"/>
      <c r="AA4" s="200"/>
      <c r="AB4" s="200"/>
      <c r="AC4" s="200"/>
      <c r="AD4" s="200"/>
      <c r="AE4" s="200"/>
    </row>
    <row r="5" spans="1:31" x14ac:dyDescent="0.25">
      <c r="A5" s="18" t="s">
        <v>19</v>
      </c>
      <c r="B5" s="76">
        <v>1</v>
      </c>
      <c r="C5" s="16" t="s">
        <v>53</v>
      </c>
      <c r="D5" s="76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0"/>
      <c r="X5" s="200"/>
      <c r="Y5" s="200"/>
      <c r="Z5" s="200"/>
      <c r="AA5" s="200"/>
      <c r="AB5" s="200"/>
      <c r="AC5" s="200"/>
      <c r="AD5" s="200"/>
      <c r="AE5" s="200"/>
    </row>
    <row r="6" spans="1:31" x14ac:dyDescent="0.25">
      <c r="A6" s="18" t="s">
        <v>19</v>
      </c>
      <c r="B6" s="76">
        <v>2</v>
      </c>
      <c r="C6" s="16" t="s">
        <v>53</v>
      </c>
      <c r="D6" s="76">
        <v>0</v>
      </c>
      <c r="E6" s="19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0"/>
      <c r="X6" s="200"/>
      <c r="Y6" s="200"/>
      <c r="Z6" s="200"/>
      <c r="AA6" s="200"/>
      <c r="AB6" s="200"/>
      <c r="AC6" s="200"/>
      <c r="AD6" s="200"/>
      <c r="AE6" s="200"/>
    </row>
    <row r="7" spans="1:31" x14ac:dyDescent="0.25">
      <c r="A7" s="18" t="s">
        <v>14</v>
      </c>
      <c r="B7" s="76">
        <v>2</v>
      </c>
      <c r="C7" s="16" t="s">
        <v>53</v>
      </c>
      <c r="D7" s="7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76">
        <v>1</v>
      </c>
      <c r="C9" s="16" t="s">
        <v>53</v>
      </c>
      <c r="D9" s="7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7" t="s">
        <v>66</v>
      </c>
      <c r="R9" s="197"/>
      <c r="S9" s="197"/>
      <c r="T9" s="197"/>
      <c r="U9" s="197"/>
      <c r="W9" s="127" t="s">
        <v>123</v>
      </c>
      <c r="X9" s="127"/>
      <c r="Y9" s="127"/>
      <c r="Z9" s="127"/>
      <c r="AA9" s="127"/>
      <c r="AB9" s="127"/>
      <c r="AC9" s="127"/>
      <c r="AD9" s="127"/>
      <c r="AE9" s="127"/>
    </row>
    <row r="10" spans="1:31" x14ac:dyDescent="0.25">
      <c r="A10" s="18" t="s">
        <v>54</v>
      </c>
      <c r="B10" s="76">
        <v>1</v>
      </c>
      <c r="C10" s="16" t="s">
        <v>53</v>
      </c>
      <c r="D10" s="76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7"/>
      <c r="R10" s="197"/>
      <c r="S10" s="197"/>
      <c r="T10" s="197"/>
      <c r="U10" s="197"/>
      <c r="W10" s="127" t="s">
        <v>19</v>
      </c>
      <c r="X10" s="127"/>
      <c r="Y10" s="127"/>
      <c r="Z10" s="51">
        <v>1</v>
      </c>
      <c r="AB10" s="51">
        <v>1</v>
      </c>
      <c r="AC10" s="127" t="s">
        <v>14</v>
      </c>
      <c r="AD10" s="127"/>
      <c r="AE10" s="127"/>
    </row>
    <row r="11" spans="1:31" x14ac:dyDescent="0.25">
      <c r="A11" s="18" t="s">
        <v>34</v>
      </c>
      <c r="B11" s="76">
        <v>1</v>
      </c>
      <c r="C11" s="16" t="s">
        <v>53</v>
      </c>
      <c r="D11" s="76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8">
        <f>SUM(H2:H85)</f>
        <v>590</v>
      </c>
      <c r="R11" s="198"/>
      <c r="S11" s="198"/>
      <c r="T11" s="198"/>
      <c r="U11" s="198"/>
      <c r="W11" s="127" t="s">
        <v>19</v>
      </c>
      <c r="X11" s="127"/>
      <c r="Y11" s="127"/>
      <c r="Z11" s="51">
        <v>2</v>
      </c>
      <c r="AB11" s="51">
        <v>0</v>
      </c>
      <c r="AC11" s="127" t="s">
        <v>11</v>
      </c>
      <c r="AD11" s="127"/>
      <c r="AE11" s="127"/>
    </row>
    <row r="12" spans="1:31" x14ac:dyDescent="0.25">
      <c r="A12" s="18" t="s">
        <v>20</v>
      </c>
      <c r="B12" s="76">
        <v>2</v>
      </c>
      <c r="C12" s="16" t="s">
        <v>53</v>
      </c>
      <c r="D12" s="7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8"/>
      <c r="R12" s="198"/>
      <c r="S12" s="198"/>
      <c r="T12" s="198"/>
      <c r="U12" s="198"/>
      <c r="W12" s="127" t="s">
        <v>22</v>
      </c>
      <c r="X12" s="127"/>
      <c r="Y12" s="127"/>
      <c r="Z12" s="51">
        <v>1</v>
      </c>
      <c r="AB12" s="51">
        <v>1</v>
      </c>
      <c r="AC12" s="127" t="s">
        <v>12</v>
      </c>
      <c r="AD12" s="127"/>
      <c r="AE12" s="127"/>
    </row>
    <row r="13" spans="1:31" x14ac:dyDescent="0.25">
      <c r="A13" s="18" t="s">
        <v>21</v>
      </c>
      <c r="B13" s="76">
        <v>0</v>
      </c>
      <c r="C13" s="16" t="s">
        <v>53</v>
      </c>
      <c r="D13" s="76">
        <v>0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8"/>
      <c r="R13" s="198"/>
      <c r="S13" s="198"/>
      <c r="T13" s="198"/>
      <c r="U13" s="198"/>
      <c r="W13" s="127" t="s">
        <v>19</v>
      </c>
      <c r="X13" s="127"/>
      <c r="Y13" s="127"/>
      <c r="Z13" s="51">
        <v>2</v>
      </c>
      <c r="AB13" s="51">
        <v>2</v>
      </c>
      <c r="AC13" s="127" t="s">
        <v>5</v>
      </c>
      <c r="AD13" s="127"/>
      <c r="AE13" s="127"/>
    </row>
    <row r="14" spans="1:31" x14ac:dyDescent="0.25">
      <c r="A14" s="18" t="s">
        <v>34</v>
      </c>
      <c r="B14" s="76">
        <v>0</v>
      </c>
      <c r="C14" s="16" t="s">
        <v>53</v>
      </c>
      <c r="D14" s="76">
        <v>2</v>
      </c>
      <c r="E14" s="19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8"/>
      <c r="R14" s="198"/>
      <c r="S14" s="198"/>
      <c r="T14" s="198"/>
      <c r="U14" s="198"/>
      <c r="W14" s="127" t="s">
        <v>20</v>
      </c>
      <c r="X14" s="127"/>
      <c r="Y14" s="127"/>
      <c r="Z14" s="51">
        <v>1</v>
      </c>
      <c r="AB14" s="51">
        <v>2</v>
      </c>
      <c r="AC14" s="127" t="s">
        <v>17</v>
      </c>
      <c r="AD14" s="127"/>
      <c r="AE14" s="127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198"/>
      <c r="R15" s="198"/>
      <c r="S15" s="198"/>
      <c r="T15" s="198"/>
      <c r="U15" s="198"/>
      <c r="W15" s="127" t="s">
        <v>5</v>
      </c>
      <c r="X15" s="127"/>
      <c r="Y15" s="127"/>
      <c r="Z15" s="51">
        <v>3</v>
      </c>
      <c r="AB15" s="51">
        <v>0</v>
      </c>
      <c r="AC15" s="127" t="s">
        <v>12</v>
      </c>
      <c r="AD15" s="127"/>
      <c r="AE15" s="127"/>
    </row>
    <row r="16" spans="1:31" x14ac:dyDescent="0.25">
      <c r="A16" s="18" t="s">
        <v>5</v>
      </c>
      <c r="B16" s="76">
        <v>2</v>
      </c>
      <c r="C16" s="16" t="s">
        <v>53</v>
      </c>
      <c r="D16" s="7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7"/>
      <c r="X16" s="127"/>
      <c r="Y16" s="127"/>
      <c r="AC16" s="127"/>
      <c r="AD16" s="127"/>
      <c r="AE16" s="127"/>
    </row>
    <row r="17" spans="1:31" x14ac:dyDescent="0.25">
      <c r="A17" s="18" t="s">
        <v>24</v>
      </c>
      <c r="B17" s="76">
        <v>1</v>
      </c>
      <c r="C17" s="16" t="s">
        <v>53</v>
      </c>
      <c r="D17" s="76">
        <v>1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7"/>
      <c r="X17" s="127"/>
      <c r="Y17" s="127"/>
      <c r="AC17" s="127"/>
      <c r="AD17" s="127"/>
      <c r="AE17" s="127"/>
    </row>
    <row r="18" spans="1:31" x14ac:dyDescent="0.25">
      <c r="A18" s="18" t="s">
        <v>26</v>
      </c>
      <c r="B18" s="76">
        <v>1</v>
      </c>
      <c r="C18" s="16" t="s">
        <v>53</v>
      </c>
      <c r="D18" s="7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7"/>
      <c r="X18" s="127"/>
      <c r="Y18" s="127"/>
      <c r="AC18" s="127"/>
      <c r="AD18" s="127"/>
      <c r="AE18" s="127"/>
    </row>
    <row r="19" spans="1:31" x14ac:dyDescent="0.25">
      <c r="A19" s="18" t="s">
        <v>5</v>
      </c>
      <c r="B19" s="76">
        <v>3</v>
      </c>
      <c r="C19" s="16" t="s">
        <v>53</v>
      </c>
      <c r="D19" s="7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10</v>
      </c>
      <c r="S19" s="22">
        <v>15</v>
      </c>
      <c r="T19" s="22">
        <v>18</v>
      </c>
      <c r="U19" s="22">
        <v>15</v>
      </c>
      <c r="W19" s="127"/>
      <c r="X19" s="127"/>
      <c r="Y19" s="127"/>
      <c r="AC19" s="127"/>
      <c r="AD19" s="127"/>
      <c r="AE19" s="127"/>
    </row>
    <row r="20" spans="1:31" x14ac:dyDescent="0.25">
      <c r="A20" s="18" t="s">
        <v>26</v>
      </c>
      <c r="B20" s="76">
        <v>1</v>
      </c>
      <c r="C20" s="16" t="s">
        <v>53</v>
      </c>
      <c r="D20" s="7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7"/>
      <c r="X20" s="127"/>
      <c r="Y20" s="127"/>
      <c r="AC20" s="127"/>
      <c r="AD20" s="127"/>
      <c r="AE20" s="127"/>
    </row>
    <row r="21" spans="1:31" x14ac:dyDescent="0.25">
      <c r="A21" s="18" t="s">
        <v>55</v>
      </c>
      <c r="B21" s="76">
        <v>0</v>
      </c>
      <c r="C21" s="16" t="s">
        <v>53</v>
      </c>
      <c r="D21" s="7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202" t="s">
        <v>42</v>
      </c>
      <c r="R21" s="202"/>
      <c r="S21" s="199" t="s">
        <v>17</v>
      </c>
      <c r="T21" s="199"/>
      <c r="U21" s="199" t="s">
        <v>7</v>
      </c>
      <c r="V21" s="199"/>
      <c r="W21" s="127"/>
      <c r="X21" s="127"/>
      <c r="Y21" s="127"/>
      <c r="AC21" s="127"/>
      <c r="AD21" s="127"/>
      <c r="AE21" s="127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202" t="s">
        <v>41</v>
      </c>
      <c r="R22" s="202"/>
      <c r="S22" s="203" t="s">
        <v>127</v>
      </c>
      <c r="T22" s="203"/>
      <c r="U22" s="203" t="s">
        <v>129</v>
      </c>
      <c r="V22" s="203"/>
      <c r="W22" s="127"/>
      <c r="X22" s="127"/>
      <c r="Y22" s="127"/>
      <c r="AC22" s="127"/>
      <c r="AD22" s="127"/>
      <c r="AE22" s="127"/>
    </row>
    <row r="23" spans="1:31" x14ac:dyDescent="0.25">
      <c r="A23" s="18" t="s">
        <v>13</v>
      </c>
      <c r="B23" s="76">
        <v>1</v>
      </c>
      <c r="C23" s="16" t="s">
        <v>53</v>
      </c>
      <c r="D23" s="76">
        <v>1</v>
      </c>
      <c r="E23" s="19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7"/>
      <c r="X23" s="127"/>
      <c r="Y23" s="127"/>
      <c r="AC23" s="127"/>
      <c r="AD23" s="127"/>
      <c r="AE23" s="127"/>
    </row>
    <row r="24" spans="1:31" x14ac:dyDescent="0.25">
      <c r="A24" s="18" t="s">
        <v>17</v>
      </c>
      <c r="B24" s="76">
        <v>2</v>
      </c>
      <c r="C24" s="16" t="s">
        <v>53</v>
      </c>
      <c r="D24" s="76">
        <v>1</v>
      </c>
      <c r="E24" s="19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7"/>
      <c r="X24" s="127"/>
      <c r="Y24" s="127"/>
      <c r="AC24" s="127"/>
      <c r="AD24" s="127"/>
      <c r="AE24" s="127"/>
    </row>
    <row r="25" spans="1:31" x14ac:dyDescent="0.25">
      <c r="A25" s="18" t="s">
        <v>31</v>
      </c>
      <c r="B25" s="76">
        <v>1</v>
      </c>
      <c r="C25" s="16" t="s">
        <v>53</v>
      </c>
      <c r="D25" s="76">
        <v>1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7"/>
      <c r="X25" s="127"/>
      <c r="Y25" s="127"/>
      <c r="AC25" s="127"/>
      <c r="AD25" s="127"/>
      <c r="AE25" s="127"/>
    </row>
    <row r="26" spans="1:31" x14ac:dyDescent="0.25">
      <c r="A26" s="18" t="s">
        <v>17</v>
      </c>
      <c r="B26" s="76">
        <v>1</v>
      </c>
      <c r="C26" s="16" t="s">
        <v>53</v>
      </c>
      <c r="D26" s="7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7"/>
      <c r="X26" s="127"/>
      <c r="Y26" s="127"/>
      <c r="AC26" s="127"/>
      <c r="AD26" s="127"/>
      <c r="AE26" s="127"/>
    </row>
    <row r="27" spans="1:31" x14ac:dyDescent="0.25">
      <c r="A27" s="18" t="s">
        <v>31</v>
      </c>
      <c r="B27" s="76">
        <v>0</v>
      </c>
      <c r="C27" s="16" t="s">
        <v>53</v>
      </c>
      <c r="D27" s="76">
        <v>2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7"/>
      <c r="X27" s="127"/>
      <c r="Y27" s="127"/>
      <c r="AC27" s="127"/>
      <c r="AD27" s="127"/>
      <c r="AE27" s="127"/>
    </row>
    <row r="28" spans="1:31" x14ac:dyDescent="0.25">
      <c r="A28" s="18" t="s">
        <v>6</v>
      </c>
      <c r="B28" s="76">
        <v>1</v>
      </c>
      <c r="C28" s="16" t="s">
        <v>53</v>
      </c>
      <c r="D28" s="76">
        <v>1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7"/>
      <c r="X28" s="127"/>
      <c r="Y28" s="127"/>
      <c r="AC28" s="127"/>
      <c r="AD28" s="127"/>
      <c r="AE28" s="127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7"/>
      <c r="X29" s="127"/>
      <c r="Y29" s="127"/>
      <c r="AC29" s="127"/>
      <c r="AD29" s="127"/>
      <c r="AE29" s="127"/>
    </row>
    <row r="30" spans="1:31" x14ac:dyDescent="0.25">
      <c r="A30" s="18" t="s">
        <v>4</v>
      </c>
      <c r="B30" s="76">
        <v>2</v>
      </c>
      <c r="C30" s="16" t="s">
        <v>53</v>
      </c>
      <c r="D30" s="76">
        <v>1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7"/>
      <c r="X30" s="127"/>
      <c r="Y30" s="127"/>
      <c r="AC30" s="127"/>
      <c r="AD30" s="127"/>
      <c r="AE30" s="127"/>
    </row>
    <row r="31" spans="1:31" x14ac:dyDescent="0.25">
      <c r="A31" s="18" t="s">
        <v>15</v>
      </c>
      <c r="B31" s="76">
        <v>2</v>
      </c>
      <c r="C31" s="16" t="s">
        <v>53</v>
      </c>
      <c r="D31" s="7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76">
        <v>3</v>
      </c>
      <c r="C32" s="16" t="s">
        <v>53</v>
      </c>
      <c r="D32" s="76">
        <v>1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76">
        <v>2</v>
      </c>
      <c r="C33" s="16" t="s">
        <v>53</v>
      </c>
      <c r="D33" s="76">
        <v>3</v>
      </c>
      <c r="E33" s="19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76">
        <v>2</v>
      </c>
      <c r="C34" s="16" t="s">
        <v>53</v>
      </c>
      <c r="D34" s="76">
        <v>2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76">
        <v>1</v>
      </c>
      <c r="C35" s="16" t="s">
        <v>53</v>
      </c>
      <c r="D35" s="76">
        <v>4</v>
      </c>
      <c r="E35" s="19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76">
        <v>0</v>
      </c>
      <c r="C37" s="16" t="s">
        <v>53</v>
      </c>
      <c r="D37" s="76">
        <v>2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76">
        <v>3</v>
      </c>
      <c r="C38" s="16" t="s">
        <v>53</v>
      </c>
      <c r="D38" s="76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76">
        <v>3</v>
      </c>
      <c r="C39" s="16" t="s">
        <v>53</v>
      </c>
      <c r="D39" s="7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76">
        <v>2</v>
      </c>
      <c r="C40" s="16" t="s">
        <v>53</v>
      </c>
      <c r="D40" s="7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76">
        <v>1</v>
      </c>
      <c r="C41" s="16" t="s">
        <v>53</v>
      </c>
      <c r="D41" s="76">
        <v>2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76">
        <v>1</v>
      </c>
      <c r="C42" s="16" t="s">
        <v>53</v>
      </c>
      <c r="D42" s="7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76">
        <v>2</v>
      </c>
      <c r="C44" s="16" t="s">
        <v>53</v>
      </c>
      <c r="D44" s="7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76">
        <v>3</v>
      </c>
      <c r="C45" s="16" t="s">
        <v>53</v>
      </c>
      <c r="D45" s="7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76">
        <v>1</v>
      </c>
      <c r="C46" s="16" t="s">
        <v>53</v>
      </c>
      <c r="D46" s="76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76">
        <v>2</v>
      </c>
      <c r="C47" s="16" t="s">
        <v>53</v>
      </c>
      <c r="D47" s="7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76">
        <v>0</v>
      </c>
      <c r="C48" s="16" t="s">
        <v>53</v>
      </c>
      <c r="D48" s="76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76">
        <v>0</v>
      </c>
      <c r="C49" s="16" t="s">
        <v>53</v>
      </c>
      <c r="D49" s="76">
        <v>2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76">
        <v>1</v>
      </c>
      <c r="C51" s="16" t="s">
        <v>53</v>
      </c>
      <c r="D51" s="76">
        <v>1</v>
      </c>
      <c r="E51" s="19" t="s">
        <v>67</v>
      </c>
      <c r="H51" s="16">
        <v>10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76">
        <v>2</v>
      </c>
      <c r="C52" s="16" t="s">
        <v>53</v>
      </c>
      <c r="D52" s="7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76">
        <v>2</v>
      </c>
      <c r="C53" s="16" t="s">
        <v>53</v>
      </c>
      <c r="D53" s="76">
        <v>0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76">
        <v>1</v>
      </c>
      <c r="C54" s="16" t="s">
        <v>53</v>
      </c>
      <c r="D54" s="76">
        <v>2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76">
        <v>1</v>
      </c>
      <c r="C55" s="16" t="s">
        <v>53</v>
      </c>
      <c r="D55" s="7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76">
        <v>1</v>
      </c>
      <c r="C56" s="16" t="s">
        <v>53</v>
      </c>
      <c r="D56" s="76">
        <v>3</v>
      </c>
      <c r="E56" s="19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172</v>
      </c>
    </row>
    <row r="58" spans="1:15" x14ac:dyDescent="0.25">
      <c r="A58" s="208" t="str">
        <f>_xlfn.CONCAT(W2,A57)</f>
        <v>Ivan Alex_2 - Oitavas de Final</v>
      </c>
      <c r="B58" s="208"/>
      <c r="C58" s="208"/>
      <c r="D58" s="208"/>
      <c r="E58" s="208"/>
      <c r="K58" s="209" t="s">
        <v>170</v>
      </c>
      <c r="L58" s="209"/>
      <c r="M58" s="209"/>
      <c r="N58" s="209"/>
      <c r="O58" s="209"/>
    </row>
    <row r="59" spans="1:15" x14ac:dyDescent="0.25">
      <c r="A59" s="84" t="s">
        <v>19</v>
      </c>
      <c r="B59" s="85">
        <v>1</v>
      </c>
      <c r="C59" s="85" t="s">
        <v>53</v>
      </c>
      <c r="D59" s="85">
        <v>1</v>
      </c>
      <c r="E59" s="86" t="s">
        <v>165</v>
      </c>
      <c r="H59" s="16">
        <v>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1</v>
      </c>
      <c r="E60" s="86" t="s">
        <v>6</v>
      </c>
      <c r="H60" s="16">
        <v>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1</v>
      </c>
      <c r="E61" s="86" t="s">
        <v>12</v>
      </c>
      <c r="H61" s="16">
        <v>25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1</v>
      </c>
      <c r="C62" s="85" t="s">
        <v>53</v>
      </c>
      <c r="D62" s="85">
        <v>1</v>
      </c>
      <c r="E62" s="86" t="s">
        <v>166</v>
      </c>
      <c r="H62" s="16">
        <v>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1</v>
      </c>
      <c r="E64" s="86" t="s">
        <v>26</v>
      </c>
      <c r="H64" s="16">
        <v>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1</v>
      </c>
      <c r="E65" s="86" t="s">
        <v>15</v>
      </c>
      <c r="H65" s="16">
        <v>10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1</v>
      </c>
      <c r="E66" s="8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173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Ivan Alex_2 - Quartas de Final</v>
      </c>
      <c r="B68" s="208"/>
      <c r="C68" s="208"/>
      <c r="D68" s="208"/>
      <c r="E68" s="208"/>
      <c r="J68" s="17" t="str">
        <f>IF(Tabela!F41="","",Tabela!F41)</f>
        <v/>
      </c>
      <c r="K68" s="209" t="s">
        <v>138</v>
      </c>
      <c r="L68" s="209"/>
      <c r="M68" s="209"/>
      <c r="N68" s="209"/>
      <c r="O68" s="209"/>
    </row>
    <row r="69" spans="1:15" x14ac:dyDescent="0.25">
      <c r="A69" s="91" t="str">
        <f>Tabela!A42</f>
        <v>Holanda</v>
      </c>
      <c r="B69" s="92">
        <v>2</v>
      </c>
      <c r="C69" s="92" t="s">
        <v>53</v>
      </c>
      <c r="D69" s="92">
        <v>2</v>
      </c>
      <c r="E69" s="90" t="str">
        <f>Tabela!E42</f>
        <v>Argentina</v>
      </c>
      <c r="H69" s="16">
        <v>25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1" t="s">
        <v>12</v>
      </c>
      <c r="B70" s="92">
        <v>1</v>
      </c>
      <c r="C70" s="92" t="s">
        <v>53</v>
      </c>
      <c r="D70" s="92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1" t="s">
        <v>20</v>
      </c>
      <c r="B71" s="92">
        <v>1</v>
      </c>
      <c r="C71" s="92" t="s">
        <v>53</v>
      </c>
      <c r="D71" s="92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1" t="str">
        <f>Tabela!A45</f>
        <v>Marrocos</v>
      </c>
      <c r="B72" s="92">
        <v>0</v>
      </c>
      <c r="C72" s="92" t="s">
        <v>53</v>
      </c>
      <c r="D72" s="92">
        <v>0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178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10" t="str">
        <f>_xlfn.CONCAT(W$2,A73)</f>
        <v>Ivan Alex_2 - Semi Final</v>
      </c>
      <c r="B74" s="210"/>
      <c r="C74" s="210"/>
      <c r="D74" s="210"/>
      <c r="E74" s="210"/>
      <c r="J74" s="17" t="str">
        <f>IF(Tabela!F47="","",Tabela!F47)</f>
        <v/>
      </c>
      <c r="K74" s="209" t="s">
        <v>139</v>
      </c>
      <c r="L74" s="209"/>
      <c r="M74" s="209"/>
      <c r="N74" s="209"/>
      <c r="O74" s="209"/>
    </row>
    <row r="75" spans="1:15" x14ac:dyDescent="0.25">
      <c r="A75" s="18" t="str">
        <f>IF(Tabela!A48="","",Tabela!A48)</f>
        <v>Argentina</v>
      </c>
      <c r="B75" s="98">
        <v>3</v>
      </c>
      <c r="C75" s="98" t="s">
        <v>53</v>
      </c>
      <c r="D75" s="98">
        <v>0</v>
      </c>
      <c r="E75" s="19" t="str">
        <f>IF(Tabela!E48="","",Tabela!E48)</f>
        <v>Croácia</v>
      </c>
      <c r="H75" s="16">
        <v>25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98">
        <v>1</v>
      </c>
      <c r="C76" s="98" t="s">
        <v>53</v>
      </c>
      <c r="D76" s="98">
        <v>0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179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10" t="str">
        <f>_xlfn.CONCAT(W$2,A77)</f>
        <v>Ivan Alex_2 - Terceiro Lugar</v>
      </c>
      <c r="B78" s="210"/>
      <c r="C78" s="210"/>
      <c r="D78" s="210"/>
      <c r="E78" s="210"/>
      <c r="J78" s="17" t="str">
        <f>IF(Tabela!F51="","",Tabela!F51)</f>
        <v/>
      </c>
      <c r="K78" s="209" t="s">
        <v>140</v>
      </c>
      <c r="L78" s="209"/>
      <c r="M78" s="209"/>
      <c r="N78" s="209"/>
      <c r="O78" s="209"/>
    </row>
    <row r="79" spans="1:15" x14ac:dyDescent="0.25">
      <c r="A79" s="18" t="str">
        <f>IF(Tabela!A52="","",Tabela!A52)</f>
        <v>Croácia</v>
      </c>
      <c r="B79" s="76">
        <v>1</v>
      </c>
      <c r="C79" s="76" t="s">
        <v>53</v>
      </c>
      <c r="D79" s="76">
        <v>2</v>
      </c>
      <c r="E79" s="19" t="str">
        <f>IF(Tabela!E52="","",Tabela!E52)</f>
        <v>Marrocos</v>
      </c>
      <c r="H79" s="16">
        <v>0</v>
      </c>
      <c r="J79" s="17" t="str">
        <f>IF(Tabela!F52="","",Tabela!F52)</f>
        <v/>
      </c>
      <c r="K79" s="76" t="str">
        <f>IF(Tabela!A52="","",Tabela!A52)</f>
        <v>Croácia</v>
      </c>
      <c r="L79" s="76">
        <f>IF(Tabela!B52="","",Tabela!B52)</f>
        <v>2</v>
      </c>
      <c r="M79" s="76" t="str">
        <f>IF(Tabela!C52="","",Tabela!C52)</f>
        <v>X</v>
      </c>
      <c r="N79" s="76">
        <f>IF(Tabela!D52="","",Tabela!D52)</f>
        <v>1</v>
      </c>
      <c r="O79" s="76" t="str">
        <f>IF(Tabela!E52="","",Tabela!E52)</f>
        <v>Marrocos</v>
      </c>
    </row>
    <row r="80" spans="1:15" x14ac:dyDescent="0.25">
      <c r="A80" s="73" t="s">
        <v>180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10" t="str">
        <f>_xlfn.CONCAT(W$2,A80)</f>
        <v>Ivan Alex_2 - Final</v>
      </c>
      <c r="B81" s="210"/>
      <c r="C81" s="210"/>
      <c r="D81" s="210"/>
      <c r="E81" s="210"/>
      <c r="J81" s="17" t="str">
        <f>IF(Tabela!F54="","",Tabela!F54)</f>
        <v/>
      </c>
      <c r="K81" s="209" t="s">
        <v>141</v>
      </c>
      <c r="L81" s="209"/>
      <c r="M81" s="209"/>
      <c r="N81" s="209"/>
      <c r="O81" s="209"/>
    </row>
    <row r="82" spans="1:15" x14ac:dyDescent="0.25">
      <c r="A82" s="18" t="str">
        <f>IF(Tabela!A55="","",Tabela!A55)</f>
        <v>Argentina</v>
      </c>
      <c r="B82" s="76">
        <v>1</v>
      </c>
      <c r="C82" s="76" t="s">
        <v>53</v>
      </c>
      <c r="D82" s="76">
        <v>3</v>
      </c>
      <c r="E82" s="19" t="str">
        <f>IF(Tabela!E55="","",Tabela!E55)</f>
        <v>França</v>
      </c>
      <c r="H82" s="16">
        <v>5</v>
      </c>
      <c r="J82" s="17" t="str">
        <f>IF(Tabela!F55="","",Tabela!F55)</f>
        <v/>
      </c>
      <c r="K82" s="76" t="str">
        <f>IF(Tabela!A55="","",Tabela!A55)</f>
        <v>Argentina</v>
      </c>
      <c r="L82" s="76">
        <f>IF(Tabela!B55="","",Tabela!B55)</f>
        <v>3</v>
      </c>
      <c r="M82" s="76" t="str">
        <f>IF(Tabela!C55="","",Tabela!C55)</f>
        <v>X</v>
      </c>
      <c r="N82" s="76">
        <f>IF(Tabela!D55="","",Tabela!D55)</f>
        <v>3</v>
      </c>
      <c r="O82" s="76" t="str">
        <f>IF(Tabela!E55="","",Tabela!E55)</f>
        <v>França</v>
      </c>
    </row>
    <row r="84" spans="1:15" x14ac:dyDescent="0.25">
      <c r="E84" s="19" t="s">
        <v>174</v>
      </c>
      <c r="H84" s="16">
        <v>0</v>
      </c>
    </row>
    <row r="85" spans="1:15" x14ac:dyDescent="0.25">
      <c r="E85" s="19" t="s">
        <v>125</v>
      </c>
      <c r="H85" s="16">
        <v>50</v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36:E36"/>
    <mergeCell ref="A43:E43"/>
    <mergeCell ref="A58:E58"/>
    <mergeCell ref="K58:O58"/>
    <mergeCell ref="A50:E50"/>
    <mergeCell ref="K36:O36"/>
    <mergeCell ref="K43:O43"/>
    <mergeCell ref="K50:O50"/>
    <mergeCell ref="K29:O29"/>
    <mergeCell ref="A29:E29"/>
    <mergeCell ref="W11:Y11"/>
    <mergeCell ref="AC11:AE11"/>
    <mergeCell ref="Q21:R21"/>
    <mergeCell ref="S21:T21"/>
    <mergeCell ref="U21:V21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2:Y12"/>
    <mergeCell ref="AC12:AE12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85"/>
  <sheetViews>
    <sheetView zoomScale="85" zoomScaleNormal="85" workbookViewId="0">
      <pane xSplit="15" ySplit="16" topLeftCell="P51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0" width="5.7109375" style="51" customWidth="1"/>
    <col min="31" max="31" width="9.140625" style="51"/>
    <col min="32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2" t="s">
        <v>43</v>
      </c>
      <c r="B2" s="212"/>
      <c r="C2" s="212"/>
      <c r="D2" s="212"/>
      <c r="E2" s="212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0" t="s">
        <v>72</v>
      </c>
      <c r="X2" s="200"/>
      <c r="Y2" s="200"/>
      <c r="Z2" s="200"/>
      <c r="AA2" s="200"/>
      <c r="AB2" s="200"/>
      <c r="AC2" s="200"/>
      <c r="AD2" s="200"/>
      <c r="AE2" s="200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0"/>
      <c r="X3" s="200"/>
      <c r="Y3" s="200"/>
      <c r="Z3" s="200"/>
      <c r="AA3" s="200"/>
      <c r="AB3" s="200"/>
      <c r="AC3" s="200"/>
      <c r="AD3" s="200"/>
      <c r="AE3" s="200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0"/>
      <c r="X4" s="200"/>
      <c r="Y4" s="200"/>
      <c r="Z4" s="200"/>
      <c r="AA4" s="200"/>
      <c r="AB4" s="200"/>
      <c r="AC4" s="200"/>
      <c r="AD4" s="200"/>
      <c r="AE4" s="200"/>
    </row>
    <row r="5" spans="1:31" x14ac:dyDescent="0.25">
      <c r="A5" s="17" t="s">
        <v>19</v>
      </c>
      <c r="B5" s="16">
        <v>2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0"/>
      <c r="X5" s="200"/>
      <c r="Y5" s="200"/>
      <c r="Z5" s="200"/>
      <c r="AA5" s="200"/>
      <c r="AB5" s="200"/>
      <c r="AC5" s="200"/>
      <c r="AD5" s="200"/>
      <c r="AE5" s="200"/>
    </row>
    <row r="6" spans="1:31" x14ac:dyDescent="0.25">
      <c r="A6" s="17" t="s">
        <v>19</v>
      </c>
      <c r="B6" s="16">
        <v>4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0"/>
      <c r="X6" s="200"/>
      <c r="Y6" s="200"/>
      <c r="Z6" s="200"/>
      <c r="AA6" s="200"/>
      <c r="AB6" s="200"/>
      <c r="AC6" s="200"/>
      <c r="AD6" s="200"/>
      <c r="AE6" s="200"/>
    </row>
    <row r="7" spans="1:31" x14ac:dyDescent="0.25">
      <c r="A7" s="17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11" t="s">
        <v>65</v>
      </c>
      <c r="B8" s="211"/>
      <c r="C8" s="211"/>
      <c r="D8" s="211"/>
      <c r="E8" s="211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7" t="s">
        <v>20</v>
      </c>
      <c r="B9" s="16">
        <v>2</v>
      </c>
      <c r="C9" s="16" t="s">
        <v>53</v>
      </c>
      <c r="D9" s="16">
        <v>1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7" t="s">
        <v>66</v>
      </c>
      <c r="R9" s="197"/>
      <c r="S9" s="197"/>
      <c r="T9" s="197"/>
      <c r="U9" s="197"/>
      <c r="W9" s="127" t="s">
        <v>123</v>
      </c>
      <c r="X9" s="127"/>
      <c r="Y9" s="127"/>
      <c r="Z9" s="127"/>
      <c r="AA9" s="127"/>
      <c r="AB9" s="127"/>
      <c r="AC9" s="127"/>
      <c r="AD9" s="127"/>
      <c r="AE9" s="127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7"/>
      <c r="R10" s="197"/>
      <c r="S10" s="197"/>
      <c r="T10" s="197"/>
      <c r="U10" s="197"/>
      <c r="W10" s="127" t="s">
        <v>16</v>
      </c>
      <c r="X10" s="127"/>
      <c r="Y10" s="127"/>
      <c r="Z10" s="51">
        <v>1</v>
      </c>
      <c r="AB10" s="51">
        <v>1</v>
      </c>
      <c r="AC10" s="127" t="s">
        <v>34</v>
      </c>
      <c r="AD10" s="127"/>
      <c r="AE10" s="127"/>
    </row>
    <row r="11" spans="1:31" x14ac:dyDescent="0.25">
      <c r="A11" s="17" t="s">
        <v>34</v>
      </c>
      <c r="B11" s="16">
        <v>1</v>
      </c>
      <c r="C11" s="16" t="s">
        <v>53</v>
      </c>
      <c r="D11" s="16">
        <v>0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8">
        <f>SUM(H2:H85)</f>
        <v>610</v>
      </c>
      <c r="R11" s="198"/>
      <c r="S11" s="198"/>
      <c r="T11" s="198"/>
      <c r="U11" s="198"/>
      <c r="W11" s="127" t="s">
        <v>26</v>
      </c>
      <c r="X11" s="127"/>
      <c r="Y11" s="127"/>
      <c r="Z11" s="51">
        <v>2</v>
      </c>
      <c r="AB11" s="51">
        <v>0</v>
      </c>
      <c r="AC11" s="127" t="s">
        <v>55</v>
      </c>
      <c r="AD11" s="127"/>
      <c r="AE11" s="127"/>
    </row>
    <row r="12" spans="1:31" x14ac:dyDescent="0.25">
      <c r="A12" s="17" t="s">
        <v>20</v>
      </c>
      <c r="B12" s="16">
        <v>1</v>
      </c>
      <c r="C12" s="16" t="s">
        <v>53</v>
      </c>
      <c r="D12" s="16">
        <v>1</v>
      </c>
      <c r="E12" s="17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8"/>
      <c r="R12" s="198"/>
      <c r="S12" s="198"/>
      <c r="T12" s="198"/>
      <c r="U12" s="198"/>
      <c r="W12" s="127" t="s">
        <v>19</v>
      </c>
      <c r="X12" s="127"/>
      <c r="Y12" s="127"/>
      <c r="Z12" s="51">
        <v>2</v>
      </c>
      <c r="AB12" s="51">
        <v>2</v>
      </c>
      <c r="AC12" s="127" t="s">
        <v>5</v>
      </c>
      <c r="AD12" s="127"/>
      <c r="AE12" s="127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8"/>
      <c r="R13" s="198"/>
      <c r="S13" s="198"/>
      <c r="T13" s="198"/>
      <c r="U13" s="198"/>
      <c r="W13" s="127"/>
      <c r="X13" s="127"/>
      <c r="Y13" s="127"/>
      <c r="AC13" s="127"/>
      <c r="AD13" s="127"/>
      <c r="AE13" s="127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8"/>
      <c r="R14" s="198"/>
      <c r="S14" s="198"/>
      <c r="T14" s="198"/>
      <c r="U14" s="198"/>
      <c r="W14" s="127"/>
      <c r="X14" s="127"/>
      <c r="Y14" s="127"/>
      <c r="AC14" s="127"/>
      <c r="AD14" s="127"/>
      <c r="AE14" s="127"/>
    </row>
    <row r="15" spans="1:31" x14ac:dyDescent="0.25">
      <c r="A15" s="211" t="s">
        <v>64</v>
      </c>
      <c r="B15" s="211"/>
      <c r="C15" s="211"/>
      <c r="D15" s="211"/>
      <c r="E15" s="211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198"/>
      <c r="R15" s="198"/>
      <c r="S15" s="198"/>
      <c r="T15" s="198"/>
      <c r="U15" s="198"/>
      <c r="W15" s="127"/>
      <c r="X15" s="127"/>
      <c r="Y15" s="127"/>
      <c r="AC15" s="127"/>
      <c r="AD15" s="127"/>
      <c r="AE15" s="127"/>
    </row>
    <row r="16" spans="1:31" x14ac:dyDescent="0.25">
      <c r="A16" s="17" t="s">
        <v>5</v>
      </c>
      <c r="B16" s="16">
        <v>4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7"/>
      <c r="X16" s="127"/>
      <c r="Y16" s="127"/>
      <c r="AC16" s="127"/>
      <c r="AD16" s="127"/>
      <c r="AE16" s="127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7"/>
      <c r="X17" s="127"/>
      <c r="Y17" s="127"/>
      <c r="AC17" s="127"/>
      <c r="AD17" s="127"/>
      <c r="AE17" s="127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7"/>
      <c r="X18" s="127"/>
      <c r="Y18" s="127"/>
      <c r="AC18" s="127"/>
      <c r="AD18" s="127"/>
      <c r="AE18" s="127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11</v>
      </c>
      <c r="S19" s="22">
        <v>15</v>
      </c>
      <c r="T19" s="22">
        <v>14</v>
      </c>
      <c r="U19" s="22">
        <v>20</v>
      </c>
      <c r="W19" s="127"/>
      <c r="X19" s="127"/>
      <c r="Y19" s="127"/>
      <c r="AC19" s="127"/>
      <c r="AD19" s="127"/>
      <c r="AE19" s="127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7"/>
      <c r="X20" s="127"/>
      <c r="Y20" s="127"/>
      <c r="AC20" s="127"/>
      <c r="AD20" s="127"/>
      <c r="AE20" s="127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202" t="s">
        <v>42</v>
      </c>
      <c r="R21" s="202"/>
      <c r="S21" s="199" t="s">
        <v>8</v>
      </c>
      <c r="T21" s="199"/>
      <c r="U21" s="199" t="s">
        <v>5</v>
      </c>
      <c r="V21" s="199"/>
      <c r="W21" s="127"/>
      <c r="X21" s="127"/>
      <c r="Y21" s="127"/>
      <c r="AC21" s="127"/>
      <c r="AD21" s="127"/>
      <c r="AE21" s="127"/>
    </row>
    <row r="22" spans="1:31" x14ac:dyDescent="0.25">
      <c r="A22" s="211" t="s">
        <v>63</v>
      </c>
      <c r="B22" s="211"/>
      <c r="C22" s="211"/>
      <c r="D22" s="211"/>
      <c r="E22" s="211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202" t="s">
        <v>41</v>
      </c>
      <c r="R22" s="202"/>
      <c r="S22" s="203" t="s">
        <v>127</v>
      </c>
      <c r="T22" s="203"/>
      <c r="U22" s="203" t="s">
        <v>135</v>
      </c>
      <c r="V22" s="203"/>
      <c r="W22" s="127"/>
      <c r="X22" s="127"/>
      <c r="Y22" s="127"/>
      <c r="AC22" s="127"/>
      <c r="AD22" s="127"/>
      <c r="AE22" s="127"/>
    </row>
    <row r="23" spans="1:31" x14ac:dyDescent="0.25">
      <c r="A23" s="17" t="s">
        <v>13</v>
      </c>
      <c r="B23" s="16">
        <v>2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7"/>
      <c r="X23" s="127"/>
      <c r="Y23" s="127"/>
      <c r="AC23" s="127"/>
      <c r="AD23" s="127"/>
      <c r="AE23" s="127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7"/>
      <c r="X24" s="127"/>
      <c r="Y24" s="127"/>
      <c r="AC24" s="127"/>
      <c r="AD24" s="127"/>
      <c r="AE24" s="127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7"/>
      <c r="X25" s="127"/>
      <c r="Y25" s="127"/>
      <c r="AC25" s="127"/>
      <c r="AD25" s="127"/>
      <c r="AE25" s="127"/>
    </row>
    <row r="26" spans="1:31" x14ac:dyDescent="0.25">
      <c r="A26" s="17" t="s">
        <v>17</v>
      </c>
      <c r="B26" s="16">
        <v>3</v>
      </c>
      <c r="C26" s="16" t="s">
        <v>53</v>
      </c>
      <c r="D26" s="16">
        <v>2</v>
      </c>
      <c r="E26" s="17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7"/>
      <c r="X26" s="127"/>
      <c r="Y26" s="127"/>
      <c r="AC26" s="127"/>
      <c r="AD26" s="127"/>
      <c r="AE26" s="127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7"/>
      <c r="X27" s="127"/>
      <c r="Y27" s="127"/>
      <c r="AC27" s="127"/>
      <c r="AD27" s="127"/>
      <c r="AE27" s="127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7"/>
      <c r="X28" s="127"/>
      <c r="Y28" s="127"/>
      <c r="AC28" s="127"/>
      <c r="AD28" s="127"/>
      <c r="AE28" s="127"/>
    </row>
    <row r="29" spans="1:31" x14ac:dyDescent="0.25">
      <c r="A29" s="211" t="s">
        <v>62</v>
      </c>
      <c r="B29" s="211"/>
      <c r="C29" s="211"/>
      <c r="D29" s="211"/>
      <c r="E29" s="211"/>
      <c r="K29" s="201" t="s">
        <v>62</v>
      </c>
      <c r="L29" s="201"/>
      <c r="M29" s="201"/>
      <c r="N29" s="201"/>
      <c r="O29" s="201"/>
      <c r="W29" s="127"/>
      <c r="X29" s="127"/>
      <c r="Y29" s="127"/>
      <c r="AC29" s="127"/>
      <c r="AD29" s="127"/>
      <c r="AE29" s="127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7"/>
      <c r="X30" s="127"/>
      <c r="Y30" s="127"/>
      <c r="AC30" s="127"/>
      <c r="AD30" s="127"/>
      <c r="AE30" s="127"/>
    </row>
    <row r="31" spans="1:31" x14ac:dyDescent="0.25">
      <c r="A31" s="17" t="s">
        <v>15</v>
      </c>
      <c r="B31" s="16">
        <v>2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2</v>
      </c>
      <c r="E33" s="17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11" t="s">
        <v>61</v>
      </c>
      <c r="B36" s="211"/>
      <c r="C36" s="211"/>
      <c r="D36" s="211"/>
      <c r="E36" s="211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7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11" t="s">
        <v>60</v>
      </c>
      <c r="B43" s="211"/>
      <c r="C43" s="211"/>
      <c r="D43" s="211"/>
      <c r="E43" s="211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7" t="s">
        <v>30</v>
      </c>
      <c r="B44" s="16">
        <v>1</v>
      </c>
      <c r="C44" s="16" t="s">
        <v>53</v>
      </c>
      <c r="D44" s="16">
        <v>1</v>
      </c>
      <c r="E44" s="17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0</v>
      </c>
      <c r="E49" s="17" t="s">
        <v>30</v>
      </c>
      <c r="H49" s="16">
        <v>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11" t="s">
        <v>59</v>
      </c>
      <c r="B50" s="211"/>
      <c r="C50" s="211"/>
      <c r="D50" s="211"/>
      <c r="E50" s="211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3</v>
      </c>
      <c r="C52" s="16" t="s">
        <v>53</v>
      </c>
      <c r="D52" s="16">
        <v>1</v>
      </c>
      <c r="E52" s="17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1</v>
      </c>
      <c r="C53" s="16" t="s">
        <v>53</v>
      </c>
      <c r="D53" s="16">
        <v>1</v>
      </c>
      <c r="E53" s="17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3</v>
      </c>
      <c r="C54" s="16" t="s">
        <v>53</v>
      </c>
      <c r="D54" s="16">
        <v>3</v>
      </c>
      <c r="E54" s="17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172</v>
      </c>
    </row>
    <row r="58" spans="1:15" x14ac:dyDescent="0.25">
      <c r="A58" s="208" t="str">
        <f>_xlfn.CONCAT(W2,A57)</f>
        <v>Gabriel - Oitavas de Final</v>
      </c>
      <c r="B58" s="208"/>
      <c r="C58" s="208"/>
      <c r="D58" s="208"/>
      <c r="E58" s="208"/>
      <c r="K58" s="205" t="s">
        <v>170</v>
      </c>
      <c r="L58" s="205"/>
      <c r="M58" s="205"/>
      <c r="N58" s="205"/>
      <c r="O58" s="205"/>
    </row>
    <row r="59" spans="1:15" x14ac:dyDescent="0.25">
      <c r="A59" s="84" t="s">
        <v>19</v>
      </c>
      <c r="B59" s="85">
        <v>1</v>
      </c>
      <c r="C59" s="85" t="s">
        <v>53</v>
      </c>
      <c r="D59" s="85">
        <v>0</v>
      </c>
      <c r="E59" s="86" t="s">
        <v>165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166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1</v>
      </c>
      <c r="E65" s="86" t="s">
        <v>15</v>
      </c>
      <c r="H65" s="16">
        <v>10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2</v>
      </c>
      <c r="E66" s="8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3" t="s">
        <v>173</v>
      </c>
      <c r="B67" s="88"/>
      <c r="C67" s="88"/>
      <c r="D67" s="88"/>
      <c r="E67" s="94"/>
      <c r="J67" s="17" t="str">
        <f>IF(Tabela!F40="","",Tabela!F40)</f>
        <v/>
      </c>
    </row>
    <row r="68" spans="1:15" x14ac:dyDescent="0.25">
      <c r="A68" s="208" t="str">
        <f>_xlfn.CONCAT(W2,A67)</f>
        <v>Gabriel - Quartas de Final</v>
      </c>
      <c r="B68" s="208"/>
      <c r="C68" s="208"/>
      <c r="D68" s="208"/>
      <c r="E68" s="208"/>
      <c r="J68" s="17" t="str">
        <f>IF(Tabela!F41="","",Tabela!F41)</f>
        <v/>
      </c>
      <c r="K68" s="205" t="s">
        <v>138</v>
      </c>
      <c r="L68" s="205"/>
      <c r="M68" s="205"/>
      <c r="N68" s="205"/>
      <c r="O68" s="205"/>
    </row>
    <row r="69" spans="1:15" x14ac:dyDescent="0.25">
      <c r="A69" s="91" t="str">
        <f>Tabela!A42</f>
        <v>Holanda</v>
      </c>
      <c r="B69" s="92">
        <v>2</v>
      </c>
      <c r="C69" s="92" t="s">
        <v>53</v>
      </c>
      <c r="D69" s="92">
        <v>2</v>
      </c>
      <c r="E69" s="90" t="str">
        <f>Tabela!E42</f>
        <v>Argentina</v>
      </c>
      <c r="H69" s="16">
        <v>25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1" t="s">
        <v>12</v>
      </c>
      <c r="B70" s="92">
        <v>1</v>
      </c>
      <c r="C70" s="92" t="s">
        <v>53</v>
      </c>
      <c r="D70" s="92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1" t="s">
        <v>20</v>
      </c>
      <c r="B71" s="92">
        <v>1</v>
      </c>
      <c r="C71" s="92" t="s">
        <v>53</v>
      </c>
      <c r="D71" s="92">
        <v>3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1" t="str">
        <f>Tabela!A45</f>
        <v>Marrocos</v>
      </c>
      <c r="B72" s="92">
        <v>0</v>
      </c>
      <c r="C72" s="92" t="s">
        <v>53</v>
      </c>
      <c r="D72" s="92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3" t="s">
        <v>178</v>
      </c>
      <c r="B73" s="88"/>
      <c r="C73" s="88"/>
      <c r="D73" s="88"/>
      <c r="E73" s="94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6" t="str">
        <f>_xlfn.CONCAT(W$2,A73)</f>
        <v>Gabriel - Semi Final</v>
      </c>
      <c r="B74" s="206"/>
      <c r="C74" s="206"/>
      <c r="D74" s="206"/>
      <c r="E74" s="206"/>
      <c r="J74" s="17" t="str">
        <f>IF(Tabela!F47="","",Tabela!F47)</f>
        <v/>
      </c>
      <c r="K74" s="205" t="s">
        <v>139</v>
      </c>
      <c r="L74" s="205"/>
      <c r="M74" s="205"/>
      <c r="N74" s="205"/>
      <c r="O74" s="205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0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57" t="s">
        <v>179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6" t="str">
        <f>_xlfn.CONCAT(W$2,A77)</f>
        <v>Gabriel - Terceiro Lugar</v>
      </c>
      <c r="B78" s="206"/>
      <c r="C78" s="206"/>
      <c r="D78" s="206"/>
      <c r="E78" s="206"/>
      <c r="J78" s="17" t="str">
        <f>IF(Tabela!F51="","",Tabela!F51)</f>
        <v/>
      </c>
      <c r="K78" s="205" t="s">
        <v>140</v>
      </c>
      <c r="L78" s="205"/>
      <c r="M78" s="205"/>
      <c r="N78" s="205"/>
      <c r="O78" s="205"/>
    </row>
    <row r="79" spans="1:15" x14ac:dyDescent="0.25">
      <c r="A79" s="18" t="str">
        <f>IF(Tabela!A52="","",Tabela!A52)</f>
        <v>Croácia</v>
      </c>
      <c r="B79" s="76">
        <v>0</v>
      </c>
      <c r="C79" s="76" t="s">
        <v>53</v>
      </c>
      <c r="D79" s="76">
        <v>1</v>
      </c>
      <c r="E79" s="19" t="str">
        <f>IF(Tabela!E52="","",Tabela!E52)</f>
        <v>Marrocos</v>
      </c>
      <c r="H79" s="16">
        <v>5</v>
      </c>
      <c r="J79" s="17" t="str">
        <f>IF(Tabela!F52="","",Tabela!F52)</f>
        <v/>
      </c>
      <c r="K79" s="76" t="str">
        <f>IF(Tabela!A52="","",Tabela!A52)</f>
        <v>Croácia</v>
      </c>
      <c r="L79" s="76">
        <f>IF(Tabela!B52="","",Tabela!B52)</f>
        <v>2</v>
      </c>
      <c r="M79" s="76" t="str">
        <f>IF(Tabela!C52="","",Tabela!C52)</f>
        <v>X</v>
      </c>
      <c r="N79" s="76">
        <f>IF(Tabela!D52="","",Tabela!D52)</f>
        <v>1</v>
      </c>
      <c r="O79" s="76" t="str">
        <f>IF(Tabela!E52="","",Tabela!E52)</f>
        <v>Marrocos</v>
      </c>
    </row>
    <row r="80" spans="1:15" x14ac:dyDescent="0.25">
      <c r="A80" s="57" t="s">
        <v>180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6" t="str">
        <f>_xlfn.CONCAT(W$2,A80)</f>
        <v>Gabriel - Final</v>
      </c>
      <c r="B81" s="206"/>
      <c r="C81" s="206"/>
      <c r="D81" s="206"/>
      <c r="E81" s="206"/>
      <c r="J81" s="17" t="str">
        <f>IF(Tabela!F54="","",Tabela!F54)</f>
        <v/>
      </c>
      <c r="K81" s="205" t="s">
        <v>141</v>
      </c>
      <c r="L81" s="205"/>
      <c r="M81" s="205"/>
      <c r="N81" s="205"/>
      <c r="O81" s="205"/>
    </row>
    <row r="82" spans="1:15" x14ac:dyDescent="0.25">
      <c r="A82" s="18" t="str">
        <f>IF(Tabela!A55="","",Tabela!A55)</f>
        <v>Argentina</v>
      </c>
      <c r="B82" s="76">
        <v>1</v>
      </c>
      <c r="C82" s="76" t="s">
        <v>53</v>
      </c>
      <c r="D82" s="76">
        <v>2</v>
      </c>
      <c r="E82" s="19" t="str">
        <f>IF(Tabela!E55="","",Tabela!E55)</f>
        <v>França</v>
      </c>
      <c r="H82" s="16">
        <v>0</v>
      </c>
      <c r="J82" s="17" t="str">
        <f>IF(Tabela!F55="","",Tabela!F55)</f>
        <v/>
      </c>
      <c r="K82" s="76" t="str">
        <f>IF(Tabela!A55="","",Tabela!A55)</f>
        <v>Argentina</v>
      </c>
      <c r="L82" s="76">
        <f>IF(Tabela!B55="","",Tabela!B55)</f>
        <v>3</v>
      </c>
      <c r="M82" s="76" t="str">
        <f>IF(Tabela!C55="","",Tabela!C55)</f>
        <v>X</v>
      </c>
      <c r="N82" s="76">
        <f>IF(Tabela!D55="","",Tabela!D55)</f>
        <v>3</v>
      </c>
      <c r="O82" s="76" t="str">
        <f>IF(Tabela!E55="","",Tabela!E55)</f>
        <v>França</v>
      </c>
    </row>
    <row r="84" spans="1:15" x14ac:dyDescent="0.25">
      <c r="E84" s="17" t="s">
        <v>174</v>
      </c>
      <c r="H84" s="16">
        <v>100</v>
      </c>
    </row>
    <row r="85" spans="1:15" x14ac:dyDescent="0.25">
      <c r="E85" s="17" t="s">
        <v>125</v>
      </c>
      <c r="H85" s="16">
        <v>50</v>
      </c>
    </row>
  </sheetData>
  <mergeCells count="79">
    <mergeCell ref="A74:E74"/>
    <mergeCell ref="A78:E78"/>
    <mergeCell ref="A81:E81"/>
    <mergeCell ref="K74:O74"/>
    <mergeCell ref="K78:O78"/>
    <mergeCell ref="K81:O81"/>
    <mergeCell ref="Q11:U15"/>
    <mergeCell ref="K15:O15"/>
    <mergeCell ref="K22:O22"/>
    <mergeCell ref="K29:O29"/>
    <mergeCell ref="Q21:R21"/>
    <mergeCell ref="S21:T21"/>
    <mergeCell ref="U21:V21"/>
    <mergeCell ref="Q22:R22"/>
    <mergeCell ref="W2:AE6"/>
    <mergeCell ref="A1:E1"/>
    <mergeCell ref="A2:E2"/>
    <mergeCell ref="K1:O1"/>
    <mergeCell ref="K8:O8"/>
    <mergeCell ref="A8:E8"/>
    <mergeCell ref="A15:E15"/>
    <mergeCell ref="A22:E22"/>
    <mergeCell ref="A68:E68"/>
    <mergeCell ref="K68:O68"/>
    <mergeCell ref="A29:E29"/>
    <mergeCell ref="A58:E58"/>
    <mergeCell ref="K58:O58"/>
    <mergeCell ref="K36:O36"/>
    <mergeCell ref="K43:O43"/>
    <mergeCell ref="K50:O50"/>
    <mergeCell ref="A50:E50"/>
    <mergeCell ref="A43:E43"/>
    <mergeCell ref="A36:E36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S22:T22"/>
    <mergeCell ref="U22:V22"/>
    <mergeCell ref="Q9:U10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56" width="5.7109375" style="17" customWidth="1"/>
    <col min="57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2" t="s">
        <v>43</v>
      </c>
      <c r="B2" s="212"/>
      <c r="C2" s="212"/>
      <c r="D2" s="212"/>
      <c r="E2" s="212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0" t="s">
        <v>71</v>
      </c>
      <c r="X2" s="200"/>
      <c r="Y2" s="200"/>
      <c r="Z2" s="200"/>
      <c r="AA2" s="200"/>
      <c r="AB2" s="200"/>
      <c r="AC2" s="200"/>
      <c r="AD2" s="200"/>
      <c r="AE2" s="200"/>
    </row>
    <row r="3" spans="1:31" x14ac:dyDescent="0.25">
      <c r="A3" s="17" t="s">
        <v>28</v>
      </c>
      <c r="B3" s="16">
        <v>1</v>
      </c>
      <c r="C3" s="16" t="s">
        <v>53</v>
      </c>
      <c r="D3" s="16">
        <v>0</v>
      </c>
      <c r="E3" s="17" t="s">
        <v>19</v>
      </c>
      <c r="H3" s="16">
        <v>0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0"/>
      <c r="X3" s="200"/>
      <c r="Y3" s="200"/>
      <c r="Z3" s="200"/>
      <c r="AA3" s="200"/>
      <c r="AB3" s="200"/>
      <c r="AC3" s="200"/>
      <c r="AD3" s="200"/>
      <c r="AE3" s="200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0"/>
      <c r="X4" s="200"/>
      <c r="Y4" s="200"/>
      <c r="Z4" s="200"/>
      <c r="AA4" s="200"/>
      <c r="AB4" s="200"/>
      <c r="AC4" s="200"/>
      <c r="AD4" s="200"/>
      <c r="AE4" s="200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0"/>
      <c r="X5" s="200"/>
      <c r="Y5" s="200"/>
      <c r="Z5" s="200"/>
      <c r="AA5" s="200"/>
      <c r="AB5" s="200"/>
      <c r="AC5" s="200"/>
      <c r="AD5" s="200"/>
      <c r="AE5" s="200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0"/>
      <c r="X6" s="200"/>
      <c r="Y6" s="200"/>
      <c r="Z6" s="200"/>
      <c r="AA6" s="200"/>
      <c r="AB6" s="200"/>
      <c r="AC6" s="200"/>
      <c r="AD6" s="200"/>
      <c r="AE6" s="200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11" t="s">
        <v>65</v>
      </c>
      <c r="B8" s="211"/>
      <c r="C8" s="211"/>
      <c r="D8" s="211"/>
      <c r="E8" s="211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7" t="s">
        <v>66</v>
      </c>
      <c r="R9" s="197"/>
      <c r="S9" s="197"/>
      <c r="T9" s="197"/>
      <c r="U9" s="197"/>
      <c r="W9" s="127" t="s">
        <v>123</v>
      </c>
      <c r="X9" s="127"/>
      <c r="Y9" s="127"/>
      <c r="Z9" s="127"/>
      <c r="AA9" s="127"/>
      <c r="AB9" s="127"/>
      <c r="AC9" s="127"/>
      <c r="AD9" s="127"/>
      <c r="AE9" s="127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7"/>
      <c r="R10" s="197"/>
      <c r="S10" s="197"/>
      <c r="T10" s="197"/>
      <c r="U10" s="197"/>
      <c r="W10" s="127" t="s">
        <v>19</v>
      </c>
      <c r="X10" s="127"/>
      <c r="Y10" s="127"/>
      <c r="Z10" s="51">
        <v>2</v>
      </c>
      <c r="AB10" s="51">
        <v>0</v>
      </c>
      <c r="AC10" s="127" t="s">
        <v>11</v>
      </c>
      <c r="AD10" s="127"/>
      <c r="AE10" s="127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8">
        <f>SUM(H2:H85)</f>
        <v>635</v>
      </c>
      <c r="R11" s="198"/>
      <c r="S11" s="198"/>
      <c r="T11" s="198"/>
      <c r="U11" s="198"/>
      <c r="W11" s="127" t="s">
        <v>16</v>
      </c>
      <c r="X11" s="127"/>
      <c r="Y11" s="127"/>
      <c r="Z11" s="51">
        <v>1</v>
      </c>
      <c r="AB11" s="51">
        <v>1</v>
      </c>
      <c r="AC11" s="127" t="s">
        <v>34</v>
      </c>
      <c r="AD11" s="127"/>
      <c r="AE11" s="127"/>
    </row>
    <row r="12" spans="1:31" x14ac:dyDescent="0.25">
      <c r="A12" s="17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8"/>
      <c r="R12" s="198"/>
      <c r="S12" s="198"/>
      <c r="T12" s="198"/>
      <c r="U12" s="198"/>
      <c r="W12" s="127" t="s">
        <v>26</v>
      </c>
      <c r="X12" s="127"/>
      <c r="Y12" s="127"/>
      <c r="Z12" s="51">
        <v>2</v>
      </c>
      <c r="AB12" s="51">
        <v>0</v>
      </c>
      <c r="AC12" s="127" t="s">
        <v>55</v>
      </c>
      <c r="AD12" s="127"/>
      <c r="AE12" s="127"/>
    </row>
    <row r="13" spans="1:31" x14ac:dyDescent="0.25">
      <c r="A13" s="17" t="s">
        <v>21</v>
      </c>
      <c r="B13" s="16">
        <v>1</v>
      </c>
      <c r="C13" s="16" t="s">
        <v>53</v>
      </c>
      <c r="D13" s="16">
        <v>0</v>
      </c>
      <c r="E13" s="17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8"/>
      <c r="R13" s="198"/>
      <c r="S13" s="198"/>
      <c r="T13" s="198"/>
      <c r="U13" s="198"/>
      <c r="W13" s="127" t="s">
        <v>55</v>
      </c>
      <c r="X13" s="127"/>
      <c r="Y13" s="127"/>
      <c r="Z13" s="51">
        <v>1</v>
      </c>
      <c r="AB13" s="51">
        <v>2</v>
      </c>
      <c r="AC13" s="127" t="s">
        <v>24</v>
      </c>
      <c r="AD13" s="127"/>
      <c r="AE13" s="127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8"/>
      <c r="R14" s="198"/>
      <c r="S14" s="198"/>
      <c r="T14" s="198"/>
      <c r="U14" s="198"/>
      <c r="W14" s="127" t="s">
        <v>6</v>
      </c>
      <c r="X14" s="127"/>
      <c r="Y14" s="127"/>
      <c r="Z14" s="51">
        <v>1</v>
      </c>
      <c r="AB14" s="51">
        <v>0</v>
      </c>
      <c r="AC14" s="127" t="s">
        <v>13</v>
      </c>
      <c r="AD14" s="127"/>
      <c r="AE14" s="127"/>
    </row>
    <row r="15" spans="1:31" x14ac:dyDescent="0.25">
      <c r="A15" s="211" t="s">
        <v>64</v>
      </c>
      <c r="B15" s="211"/>
      <c r="C15" s="211"/>
      <c r="D15" s="211"/>
      <c r="E15" s="211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198"/>
      <c r="R15" s="198"/>
      <c r="S15" s="198"/>
      <c r="T15" s="198"/>
      <c r="U15" s="198"/>
      <c r="W15" s="127" t="s">
        <v>8</v>
      </c>
      <c r="X15" s="127"/>
      <c r="Y15" s="127"/>
      <c r="Z15" s="51">
        <v>2</v>
      </c>
      <c r="AB15" s="51">
        <v>0</v>
      </c>
      <c r="AC15" s="127" t="s">
        <v>29</v>
      </c>
      <c r="AD15" s="127"/>
      <c r="AE15" s="127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7"/>
      <c r="X16" s="127"/>
      <c r="Y16" s="127"/>
      <c r="AC16" s="127"/>
      <c r="AD16" s="127"/>
      <c r="AE16" s="127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7"/>
      <c r="X17" s="127"/>
      <c r="Y17" s="127"/>
      <c r="AC17" s="127"/>
      <c r="AD17" s="127"/>
      <c r="AE17" s="127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7"/>
      <c r="X18" s="127"/>
      <c r="Y18" s="127"/>
      <c r="AC18" s="127"/>
      <c r="AD18" s="127"/>
      <c r="AE18" s="127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11</v>
      </c>
      <c r="S19" s="22">
        <v>11</v>
      </c>
      <c r="T19" s="22">
        <v>12</v>
      </c>
      <c r="U19" s="22">
        <v>22</v>
      </c>
      <c r="W19" s="127"/>
      <c r="X19" s="127"/>
      <c r="Y19" s="127"/>
      <c r="AC19" s="127"/>
      <c r="AD19" s="127"/>
      <c r="AE19" s="127"/>
    </row>
    <row r="20" spans="1:31" x14ac:dyDescent="0.25">
      <c r="A20" s="17" t="s">
        <v>26</v>
      </c>
      <c r="B20" s="16">
        <v>2</v>
      </c>
      <c r="C20" s="16" t="s">
        <v>53</v>
      </c>
      <c r="D20" s="16">
        <v>1</v>
      </c>
      <c r="E20" s="17" t="s">
        <v>5</v>
      </c>
      <c r="H20" s="16">
        <v>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7"/>
      <c r="X20" s="127"/>
      <c r="Y20" s="127"/>
      <c r="AC20" s="127"/>
      <c r="AD20" s="127"/>
      <c r="AE20" s="127"/>
    </row>
    <row r="21" spans="1:31" x14ac:dyDescent="0.25">
      <c r="A21" s="17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202" t="s">
        <v>42</v>
      </c>
      <c r="R21" s="202"/>
      <c r="S21" s="199" t="s">
        <v>8</v>
      </c>
      <c r="T21" s="199"/>
      <c r="U21" s="199" t="s">
        <v>5</v>
      </c>
      <c r="V21" s="199"/>
      <c r="W21" s="127"/>
      <c r="X21" s="127"/>
      <c r="Y21" s="127"/>
      <c r="AC21" s="127"/>
      <c r="AD21" s="127"/>
      <c r="AE21" s="127"/>
    </row>
    <row r="22" spans="1:31" x14ac:dyDescent="0.25">
      <c r="A22" s="211" t="s">
        <v>63</v>
      </c>
      <c r="B22" s="211"/>
      <c r="C22" s="211"/>
      <c r="D22" s="211"/>
      <c r="E22" s="211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202" t="s">
        <v>41</v>
      </c>
      <c r="R22" s="202"/>
      <c r="S22" s="203" t="s">
        <v>126</v>
      </c>
      <c r="T22" s="203"/>
      <c r="U22" s="203" t="s">
        <v>127</v>
      </c>
      <c r="V22" s="203"/>
      <c r="W22" s="127"/>
      <c r="X22" s="127"/>
      <c r="Y22" s="127"/>
      <c r="AC22" s="127"/>
      <c r="AD22" s="127"/>
      <c r="AE22" s="127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7"/>
      <c r="X23" s="127"/>
      <c r="Y23" s="127"/>
      <c r="AC23" s="127"/>
      <c r="AD23" s="127"/>
      <c r="AE23" s="127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7"/>
      <c r="X24" s="127"/>
      <c r="Y24" s="127"/>
      <c r="AC24" s="127"/>
      <c r="AD24" s="127"/>
      <c r="AE24" s="127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7"/>
      <c r="X25" s="127"/>
      <c r="Y25" s="127"/>
      <c r="AC25" s="127"/>
      <c r="AD25" s="127"/>
      <c r="AE25" s="127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7"/>
      <c r="X26" s="127"/>
      <c r="Y26" s="127"/>
      <c r="AC26" s="127"/>
      <c r="AD26" s="127"/>
      <c r="AE26" s="127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7"/>
      <c r="X27" s="127"/>
      <c r="Y27" s="127"/>
      <c r="AC27" s="127"/>
      <c r="AD27" s="127"/>
      <c r="AE27" s="127"/>
    </row>
    <row r="28" spans="1:31" x14ac:dyDescent="0.25">
      <c r="A28" s="17" t="s">
        <v>6</v>
      </c>
      <c r="B28" s="16">
        <v>1</v>
      </c>
      <c r="C28" s="16" t="s">
        <v>53</v>
      </c>
      <c r="D28" s="16">
        <v>0</v>
      </c>
      <c r="E28" s="17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7"/>
      <c r="X28" s="127"/>
      <c r="Y28" s="127"/>
      <c r="AC28" s="127"/>
      <c r="AD28" s="127"/>
      <c r="AE28" s="127"/>
    </row>
    <row r="29" spans="1:31" x14ac:dyDescent="0.25">
      <c r="A29" s="211" t="s">
        <v>62</v>
      </c>
      <c r="B29" s="211"/>
      <c r="C29" s="211"/>
      <c r="D29" s="211"/>
      <c r="E29" s="211"/>
      <c r="K29" s="201" t="s">
        <v>62</v>
      </c>
      <c r="L29" s="201"/>
      <c r="M29" s="201"/>
      <c r="N29" s="201"/>
      <c r="O29" s="201"/>
      <c r="W29" s="127"/>
      <c r="X29" s="127"/>
      <c r="Y29" s="127"/>
      <c r="AC29" s="127"/>
      <c r="AD29" s="127"/>
      <c r="AE29" s="127"/>
    </row>
    <row r="30" spans="1:31" x14ac:dyDescent="0.25">
      <c r="A30" s="17" t="s">
        <v>4</v>
      </c>
      <c r="B30" s="16">
        <v>2</v>
      </c>
      <c r="C30" s="16" t="s">
        <v>53</v>
      </c>
      <c r="D30" s="16">
        <v>0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7"/>
      <c r="X30" s="127"/>
      <c r="Y30" s="127"/>
      <c r="AC30" s="127"/>
      <c r="AD30" s="127"/>
      <c r="AE30" s="127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1</v>
      </c>
      <c r="E34" s="17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1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11" t="s">
        <v>61</v>
      </c>
      <c r="B36" s="211"/>
      <c r="C36" s="211"/>
      <c r="D36" s="211"/>
      <c r="E36" s="211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1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11" t="s">
        <v>60</v>
      </c>
      <c r="B43" s="211"/>
      <c r="C43" s="211"/>
      <c r="D43" s="211"/>
      <c r="E43" s="211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7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1</v>
      </c>
      <c r="E49" s="17" t="s">
        <v>30</v>
      </c>
      <c r="H49" s="16">
        <v>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11" t="s">
        <v>59</v>
      </c>
      <c r="B50" s="211"/>
      <c r="C50" s="211"/>
      <c r="D50" s="211"/>
      <c r="E50" s="211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1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0</v>
      </c>
      <c r="E56" s="17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172</v>
      </c>
    </row>
    <row r="58" spans="1:15" x14ac:dyDescent="0.25">
      <c r="A58" s="208" t="str">
        <f>_xlfn.CONCAT(W2,A57)</f>
        <v>Luis - Oitavas de Final</v>
      </c>
      <c r="B58" s="208"/>
      <c r="C58" s="208"/>
      <c r="D58" s="208"/>
      <c r="E58" s="208"/>
      <c r="K58" s="205" t="s">
        <v>170</v>
      </c>
      <c r="L58" s="205"/>
      <c r="M58" s="205"/>
      <c r="N58" s="205"/>
      <c r="O58" s="205"/>
    </row>
    <row r="59" spans="1:15" x14ac:dyDescent="0.25">
      <c r="A59" s="84" t="s">
        <v>19</v>
      </c>
      <c r="B59" s="85">
        <v>3</v>
      </c>
      <c r="C59" s="85" t="s">
        <v>53</v>
      </c>
      <c r="D59" s="85">
        <v>2</v>
      </c>
      <c r="E59" s="86" t="s">
        <v>165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3</v>
      </c>
      <c r="C60" s="85" t="s">
        <v>53</v>
      </c>
      <c r="D60" s="85">
        <v>1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3</v>
      </c>
      <c r="E61" s="8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3</v>
      </c>
      <c r="C62" s="85" t="s">
        <v>53</v>
      </c>
      <c r="D62" s="85">
        <v>2</v>
      </c>
      <c r="E62" s="86" t="s">
        <v>166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3</v>
      </c>
      <c r="C63" s="85" t="s">
        <v>53</v>
      </c>
      <c r="D63" s="85">
        <v>2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3</v>
      </c>
      <c r="C64" s="85" t="s">
        <v>53</v>
      </c>
      <c r="D64" s="85">
        <v>2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3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3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3" t="s">
        <v>173</v>
      </c>
      <c r="B67" s="88"/>
      <c r="C67" s="88"/>
      <c r="D67" s="88"/>
      <c r="E67" s="94"/>
      <c r="J67" s="17" t="str">
        <f>IF(Tabela!F40="","",Tabela!F40)</f>
        <v/>
      </c>
    </row>
    <row r="68" spans="1:15" x14ac:dyDescent="0.25">
      <c r="A68" s="208" t="str">
        <f>_xlfn.CONCAT(W2,A67)</f>
        <v>Luis - Quartas de Final</v>
      </c>
      <c r="B68" s="208"/>
      <c r="C68" s="208"/>
      <c r="D68" s="208"/>
      <c r="E68" s="208"/>
      <c r="J68" s="17" t="str">
        <f>IF(Tabela!F41="","",Tabela!F41)</f>
        <v/>
      </c>
      <c r="K68" s="205" t="s">
        <v>138</v>
      </c>
      <c r="L68" s="205"/>
      <c r="M68" s="205"/>
      <c r="N68" s="205"/>
      <c r="O68" s="205"/>
    </row>
    <row r="69" spans="1:15" x14ac:dyDescent="0.25">
      <c r="A69" s="91" t="str">
        <f>Tabela!A42</f>
        <v>Holanda</v>
      </c>
      <c r="B69" s="92">
        <v>1</v>
      </c>
      <c r="C69" s="92" t="s">
        <v>53</v>
      </c>
      <c r="D69" s="92">
        <v>3</v>
      </c>
      <c r="E69" s="90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1" t="s">
        <v>12</v>
      </c>
      <c r="B70" s="92">
        <v>1</v>
      </c>
      <c r="C70" s="92" t="s">
        <v>53</v>
      </c>
      <c r="D70" s="92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1" t="s">
        <v>20</v>
      </c>
      <c r="B71" s="92">
        <v>2</v>
      </c>
      <c r="C71" s="92" t="s">
        <v>53</v>
      </c>
      <c r="D71" s="92">
        <v>3</v>
      </c>
      <c r="E71" s="90" t="s">
        <v>17</v>
      </c>
      <c r="H71" s="16">
        <v>10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1" t="str">
        <f>Tabela!A45</f>
        <v>Marrocos</v>
      </c>
      <c r="B72" s="92">
        <v>1</v>
      </c>
      <c r="C72" s="92" t="s">
        <v>53</v>
      </c>
      <c r="D72" s="92">
        <v>2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3" t="s">
        <v>178</v>
      </c>
      <c r="B73" s="88"/>
      <c r="C73" s="88"/>
      <c r="D73" s="88"/>
      <c r="E73" s="94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6" t="str">
        <f>_xlfn.CONCAT(W$2,A73)</f>
        <v>Luis - Semi Final</v>
      </c>
      <c r="B74" s="206"/>
      <c r="C74" s="206"/>
      <c r="D74" s="206"/>
      <c r="E74" s="206"/>
      <c r="J74" s="17" t="str">
        <f>IF(Tabela!F47="","",Tabela!F47)</f>
        <v/>
      </c>
      <c r="K74" s="205" t="s">
        <v>139</v>
      </c>
      <c r="L74" s="205"/>
      <c r="M74" s="205"/>
      <c r="N74" s="205"/>
      <c r="O74" s="205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57" t="s">
        <v>179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6" t="str">
        <f>_xlfn.CONCAT(W$2,A77)</f>
        <v>Luis - Terceiro Lugar</v>
      </c>
      <c r="B78" s="206"/>
      <c r="C78" s="206"/>
      <c r="D78" s="206"/>
      <c r="E78" s="206"/>
      <c r="J78" s="17" t="str">
        <f>IF(Tabela!F51="","",Tabela!F51)</f>
        <v/>
      </c>
      <c r="K78" s="205" t="s">
        <v>140</v>
      </c>
      <c r="L78" s="205"/>
      <c r="M78" s="205"/>
      <c r="N78" s="205"/>
      <c r="O78" s="205"/>
    </row>
    <row r="79" spans="1:15" x14ac:dyDescent="0.25">
      <c r="A79" s="18" t="str">
        <f>IF(Tabela!A52="","",Tabela!A52)</f>
        <v>Croácia</v>
      </c>
      <c r="B79" s="76" t="s">
        <v>221</v>
      </c>
      <c r="C79" s="76" t="s">
        <v>53</v>
      </c>
      <c r="D79" s="76" t="s">
        <v>221</v>
      </c>
      <c r="E79" s="19" t="str">
        <f>IF(Tabela!E52="","",Tabela!E52)</f>
        <v>Marrocos</v>
      </c>
      <c r="J79" s="17" t="s">
        <v>68</v>
      </c>
      <c r="K79" s="76" t="str">
        <f>IF(Tabela!A52="","",Tabela!A52)</f>
        <v>Croácia</v>
      </c>
      <c r="L79" s="76">
        <f>IF(Tabela!B52="","",Tabela!B52)</f>
        <v>2</v>
      </c>
      <c r="M79" s="76" t="str">
        <f>IF(Tabela!C52="","",Tabela!C52)</f>
        <v>X</v>
      </c>
      <c r="N79" s="76">
        <f>IF(Tabela!D52="","",Tabela!D52)</f>
        <v>1</v>
      </c>
      <c r="O79" s="76" t="str">
        <f>IF(Tabela!E52="","",Tabela!E52)</f>
        <v>Marrocos</v>
      </c>
    </row>
    <row r="80" spans="1:15" x14ac:dyDescent="0.25">
      <c r="A80" s="57" t="s">
        <v>180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6" t="str">
        <f>_xlfn.CONCAT(W$2,A80)</f>
        <v>Luis - Final</v>
      </c>
      <c r="B81" s="206"/>
      <c r="C81" s="206"/>
      <c r="D81" s="206"/>
      <c r="E81" s="206"/>
      <c r="J81" s="17" t="str">
        <f>IF(Tabela!F54="","",Tabela!F54)</f>
        <v/>
      </c>
      <c r="K81" s="205" t="s">
        <v>141</v>
      </c>
      <c r="L81" s="205"/>
      <c r="M81" s="205"/>
      <c r="N81" s="205"/>
      <c r="O81" s="205"/>
    </row>
    <row r="82" spans="1:15" x14ac:dyDescent="0.25">
      <c r="A82" s="18" t="str">
        <f>IF(Tabela!A55="","",Tabela!A55)</f>
        <v>Argentina</v>
      </c>
      <c r="B82" s="76">
        <v>0</v>
      </c>
      <c r="C82" s="76" t="s">
        <v>53</v>
      </c>
      <c r="D82" s="76">
        <v>3</v>
      </c>
      <c r="E82" s="19" t="str">
        <f>IF(Tabela!E55="","",Tabela!E55)</f>
        <v>França</v>
      </c>
      <c r="H82" s="16">
        <v>5</v>
      </c>
      <c r="J82" s="17" t="str">
        <f>IF(Tabela!F55="","",Tabela!F55)</f>
        <v/>
      </c>
      <c r="K82" s="76" t="str">
        <f>IF(Tabela!A55="","",Tabela!A55)</f>
        <v>Argentina</v>
      </c>
      <c r="L82" s="76">
        <f>IF(Tabela!B55="","",Tabela!B55)</f>
        <v>3</v>
      </c>
      <c r="M82" s="76" t="str">
        <f>IF(Tabela!C55="","",Tabela!C55)</f>
        <v>X</v>
      </c>
      <c r="N82" s="76">
        <f>IF(Tabela!D55="","",Tabela!D55)</f>
        <v>3</v>
      </c>
      <c r="O82" s="76" t="str">
        <f>IF(Tabela!E55="","",Tabela!E55)</f>
        <v>França</v>
      </c>
    </row>
    <row r="84" spans="1:15" x14ac:dyDescent="0.25">
      <c r="E84" s="17" t="s">
        <v>174</v>
      </c>
      <c r="H84" s="16">
        <v>100</v>
      </c>
    </row>
    <row r="85" spans="1:15" x14ac:dyDescent="0.25">
      <c r="E85" s="17" t="s">
        <v>125</v>
      </c>
      <c r="H85" s="16">
        <v>50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C11:AE11"/>
    <mergeCell ref="W12:Y12"/>
    <mergeCell ref="K22:O22"/>
    <mergeCell ref="K29:O29"/>
    <mergeCell ref="K36:O36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A22:E22"/>
    <mergeCell ref="A29:E29"/>
    <mergeCell ref="A36:E36"/>
    <mergeCell ref="A43:E43"/>
    <mergeCell ref="A50:E50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43:O43"/>
    <mergeCell ref="K50:O50"/>
    <mergeCell ref="Q21:R21"/>
    <mergeCell ref="S21:T21"/>
    <mergeCell ref="U21:V21"/>
    <mergeCell ref="Q22:R22"/>
    <mergeCell ref="S22:T22"/>
    <mergeCell ref="U22:V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0" width="5.7109375" style="51" customWidth="1"/>
    <col min="31" max="31" width="9.140625" style="51"/>
    <col min="32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17" t="s">
        <v>11</v>
      </c>
      <c r="B2" s="16">
        <v>1</v>
      </c>
      <c r="C2" s="16" t="s">
        <v>53</v>
      </c>
      <c r="D2" s="16">
        <v>2</v>
      </c>
      <c r="E2" s="17" t="s">
        <v>14</v>
      </c>
      <c r="H2" s="16">
        <v>15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0" t="s">
        <v>73</v>
      </c>
      <c r="X2" s="200"/>
      <c r="Y2" s="200"/>
      <c r="Z2" s="200"/>
      <c r="AA2" s="200"/>
      <c r="AB2" s="200"/>
      <c r="AC2" s="200"/>
      <c r="AD2" s="200"/>
      <c r="AE2" s="200"/>
    </row>
    <row r="3" spans="1:31" x14ac:dyDescent="0.25">
      <c r="A3" s="17" t="s">
        <v>28</v>
      </c>
      <c r="B3" s="16">
        <v>0</v>
      </c>
      <c r="C3" s="16" t="s">
        <v>53</v>
      </c>
      <c r="D3" s="16">
        <v>2</v>
      </c>
      <c r="E3" s="17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0"/>
      <c r="X3" s="200"/>
      <c r="Y3" s="200"/>
      <c r="Z3" s="200"/>
      <c r="AA3" s="200"/>
      <c r="AB3" s="200"/>
      <c r="AC3" s="200"/>
      <c r="AD3" s="200"/>
      <c r="AE3" s="200"/>
    </row>
    <row r="4" spans="1:31" x14ac:dyDescent="0.25">
      <c r="A4" s="17" t="s">
        <v>11</v>
      </c>
      <c r="B4" s="16">
        <v>1</v>
      </c>
      <c r="C4" s="16" t="s">
        <v>53</v>
      </c>
      <c r="D4" s="16">
        <v>0</v>
      </c>
      <c r="E4" s="17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0"/>
      <c r="X4" s="200"/>
      <c r="Y4" s="200"/>
      <c r="Z4" s="200"/>
      <c r="AA4" s="200"/>
      <c r="AB4" s="200"/>
      <c r="AC4" s="200"/>
      <c r="AD4" s="200"/>
      <c r="AE4" s="200"/>
    </row>
    <row r="5" spans="1:31" x14ac:dyDescent="0.25">
      <c r="A5" s="17" t="s">
        <v>19</v>
      </c>
      <c r="B5" s="16">
        <v>2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0"/>
      <c r="X5" s="200"/>
      <c r="Y5" s="200"/>
      <c r="Z5" s="200"/>
      <c r="AA5" s="200"/>
      <c r="AB5" s="200"/>
      <c r="AC5" s="200"/>
      <c r="AD5" s="200"/>
      <c r="AE5" s="200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0"/>
      <c r="X6" s="200"/>
      <c r="Y6" s="200"/>
      <c r="Z6" s="200"/>
      <c r="AA6" s="200"/>
      <c r="AB6" s="200"/>
      <c r="AC6" s="200"/>
      <c r="AD6" s="200"/>
      <c r="AE6" s="200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7" t="s">
        <v>66</v>
      </c>
      <c r="R9" s="197"/>
      <c r="S9" s="197"/>
      <c r="T9" s="197"/>
      <c r="U9" s="197"/>
      <c r="W9" s="127" t="s">
        <v>123</v>
      </c>
      <c r="X9" s="127"/>
      <c r="Y9" s="127"/>
      <c r="Z9" s="127"/>
      <c r="AA9" s="127"/>
      <c r="AB9" s="127"/>
      <c r="AC9" s="127"/>
      <c r="AD9" s="127"/>
      <c r="AE9" s="127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7"/>
      <c r="R10" s="197"/>
      <c r="S10" s="197"/>
      <c r="T10" s="197"/>
      <c r="U10" s="197"/>
      <c r="W10" s="127" t="s">
        <v>28</v>
      </c>
      <c r="X10" s="127"/>
      <c r="Y10" s="127"/>
      <c r="Z10" s="51">
        <v>0</v>
      </c>
      <c r="AB10" s="51">
        <v>2</v>
      </c>
      <c r="AC10" s="127" t="s">
        <v>19</v>
      </c>
      <c r="AD10" s="127"/>
      <c r="AE10" s="127"/>
    </row>
    <row r="11" spans="1:31" x14ac:dyDescent="0.25">
      <c r="A11" s="17" t="s">
        <v>34</v>
      </c>
      <c r="B11" s="16">
        <v>0</v>
      </c>
      <c r="C11" s="16" t="s">
        <v>53</v>
      </c>
      <c r="D11" s="16">
        <v>0</v>
      </c>
      <c r="E11" s="17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8">
        <f>SUM(H2:H85)</f>
        <v>520</v>
      </c>
      <c r="R11" s="198"/>
      <c r="S11" s="198"/>
      <c r="T11" s="198"/>
      <c r="U11" s="198"/>
      <c r="W11" s="127" t="s">
        <v>34</v>
      </c>
      <c r="X11" s="127"/>
      <c r="Y11" s="127"/>
      <c r="Z11" s="51">
        <v>0</v>
      </c>
      <c r="AB11" s="51">
        <v>3</v>
      </c>
      <c r="AC11" s="127" t="s">
        <v>20</v>
      </c>
      <c r="AD11" s="127"/>
      <c r="AE11" s="127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8"/>
      <c r="R12" s="198"/>
      <c r="S12" s="198"/>
      <c r="T12" s="198"/>
      <c r="U12" s="198"/>
      <c r="W12" s="127" t="s">
        <v>17</v>
      </c>
      <c r="X12" s="127"/>
      <c r="Y12" s="127"/>
      <c r="Z12" s="51">
        <v>2</v>
      </c>
      <c r="AB12" s="51">
        <v>1</v>
      </c>
      <c r="AC12" s="127" t="s">
        <v>13</v>
      </c>
      <c r="AD12" s="127"/>
      <c r="AE12" s="127"/>
    </row>
    <row r="13" spans="1:31" x14ac:dyDescent="0.25">
      <c r="A13" s="17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8"/>
      <c r="R13" s="198"/>
      <c r="S13" s="198"/>
      <c r="T13" s="198"/>
      <c r="U13" s="198"/>
      <c r="W13" s="127" t="s">
        <v>7</v>
      </c>
      <c r="X13" s="127"/>
      <c r="Y13" s="127"/>
      <c r="Z13" s="51">
        <v>1</v>
      </c>
      <c r="AB13" s="51">
        <v>0</v>
      </c>
      <c r="AC13" s="127" t="s">
        <v>10</v>
      </c>
      <c r="AD13" s="127"/>
      <c r="AE13" s="127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8"/>
      <c r="R14" s="198"/>
      <c r="S14" s="198"/>
      <c r="T14" s="198"/>
      <c r="U14" s="198"/>
      <c r="W14" s="127" t="s">
        <v>8</v>
      </c>
      <c r="X14" s="127"/>
      <c r="Y14" s="127"/>
      <c r="Z14" s="51">
        <v>2</v>
      </c>
      <c r="AB14" s="51">
        <v>0</v>
      </c>
      <c r="AC14" s="127" t="s">
        <v>29</v>
      </c>
      <c r="AD14" s="127"/>
      <c r="AE14" s="127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198"/>
      <c r="R15" s="198"/>
      <c r="S15" s="198"/>
      <c r="T15" s="198"/>
      <c r="U15" s="198"/>
      <c r="W15" s="127" t="s">
        <v>5</v>
      </c>
      <c r="X15" s="127"/>
      <c r="Y15" s="127"/>
      <c r="Z15" s="51">
        <v>2</v>
      </c>
      <c r="AB15" s="51">
        <v>1</v>
      </c>
      <c r="AC15" s="127" t="s">
        <v>6</v>
      </c>
      <c r="AD15" s="127"/>
      <c r="AE15" s="127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7"/>
      <c r="X16" s="127"/>
      <c r="Y16" s="127"/>
      <c r="AC16" s="127"/>
      <c r="AD16" s="127"/>
      <c r="AE16" s="127"/>
    </row>
    <row r="17" spans="1:31" x14ac:dyDescent="0.25">
      <c r="A17" s="17" t="s">
        <v>24</v>
      </c>
      <c r="B17" s="16">
        <v>1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7"/>
      <c r="X17" s="127"/>
      <c r="Y17" s="127"/>
      <c r="AC17" s="127"/>
      <c r="AD17" s="127"/>
      <c r="AE17" s="127"/>
    </row>
    <row r="18" spans="1:31" x14ac:dyDescent="0.25">
      <c r="A18" s="17" t="s">
        <v>26</v>
      </c>
      <c r="B18" s="16">
        <v>1</v>
      </c>
      <c r="C18" s="16" t="s">
        <v>53</v>
      </c>
      <c r="D18" s="16">
        <v>1</v>
      </c>
      <c r="E18" s="17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7"/>
      <c r="X18" s="127"/>
      <c r="Y18" s="127"/>
      <c r="AC18" s="127"/>
      <c r="AD18" s="127"/>
      <c r="AE18" s="127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8</v>
      </c>
      <c r="S19" s="22">
        <v>17</v>
      </c>
      <c r="T19" s="22">
        <v>16</v>
      </c>
      <c r="U19" s="22">
        <v>16</v>
      </c>
      <c r="W19" s="127"/>
      <c r="X19" s="127"/>
      <c r="Y19" s="127"/>
      <c r="AC19" s="127"/>
      <c r="AD19" s="127"/>
      <c r="AE19" s="127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7"/>
      <c r="X20" s="127"/>
      <c r="Y20" s="127"/>
      <c r="AC20" s="127"/>
      <c r="AD20" s="127"/>
      <c r="AE20" s="127"/>
    </row>
    <row r="21" spans="1:31" x14ac:dyDescent="0.25">
      <c r="A21" s="17" t="s">
        <v>55</v>
      </c>
      <c r="B21" s="16">
        <v>1</v>
      </c>
      <c r="C21" s="16" t="s">
        <v>53</v>
      </c>
      <c r="D21" s="16">
        <v>4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202" t="s">
        <v>42</v>
      </c>
      <c r="R21" s="202"/>
      <c r="S21" s="199" t="s">
        <v>8</v>
      </c>
      <c r="T21" s="199"/>
      <c r="U21" s="199" t="s">
        <v>17</v>
      </c>
      <c r="V21" s="199"/>
      <c r="W21" s="127"/>
      <c r="X21" s="127"/>
      <c r="Y21" s="127"/>
      <c r="AC21" s="127"/>
      <c r="AD21" s="127"/>
      <c r="AE21" s="127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202" t="s">
        <v>41</v>
      </c>
      <c r="R22" s="202"/>
      <c r="S22" s="203" t="s">
        <v>136</v>
      </c>
      <c r="T22" s="203"/>
      <c r="U22" s="203" t="s">
        <v>137</v>
      </c>
      <c r="V22" s="203"/>
      <c r="W22" s="127"/>
      <c r="X22" s="127"/>
      <c r="Y22" s="127"/>
      <c r="AC22" s="127"/>
      <c r="AD22" s="127"/>
      <c r="AE22" s="127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7"/>
      <c r="X23" s="127"/>
      <c r="Y23" s="127"/>
      <c r="AC23" s="127"/>
      <c r="AD23" s="127"/>
      <c r="AE23" s="127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7"/>
      <c r="X24" s="127"/>
      <c r="Y24" s="127"/>
      <c r="AC24" s="127"/>
      <c r="AD24" s="127"/>
      <c r="AE24" s="127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7"/>
      <c r="X25" s="127"/>
      <c r="Y25" s="127"/>
      <c r="AC25" s="127"/>
      <c r="AD25" s="127"/>
      <c r="AE25" s="127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7"/>
      <c r="X26" s="127"/>
      <c r="Y26" s="127"/>
      <c r="AC26" s="127"/>
      <c r="AD26" s="127"/>
      <c r="AE26" s="127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7"/>
      <c r="X27" s="127"/>
      <c r="Y27" s="127"/>
      <c r="AC27" s="127"/>
      <c r="AD27" s="127"/>
      <c r="AE27" s="127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7"/>
      <c r="X28" s="127"/>
      <c r="Y28" s="127"/>
      <c r="AC28" s="127"/>
      <c r="AD28" s="127"/>
      <c r="AE28" s="127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7"/>
      <c r="X29" s="127"/>
      <c r="Y29" s="127"/>
      <c r="AC29" s="127"/>
      <c r="AD29" s="127"/>
      <c r="AE29" s="127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7"/>
      <c r="X30" s="127"/>
      <c r="Y30" s="127"/>
      <c r="AC30" s="127"/>
      <c r="AD30" s="127"/>
      <c r="AE30" s="127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0</v>
      </c>
      <c r="C33" s="16" t="s">
        <v>53</v>
      </c>
      <c r="D33" s="16">
        <v>0</v>
      </c>
      <c r="E33" s="17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3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1</v>
      </c>
      <c r="C38" s="16" t="s">
        <v>53</v>
      </c>
      <c r="D38" s="16">
        <v>0</v>
      </c>
      <c r="E38" s="17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1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1</v>
      </c>
      <c r="E41" s="17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7" t="s">
        <v>30</v>
      </c>
      <c r="B44" s="16">
        <v>1</v>
      </c>
      <c r="C44" s="16" t="s">
        <v>53</v>
      </c>
      <c r="D44" s="16">
        <v>2</v>
      </c>
      <c r="E44" s="17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3</v>
      </c>
      <c r="C46" s="16" t="s">
        <v>53</v>
      </c>
      <c r="D46" s="16">
        <v>0</v>
      </c>
      <c r="E46" s="17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2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0</v>
      </c>
      <c r="E53" s="17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0</v>
      </c>
      <c r="E54" s="17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172</v>
      </c>
    </row>
    <row r="58" spans="1:15" x14ac:dyDescent="0.25">
      <c r="A58" s="208" t="str">
        <f>_xlfn.CONCAT(W2,A57)</f>
        <v>Juninho_1 - Oitavas de Final</v>
      </c>
      <c r="B58" s="208"/>
      <c r="C58" s="208"/>
      <c r="D58" s="208"/>
      <c r="E58" s="208"/>
      <c r="K58" s="205" t="s">
        <v>170</v>
      </c>
      <c r="L58" s="205"/>
      <c r="M58" s="205"/>
      <c r="N58" s="205"/>
      <c r="O58" s="205"/>
    </row>
    <row r="59" spans="1:15" x14ac:dyDescent="0.25">
      <c r="A59" s="84" t="s">
        <v>19</v>
      </c>
      <c r="B59" s="85">
        <v>2</v>
      </c>
      <c r="C59" s="85" t="s">
        <v>53</v>
      </c>
      <c r="D59" s="85">
        <v>0</v>
      </c>
      <c r="E59" s="86" t="s">
        <v>165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0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166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3</v>
      </c>
      <c r="C63" s="85" t="s">
        <v>53</v>
      </c>
      <c r="D63" s="85">
        <v>1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3" t="s">
        <v>173</v>
      </c>
      <c r="B67" s="88"/>
      <c r="C67" s="88"/>
      <c r="D67" s="88"/>
      <c r="E67" s="94"/>
      <c r="J67" s="17" t="str">
        <f>IF(Tabela!F40="","",Tabela!F40)</f>
        <v/>
      </c>
    </row>
    <row r="68" spans="1:15" x14ac:dyDescent="0.25">
      <c r="A68" s="208" t="str">
        <f>_xlfn.CONCAT(W2,A67)</f>
        <v>Juninho_1 - Quartas de Final</v>
      </c>
      <c r="B68" s="208"/>
      <c r="C68" s="208"/>
      <c r="D68" s="208"/>
      <c r="E68" s="208"/>
      <c r="J68" s="17" t="str">
        <f>IF(Tabela!F41="","",Tabela!F41)</f>
        <v/>
      </c>
      <c r="K68" s="205" t="s">
        <v>138</v>
      </c>
      <c r="L68" s="205"/>
      <c r="M68" s="205"/>
      <c r="N68" s="205"/>
      <c r="O68" s="205"/>
    </row>
    <row r="69" spans="1:15" x14ac:dyDescent="0.25">
      <c r="A69" s="91" t="str">
        <f>Tabela!A42</f>
        <v>Holanda</v>
      </c>
      <c r="B69" s="92">
        <v>1</v>
      </c>
      <c r="C69" s="92" t="s">
        <v>53</v>
      </c>
      <c r="D69" s="92">
        <v>1</v>
      </c>
      <c r="E69" s="90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1" t="s">
        <v>12</v>
      </c>
      <c r="B70" s="92">
        <v>1</v>
      </c>
      <c r="C70" s="92" t="s">
        <v>53</v>
      </c>
      <c r="D70" s="92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1" t="s">
        <v>20</v>
      </c>
      <c r="B71" s="92">
        <v>0</v>
      </c>
      <c r="C71" s="92" t="s">
        <v>53</v>
      </c>
      <c r="D71" s="92">
        <v>0</v>
      </c>
      <c r="E71" s="90" t="s">
        <v>17</v>
      </c>
      <c r="H71" s="16">
        <v>0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1" t="str">
        <f>Tabela!A45</f>
        <v>Marrocos</v>
      </c>
      <c r="B72" s="92">
        <v>0</v>
      </c>
      <c r="C72" s="92" t="s">
        <v>53</v>
      </c>
      <c r="D72" s="92">
        <v>0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3" t="s">
        <v>178</v>
      </c>
      <c r="B73" s="88"/>
      <c r="C73" s="88"/>
      <c r="D73" s="88"/>
      <c r="E73" s="94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6" t="str">
        <f>_xlfn.CONCAT(W$2,A73)</f>
        <v>Juninho_1 - Semi Final</v>
      </c>
      <c r="B74" s="206"/>
      <c r="C74" s="206"/>
      <c r="D74" s="206"/>
      <c r="E74" s="206"/>
      <c r="J74" s="17" t="str">
        <f>IF(Tabela!F47="","",Tabela!F47)</f>
        <v/>
      </c>
      <c r="K74" s="205" t="s">
        <v>139</v>
      </c>
      <c r="L74" s="205"/>
      <c r="M74" s="205"/>
      <c r="N74" s="205"/>
      <c r="O74" s="205"/>
    </row>
    <row r="75" spans="1:15" x14ac:dyDescent="0.25">
      <c r="A75" s="18" t="str">
        <f>IF(Tabela!A48="","",Tabela!A48)</f>
        <v>Argentina</v>
      </c>
      <c r="B75" s="76">
        <v>2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10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57" t="s">
        <v>179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6" t="str">
        <f>_xlfn.CONCAT(W$2,A77)</f>
        <v>Juninho_1 - Terceiro Lugar</v>
      </c>
      <c r="B78" s="206"/>
      <c r="C78" s="206"/>
      <c r="D78" s="206"/>
      <c r="E78" s="206"/>
      <c r="J78" s="17" t="str">
        <f>IF(Tabela!F51="","",Tabela!F51)</f>
        <v/>
      </c>
      <c r="K78" s="205" t="s">
        <v>140</v>
      </c>
      <c r="L78" s="205"/>
      <c r="M78" s="205"/>
      <c r="N78" s="205"/>
      <c r="O78" s="205"/>
    </row>
    <row r="79" spans="1:15" x14ac:dyDescent="0.25">
      <c r="A79" s="18" t="str">
        <f>IF(Tabela!A52="","",Tabela!A52)</f>
        <v>Croácia</v>
      </c>
      <c r="B79" s="76" t="s">
        <v>221</v>
      </c>
      <c r="C79" s="76" t="s">
        <v>53</v>
      </c>
      <c r="D79" s="105" t="s">
        <v>221</v>
      </c>
      <c r="E79" s="19" t="str">
        <f>IF(Tabela!E52="","",Tabela!E52)</f>
        <v>Marrocos</v>
      </c>
      <c r="J79" s="17" t="s">
        <v>68</v>
      </c>
      <c r="K79" s="76" t="str">
        <f>IF(Tabela!A52="","",Tabela!A52)</f>
        <v>Croácia</v>
      </c>
      <c r="L79" s="76">
        <f>IF(Tabela!B52="","",Tabela!B52)</f>
        <v>2</v>
      </c>
      <c r="M79" s="76" t="str">
        <f>IF(Tabela!C52="","",Tabela!C52)</f>
        <v>X</v>
      </c>
      <c r="N79" s="76">
        <f>IF(Tabela!D52="","",Tabela!D52)</f>
        <v>1</v>
      </c>
      <c r="O79" s="76" t="str">
        <f>IF(Tabela!E52="","",Tabela!E52)</f>
        <v>Marrocos</v>
      </c>
    </row>
    <row r="80" spans="1:15" x14ac:dyDescent="0.25">
      <c r="A80" s="57" t="s">
        <v>180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6" t="str">
        <f>_xlfn.CONCAT(W$2,A80)</f>
        <v>Juninho_1 - Final</v>
      </c>
      <c r="B81" s="206"/>
      <c r="C81" s="206"/>
      <c r="D81" s="206"/>
      <c r="E81" s="206"/>
      <c r="J81" s="17" t="str">
        <f>IF(Tabela!F54="","",Tabela!F54)</f>
        <v/>
      </c>
      <c r="K81" s="205" t="s">
        <v>141</v>
      </c>
      <c r="L81" s="205"/>
      <c r="M81" s="205"/>
      <c r="N81" s="205"/>
      <c r="O81" s="205"/>
    </row>
    <row r="82" spans="1:15" x14ac:dyDescent="0.25">
      <c r="A82" s="18" t="str">
        <f>IF(Tabela!A55="","",Tabela!A55)</f>
        <v>Argentina</v>
      </c>
      <c r="B82" s="76">
        <v>1</v>
      </c>
      <c r="C82" s="76" t="s">
        <v>53</v>
      </c>
      <c r="D82" s="76">
        <v>2</v>
      </c>
      <c r="E82" s="19" t="str">
        <f>IF(Tabela!E55="","",Tabela!E55)</f>
        <v>França</v>
      </c>
      <c r="H82" s="16">
        <v>0</v>
      </c>
      <c r="J82" s="17" t="str">
        <f>IF(Tabela!F55="","",Tabela!F55)</f>
        <v/>
      </c>
      <c r="K82" s="76" t="str">
        <f>IF(Tabela!A55="","",Tabela!A55)</f>
        <v>Argentina</v>
      </c>
      <c r="L82" s="76">
        <f>IF(Tabela!B55="","",Tabela!B55)</f>
        <v>3</v>
      </c>
      <c r="M82" s="76" t="str">
        <f>IF(Tabela!C55="","",Tabela!C55)</f>
        <v>X</v>
      </c>
      <c r="N82" s="76">
        <f>IF(Tabela!D55="","",Tabela!D55)</f>
        <v>3</v>
      </c>
      <c r="O82" s="76" t="str">
        <f>IF(Tabela!E55="","",Tabela!E55)</f>
        <v>França</v>
      </c>
    </row>
    <row r="84" spans="1:15" x14ac:dyDescent="0.25">
      <c r="E84" s="17" t="s">
        <v>174</v>
      </c>
      <c r="H84" s="16">
        <v>0</v>
      </c>
    </row>
    <row r="85" spans="1:15" x14ac:dyDescent="0.25">
      <c r="E85" s="17" t="s">
        <v>125</v>
      </c>
      <c r="H85" s="16">
        <v>0</v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61" width="5.7109375" style="17" customWidth="1"/>
    <col min="62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17" t="s">
        <v>11</v>
      </c>
      <c r="B2" s="16">
        <v>1</v>
      </c>
      <c r="C2" s="16" t="s">
        <v>53</v>
      </c>
      <c r="D2" s="16">
        <v>0</v>
      </c>
      <c r="E2" s="17" t="s">
        <v>14</v>
      </c>
      <c r="H2" s="16">
        <v>0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0" t="s">
        <v>74</v>
      </c>
      <c r="X2" s="200"/>
      <c r="Y2" s="200"/>
      <c r="Z2" s="200"/>
      <c r="AA2" s="200"/>
      <c r="AB2" s="200"/>
      <c r="AC2" s="200"/>
      <c r="AD2" s="200"/>
      <c r="AE2" s="200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0"/>
      <c r="X3" s="200"/>
      <c r="Y3" s="200"/>
      <c r="Z3" s="200"/>
      <c r="AA3" s="200"/>
      <c r="AB3" s="200"/>
      <c r="AC3" s="200"/>
      <c r="AD3" s="200"/>
      <c r="AE3" s="200"/>
    </row>
    <row r="4" spans="1:31" x14ac:dyDescent="0.25">
      <c r="A4" s="17" t="s">
        <v>11</v>
      </c>
      <c r="B4" s="16">
        <v>2</v>
      </c>
      <c r="C4" s="16" t="s">
        <v>53</v>
      </c>
      <c r="D4" s="16">
        <v>0</v>
      </c>
      <c r="E4" s="17" t="s">
        <v>28</v>
      </c>
      <c r="H4" s="16">
        <v>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0"/>
      <c r="X4" s="200"/>
      <c r="Y4" s="200"/>
      <c r="Z4" s="200"/>
      <c r="AA4" s="200"/>
      <c r="AB4" s="200"/>
      <c r="AC4" s="200"/>
      <c r="AD4" s="200"/>
      <c r="AE4" s="200"/>
    </row>
    <row r="5" spans="1:31" x14ac:dyDescent="0.25">
      <c r="A5" s="17" t="s">
        <v>19</v>
      </c>
      <c r="B5" s="16">
        <v>3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0"/>
      <c r="X5" s="200"/>
      <c r="Y5" s="200"/>
      <c r="Z5" s="200"/>
      <c r="AA5" s="200"/>
      <c r="AB5" s="200"/>
      <c r="AC5" s="200"/>
      <c r="AD5" s="200"/>
      <c r="AE5" s="200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0"/>
      <c r="X6" s="200"/>
      <c r="Y6" s="200"/>
      <c r="Z6" s="200"/>
      <c r="AA6" s="200"/>
      <c r="AB6" s="200"/>
      <c r="AC6" s="200"/>
      <c r="AD6" s="200"/>
      <c r="AE6" s="200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7" t="s">
        <v>66</v>
      </c>
      <c r="R9" s="197"/>
      <c r="S9" s="197"/>
      <c r="T9" s="197"/>
      <c r="U9" s="197"/>
      <c r="W9" s="127" t="s">
        <v>123</v>
      </c>
      <c r="X9" s="127"/>
      <c r="Y9" s="127"/>
      <c r="Z9" s="127"/>
      <c r="AA9" s="127"/>
      <c r="AB9" s="127"/>
      <c r="AC9" s="127"/>
      <c r="AD9" s="127"/>
      <c r="AE9" s="127"/>
    </row>
    <row r="10" spans="1:31" x14ac:dyDescent="0.25">
      <c r="A10" s="17" t="s">
        <v>54</v>
      </c>
      <c r="B10" s="16">
        <v>3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7"/>
      <c r="R10" s="197"/>
      <c r="S10" s="197"/>
      <c r="T10" s="197"/>
      <c r="U10" s="197"/>
      <c r="W10" s="127" t="s">
        <v>20</v>
      </c>
      <c r="X10" s="127"/>
      <c r="Y10" s="127"/>
      <c r="Z10" s="51">
        <v>0</v>
      </c>
      <c r="AB10" s="51">
        <v>0</v>
      </c>
      <c r="AC10" s="127" t="s">
        <v>16</v>
      </c>
      <c r="AD10" s="127"/>
      <c r="AE10" s="127"/>
    </row>
    <row r="11" spans="1:31" x14ac:dyDescent="0.25">
      <c r="A11" s="17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8">
        <f>SUM(H2:H85)</f>
        <v>535</v>
      </c>
      <c r="R11" s="198"/>
      <c r="S11" s="198"/>
      <c r="T11" s="198"/>
      <c r="U11" s="198"/>
      <c r="W11" s="127" t="s">
        <v>21</v>
      </c>
      <c r="X11" s="127"/>
      <c r="Y11" s="127"/>
      <c r="Z11" s="51">
        <v>0</v>
      </c>
      <c r="AB11" s="51">
        <v>1</v>
      </c>
      <c r="AC11" s="127" t="s">
        <v>16</v>
      </c>
      <c r="AD11" s="127"/>
      <c r="AE11" s="127"/>
    </row>
    <row r="12" spans="1:31" x14ac:dyDescent="0.25">
      <c r="A12" s="17" t="s">
        <v>20</v>
      </c>
      <c r="B12" s="16">
        <v>0</v>
      </c>
      <c r="C12" s="16" t="s">
        <v>53</v>
      </c>
      <c r="D12" s="16">
        <v>0</v>
      </c>
      <c r="E12" s="17" t="s">
        <v>54</v>
      </c>
      <c r="H12" s="16">
        <v>25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8"/>
      <c r="R12" s="198"/>
      <c r="S12" s="198"/>
      <c r="T12" s="198"/>
      <c r="U12" s="198"/>
      <c r="W12" s="127" t="s">
        <v>34</v>
      </c>
      <c r="X12" s="127"/>
      <c r="Y12" s="127"/>
      <c r="Z12" s="51">
        <v>0</v>
      </c>
      <c r="AB12" s="51">
        <v>3</v>
      </c>
      <c r="AC12" s="127" t="s">
        <v>20</v>
      </c>
      <c r="AD12" s="127"/>
      <c r="AE12" s="127"/>
    </row>
    <row r="13" spans="1:31" x14ac:dyDescent="0.25">
      <c r="A13" s="17" t="s">
        <v>21</v>
      </c>
      <c r="B13" s="16">
        <v>0</v>
      </c>
      <c r="C13" s="16" t="s">
        <v>53</v>
      </c>
      <c r="D13" s="16">
        <v>1</v>
      </c>
      <c r="E13" s="17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8"/>
      <c r="R13" s="198"/>
      <c r="S13" s="198"/>
      <c r="T13" s="198"/>
      <c r="U13" s="198"/>
      <c r="W13" s="127" t="s">
        <v>13</v>
      </c>
      <c r="X13" s="127"/>
      <c r="Y13" s="127"/>
      <c r="Z13" s="51">
        <v>0</v>
      </c>
      <c r="AB13" s="51">
        <v>0</v>
      </c>
      <c r="AC13" s="127" t="s">
        <v>31</v>
      </c>
      <c r="AD13" s="127"/>
      <c r="AE13" s="127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8"/>
      <c r="R14" s="198"/>
      <c r="S14" s="198"/>
      <c r="T14" s="198"/>
      <c r="U14" s="198"/>
      <c r="W14" s="127" t="s">
        <v>20</v>
      </c>
      <c r="X14" s="127"/>
      <c r="Y14" s="127"/>
      <c r="Z14" s="51">
        <v>1</v>
      </c>
      <c r="AB14" s="51">
        <v>2</v>
      </c>
      <c r="AC14" s="127" t="s">
        <v>17</v>
      </c>
      <c r="AD14" s="127"/>
      <c r="AE14" s="127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198"/>
      <c r="R15" s="198"/>
      <c r="S15" s="198"/>
      <c r="T15" s="198"/>
      <c r="U15" s="198"/>
      <c r="W15" s="127" t="s">
        <v>17</v>
      </c>
      <c r="X15" s="127"/>
      <c r="Y15" s="127"/>
      <c r="Z15" s="51">
        <v>2</v>
      </c>
      <c r="AB15" s="51">
        <v>0</v>
      </c>
      <c r="AC15" s="127" t="s">
        <v>23</v>
      </c>
      <c r="AD15" s="127"/>
      <c r="AE15" s="127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7"/>
      <c r="X16" s="127"/>
      <c r="Y16" s="127"/>
      <c r="AC16" s="127"/>
      <c r="AD16" s="127"/>
      <c r="AE16" s="127"/>
    </row>
    <row r="17" spans="1:31" x14ac:dyDescent="0.25">
      <c r="A17" s="17" t="s">
        <v>24</v>
      </c>
      <c r="B17" s="16">
        <v>2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7"/>
      <c r="X17" s="127"/>
      <c r="Y17" s="127"/>
      <c r="AC17" s="127"/>
      <c r="AD17" s="127"/>
      <c r="AE17" s="127"/>
    </row>
    <row r="18" spans="1:31" x14ac:dyDescent="0.25">
      <c r="A18" s="17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7"/>
      <c r="X18" s="127"/>
      <c r="Y18" s="127"/>
      <c r="AC18" s="127"/>
      <c r="AD18" s="127"/>
      <c r="AE18" s="127"/>
    </row>
    <row r="19" spans="1:31" x14ac:dyDescent="0.25">
      <c r="A19" s="17" t="s">
        <v>5</v>
      </c>
      <c r="B19" s="16">
        <v>1</v>
      </c>
      <c r="C19" s="16" t="s">
        <v>53</v>
      </c>
      <c r="D19" s="16">
        <v>0</v>
      </c>
      <c r="E19" s="17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15</v>
      </c>
      <c r="S19" s="22">
        <v>9</v>
      </c>
      <c r="T19" s="22">
        <v>14</v>
      </c>
      <c r="U19" s="22">
        <v>19</v>
      </c>
      <c r="W19" s="127"/>
      <c r="X19" s="127"/>
      <c r="Y19" s="127"/>
      <c r="AC19" s="127"/>
      <c r="AD19" s="127"/>
      <c r="AE19" s="127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7"/>
      <c r="X20" s="127"/>
      <c r="Y20" s="127"/>
      <c r="AC20" s="127"/>
      <c r="AD20" s="127"/>
      <c r="AE20" s="127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202" t="s">
        <v>42</v>
      </c>
      <c r="R21" s="202"/>
      <c r="S21" s="199" t="s">
        <v>8</v>
      </c>
      <c r="T21" s="199"/>
      <c r="U21" s="199" t="s">
        <v>15</v>
      </c>
      <c r="V21" s="199"/>
      <c r="W21" s="127"/>
      <c r="X21" s="127"/>
      <c r="Y21" s="127"/>
      <c r="AC21" s="127"/>
      <c r="AD21" s="127"/>
      <c r="AE21" s="127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202" t="s">
        <v>41</v>
      </c>
      <c r="R22" s="202"/>
      <c r="S22" s="203" t="s">
        <v>137</v>
      </c>
      <c r="T22" s="203"/>
      <c r="U22" s="203" t="s">
        <v>136</v>
      </c>
      <c r="V22" s="203"/>
      <c r="W22" s="127"/>
      <c r="X22" s="127"/>
      <c r="Y22" s="127"/>
      <c r="AC22" s="127"/>
      <c r="AD22" s="127"/>
      <c r="AE22" s="127"/>
    </row>
    <row r="23" spans="1:31" x14ac:dyDescent="0.25">
      <c r="A23" s="17" t="s">
        <v>13</v>
      </c>
      <c r="B23" s="16">
        <v>0</v>
      </c>
      <c r="C23" s="16" t="s">
        <v>53</v>
      </c>
      <c r="D23" s="16">
        <v>0</v>
      </c>
      <c r="E23" s="17" t="s">
        <v>31</v>
      </c>
      <c r="H23" s="16">
        <v>25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7"/>
      <c r="X23" s="127"/>
      <c r="Y23" s="127"/>
      <c r="AC23" s="127"/>
      <c r="AD23" s="127"/>
      <c r="AE23" s="127"/>
    </row>
    <row r="24" spans="1:31" x14ac:dyDescent="0.25">
      <c r="A24" s="17" t="s">
        <v>17</v>
      </c>
      <c r="B24" s="16">
        <v>1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7"/>
      <c r="X24" s="127"/>
      <c r="Y24" s="127"/>
      <c r="AC24" s="127"/>
      <c r="AD24" s="127"/>
      <c r="AE24" s="127"/>
    </row>
    <row r="25" spans="1:31" x14ac:dyDescent="0.25">
      <c r="A25" s="17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7"/>
      <c r="X25" s="127"/>
      <c r="Y25" s="127"/>
      <c r="AC25" s="127"/>
      <c r="AD25" s="127"/>
      <c r="AE25" s="127"/>
    </row>
    <row r="26" spans="1:31" x14ac:dyDescent="0.25">
      <c r="A26" s="17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7"/>
      <c r="X26" s="127"/>
      <c r="Y26" s="127"/>
      <c r="AC26" s="127"/>
      <c r="AD26" s="127"/>
      <c r="AE26" s="127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7"/>
      <c r="X27" s="127"/>
      <c r="Y27" s="127"/>
      <c r="AC27" s="127"/>
      <c r="AD27" s="127"/>
      <c r="AE27" s="127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7"/>
      <c r="X28" s="127"/>
      <c r="Y28" s="127"/>
      <c r="AC28" s="127"/>
      <c r="AD28" s="127"/>
      <c r="AE28" s="127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7"/>
      <c r="X29" s="127"/>
      <c r="Y29" s="127"/>
      <c r="AC29" s="127"/>
      <c r="AD29" s="127"/>
      <c r="AE29" s="127"/>
    </row>
    <row r="30" spans="1:31" x14ac:dyDescent="0.25">
      <c r="A30" s="17" t="s">
        <v>4</v>
      </c>
      <c r="B30" s="16">
        <v>4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7"/>
      <c r="X30" s="127"/>
      <c r="Y30" s="127"/>
      <c r="AC30" s="127"/>
      <c r="AD30" s="127"/>
      <c r="AE30" s="127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1</v>
      </c>
      <c r="C33" s="16" t="s">
        <v>53</v>
      </c>
      <c r="D33" s="16">
        <v>2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3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1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0</v>
      </c>
      <c r="C40" s="16" t="s">
        <v>53</v>
      </c>
      <c r="D40" s="16">
        <v>0</v>
      </c>
      <c r="E40" s="17" t="s">
        <v>10</v>
      </c>
      <c r="H40" s="16">
        <v>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7" t="s">
        <v>30</v>
      </c>
      <c r="B44" s="16">
        <v>0</v>
      </c>
      <c r="C44" s="16" t="s">
        <v>53</v>
      </c>
      <c r="D44" s="16">
        <v>0</v>
      </c>
      <c r="E44" s="17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1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2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0</v>
      </c>
      <c r="C48" s="16" t="s">
        <v>53</v>
      </c>
      <c r="D48" s="16">
        <v>1</v>
      </c>
      <c r="E48" s="17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0</v>
      </c>
      <c r="C49" s="16" t="s">
        <v>53</v>
      </c>
      <c r="D49" s="16">
        <v>0</v>
      </c>
      <c r="E49" s="17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1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0</v>
      </c>
      <c r="C54" s="16" t="s">
        <v>53</v>
      </c>
      <c r="D54" s="16">
        <v>0</v>
      </c>
      <c r="E54" s="17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1</v>
      </c>
      <c r="C55" s="16" t="s">
        <v>53</v>
      </c>
      <c r="D55" s="16">
        <v>3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0</v>
      </c>
      <c r="C56" s="16" t="s">
        <v>53</v>
      </c>
      <c r="D56" s="16">
        <v>1</v>
      </c>
      <c r="E56" s="17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172</v>
      </c>
    </row>
    <row r="58" spans="1:15" x14ac:dyDescent="0.25">
      <c r="A58" s="208" t="str">
        <f>_xlfn.CONCAT(W2,A57)</f>
        <v>Juninho_2 - Oitavas de Final</v>
      </c>
      <c r="B58" s="208"/>
      <c r="C58" s="208"/>
      <c r="D58" s="208"/>
      <c r="E58" s="208"/>
      <c r="K58" s="205" t="s">
        <v>170</v>
      </c>
      <c r="L58" s="205"/>
      <c r="M58" s="205"/>
      <c r="N58" s="205"/>
      <c r="O58" s="205"/>
    </row>
    <row r="59" spans="1:15" x14ac:dyDescent="0.25">
      <c r="A59" s="84" t="s">
        <v>19</v>
      </c>
      <c r="B59" s="85">
        <v>2</v>
      </c>
      <c r="C59" s="85" t="s">
        <v>53</v>
      </c>
      <c r="D59" s="85">
        <v>0</v>
      </c>
      <c r="E59" s="86" t="s">
        <v>165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0</v>
      </c>
      <c r="E60" s="8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2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1</v>
      </c>
      <c r="C62" s="85" t="s">
        <v>53</v>
      </c>
      <c r="D62" s="85">
        <v>0</v>
      </c>
      <c r="E62" s="86" t="s">
        <v>166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3</v>
      </c>
      <c r="C64" s="85" t="s">
        <v>53</v>
      </c>
      <c r="D64" s="85">
        <v>0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2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3" t="s">
        <v>173</v>
      </c>
      <c r="B67" s="88"/>
      <c r="C67" s="88"/>
      <c r="D67" s="88"/>
      <c r="E67" s="94"/>
      <c r="J67" s="17" t="str">
        <f>IF(Tabela!F40="","",Tabela!F40)</f>
        <v/>
      </c>
    </row>
    <row r="68" spans="1:15" x14ac:dyDescent="0.25">
      <c r="A68" s="208" t="str">
        <f>_xlfn.CONCAT(W2,A67)</f>
        <v>Juninho_2 - Quartas de Final</v>
      </c>
      <c r="B68" s="208"/>
      <c r="C68" s="208"/>
      <c r="D68" s="208"/>
      <c r="E68" s="208"/>
      <c r="J68" s="17" t="str">
        <f>IF(Tabela!F41="","",Tabela!F41)</f>
        <v/>
      </c>
      <c r="K68" s="205" t="s">
        <v>138</v>
      </c>
      <c r="L68" s="205"/>
      <c r="M68" s="205"/>
      <c r="N68" s="205"/>
      <c r="O68" s="205"/>
    </row>
    <row r="69" spans="1:15" x14ac:dyDescent="0.25">
      <c r="A69" s="91" t="str">
        <f>Tabela!A42</f>
        <v>Holanda</v>
      </c>
      <c r="B69" s="92">
        <v>1</v>
      </c>
      <c r="C69" s="92" t="s">
        <v>53</v>
      </c>
      <c r="D69" s="92">
        <v>2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1" t="s">
        <v>12</v>
      </c>
      <c r="B70" s="92">
        <v>0</v>
      </c>
      <c r="C70" s="92" t="s">
        <v>53</v>
      </c>
      <c r="D70" s="92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1" t="s">
        <v>20</v>
      </c>
      <c r="B71" s="92">
        <v>1</v>
      </c>
      <c r="C71" s="92" t="s">
        <v>53</v>
      </c>
      <c r="D71" s="92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1" t="str">
        <f>Tabela!A45</f>
        <v>Marrocos</v>
      </c>
      <c r="B72" s="92">
        <v>0</v>
      </c>
      <c r="C72" s="92" t="s">
        <v>53</v>
      </c>
      <c r="D72" s="92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3" t="s">
        <v>178</v>
      </c>
      <c r="B73" s="88"/>
      <c r="C73" s="88"/>
      <c r="D73" s="88"/>
      <c r="E73" s="94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6" t="str">
        <f>_xlfn.CONCAT(W$2,A73)</f>
        <v>Juninho_2 - Semi Final</v>
      </c>
      <c r="B74" s="206"/>
      <c r="C74" s="206"/>
      <c r="D74" s="206"/>
      <c r="E74" s="206"/>
      <c r="J74" s="17" t="str">
        <f>IF(Tabela!F47="","",Tabela!F47)</f>
        <v/>
      </c>
      <c r="K74" s="205" t="s">
        <v>139</v>
      </c>
      <c r="L74" s="205"/>
      <c r="M74" s="205"/>
      <c r="N74" s="205"/>
      <c r="O74" s="205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25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57" t="s">
        <v>179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6" t="str">
        <f>_xlfn.CONCAT(W$2,A77)</f>
        <v>Juninho_2 - Terceiro Lugar</v>
      </c>
      <c r="B78" s="206"/>
      <c r="C78" s="206"/>
      <c r="D78" s="206"/>
      <c r="E78" s="206"/>
      <c r="J78" s="17" t="str">
        <f>IF(Tabela!F51="","",Tabela!F51)</f>
        <v/>
      </c>
      <c r="K78" s="205" t="s">
        <v>140</v>
      </c>
      <c r="L78" s="205"/>
      <c r="M78" s="205"/>
      <c r="N78" s="205"/>
      <c r="O78" s="205"/>
    </row>
    <row r="79" spans="1:15" x14ac:dyDescent="0.25">
      <c r="A79" s="18" t="str">
        <f>IF(Tabela!A52="","",Tabela!A52)</f>
        <v>Croácia</v>
      </c>
      <c r="B79" s="76" t="s">
        <v>221</v>
      </c>
      <c r="C79" s="76" t="s">
        <v>53</v>
      </c>
      <c r="D79" s="76" t="s">
        <v>221</v>
      </c>
      <c r="E79" s="19" t="str">
        <f>IF(Tabela!E52="","",Tabela!E52)</f>
        <v>Marrocos</v>
      </c>
      <c r="J79" s="17" t="s">
        <v>68</v>
      </c>
      <c r="K79" s="76" t="str">
        <f>IF(Tabela!A52="","",Tabela!A52)</f>
        <v>Croácia</v>
      </c>
      <c r="L79" s="76">
        <f>IF(Tabela!B52="","",Tabela!B52)</f>
        <v>2</v>
      </c>
      <c r="M79" s="76" t="str">
        <f>IF(Tabela!C52="","",Tabela!C52)</f>
        <v>X</v>
      </c>
      <c r="N79" s="76">
        <f>IF(Tabela!D52="","",Tabela!D52)</f>
        <v>1</v>
      </c>
      <c r="O79" s="76" t="str">
        <f>IF(Tabela!E52="","",Tabela!E52)</f>
        <v>Marrocos</v>
      </c>
    </row>
    <row r="80" spans="1:15" x14ac:dyDescent="0.25">
      <c r="A80" s="57" t="s">
        <v>180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6" t="str">
        <f>_xlfn.CONCAT(W$2,A80)</f>
        <v>Juninho_2 - Final</v>
      </c>
      <c r="B81" s="206"/>
      <c r="C81" s="206"/>
      <c r="D81" s="206"/>
      <c r="E81" s="206"/>
      <c r="J81" s="17" t="str">
        <f>IF(Tabela!F54="","",Tabela!F54)</f>
        <v/>
      </c>
      <c r="K81" s="205" t="s">
        <v>141</v>
      </c>
      <c r="L81" s="205"/>
      <c r="M81" s="205"/>
      <c r="N81" s="205"/>
      <c r="O81" s="205"/>
    </row>
    <row r="82" spans="1:15" x14ac:dyDescent="0.25">
      <c r="A82" s="18" t="str">
        <f>IF(Tabela!A55="","",Tabela!A55)</f>
        <v>Argentina</v>
      </c>
      <c r="B82" s="76">
        <v>2</v>
      </c>
      <c r="C82" s="76" t="s">
        <v>53</v>
      </c>
      <c r="D82" s="76">
        <v>1</v>
      </c>
      <c r="E82" s="19" t="str">
        <f>IF(Tabela!E55="","",Tabela!E55)</f>
        <v>França</v>
      </c>
      <c r="H82" s="16">
        <v>0</v>
      </c>
      <c r="J82" s="17" t="str">
        <f>IF(Tabela!F55="","",Tabela!F55)</f>
        <v/>
      </c>
      <c r="K82" s="76" t="str">
        <f>IF(Tabela!A55="","",Tabela!A55)</f>
        <v>Argentina</v>
      </c>
      <c r="L82" s="76">
        <f>IF(Tabela!B55="","",Tabela!B55)</f>
        <v>3</v>
      </c>
      <c r="M82" s="76" t="str">
        <f>IF(Tabela!C55="","",Tabela!C55)</f>
        <v>X</v>
      </c>
      <c r="N82" s="76">
        <f>IF(Tabela!D55="","",Tabela!D55)</f>
        <v>3</v>
      </c>
      <c r="O82" s="76" t="str">
        <f>IF(Tabela!E55="","",Tabela!E55)</f>
        <v>França</v>
      </c>
    </row>
    <row r="84" spans="1:15" x14ac:dyDescent="0.25">
      <c r="E84" s="17" t="s">
        <v>174</v>
      </c>
      <c r="H84" s="16">
        <v>0</v>
      </c>
    </row>
    <row r="85" spans="1:15" x14ac:dyDescent="0.25">
      <c r="E85" s="17" t="s">
        <v>125</v>
      </c>
      <c r="H85" s="16">
        <v>0</v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20" customWidth="1"/>
    <col min="2" max="4" width="5.7109375" style="16" customWidth="1"/>
    <col min="5" max="5" width="17.7109375" style="20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6" width="5.7109375" style="20" customWidth="1"/>
    <col min="47" max="16384" width="9.140625" style="20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0" t="s">
        <v>11</v>
      </c>
      <c r="B2" s="16">
        <v>1</v>
      </c>
      <c r="C2" s="16" t="s">
        <v>53</v>
      </c>
      <c r="D2" s="16">
        <v>0</v>
      </c>
      <c r="E2" s="20" t="s">
        <v>14</v>
      </c>
      <c r="H2" s="16">
        <v>0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0" t="s">
        <v>75</v>
      </c>
      <c r="X2" s="200"/>
      <c r="Y2" s="200"/>
      <c r="Z2" s="200"/>
      <c r="AA2" s="200"/>
      <c r="AB2" s="200"/>
      <c r="AC2" s="200"/>
      <c r="AD2" s="200"/>
      <c r="AE2" s="200"/>
    </row>
    <row r="3" spans="1:31" x14ac:dyDescent="0.25">
      <c r="A3" s="20" t="s">
        <v>28</v>
      </c>
      <c r="B3" s="16">
        <v>0</v>
      </c>
      <c r="C3" s="16" t="s">
        <v>53</v>
      </c>
      <c r="D3" s="16">
        <v>0</v>
      </c>
      <c r="E3" s="20" t="s">
        <v>19</v>
      </c>
      <c r="H3" s="16">
        <v>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0"/>
      <c r="X3" s="200"/>
      <c r="Y3" s="200"/>
      <c r="Z3" s="200"/>
      <c r="AA3" s="200"/>
      <c r="AB3" s="200"/>
      <c r="AC3" s="200"/>
      <c r="AD3" s="200"/>
      <c r="AE3" s="200"/>
    </row>
    <row r="4" spans="1:31" x14ac:dyDescent="0.25">
      <c r="A4" s="20" t="s">
        <v>11</v>
      </c>
      <c r="B4" s="16">
        <v>0</v>
      </c>
      <c r="C4" s="16" t="s">
        <v>53</v>
      </c>
      <c r="D4" s="16">
        <v>0</v>
      </c>
      <c r="E4" s="20" t="s">
        <v>28</v>
      </c>
      <c r="H4" s="16">
        <v>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0"/>
      <c r="X4" s="200"/>
      <c r="Y4" s="200"/>
      <c r="Z4" s="200"/>
      <c r="AA4" s="200"/>
      <c r="AB4" s="200"/>
      <c r="AC4" s="200"/>
      <c r="AD4" s="200"/>
      <c r="AE4" s="200"/>
    </row>
    <row r="5" spans="1:31" x14ac:dyDescent="0.25">
      <c r="A5" s="20" t="s">
        <v>19</v>
      </c>
      <c r="B5" s="16">
        <v>0</v>
      </c>
      <c r="C5" s="16" t="s">
        <v>53</v>
      </c>
      <c r="D5" s="16">
        <v>1</v>
      </c>
      <c r="E5" s="20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0"/>
      <c r="X5" s="200"/>
      <c r="Y5" s="200"/>
      <c r="Z5" s="200"/>
      <c r="AA5" s="200"/>
      <c r="AB5" s="200"/>
      <c r="AC5" s="200"/>
      <c r="AD5" s="200"/>
      <c r="AE5" s="200"/>
    </row>
    <row r="6" spans="1:31" x14ac:dyDescent="0.25">
      <c r="A6" s="20" t="s">
        <v>19</v>
      </c>
      <c r="B6" s="16">
        <v>1</v>
      </c>
      <c r="C6" s="16" t="s">
        <v>53</v>
      </c>
      <c r="D6" s="16">
        <v>0</v>
      </c>
      <c r="E6" s="20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0"/>
      <c r="X6" s="200"/>
      <c r="Y6" s="200"/>
      <c r="Z6" s="200"/>
      <c r="AA6" s="200"/>
      <c r="AB6" s="200"/>
      <c r="AC6" s="200"/>
      <c r="AD6" s="200"/>
      <c r="AE6" s="200"/>
    </row>
    <row r="7" spans="1:31" x14ac:dyDescent="0.25">
      <c r="A7" s="20" t="s">
        <v>14</v>
      </c>
      <c r="B7" s="16">
        <v>2</v>
      </c>
      <c r="C7" s="16" t="s">
        <v>53</v>
      </c>
      <c r="D7" s="16">
        <v>0</v>
      </c>
      <c r="E7" s="20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20" t="s">
        <v>20</v>
      </c>
      <c r="B9" s="16">
        <v>2</v>
      </c>
      <c r="C9" s="16" t="s">
        <v>53</v>
      </c>
      <c r="D9" s="16">
        <v>0</v>
      </c>
      <c r="E9" s="20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7" t="s">
        <v>66</v>
      </c>
      <c r="R9" s="197"/>
      <c r="S9" s="197"/>
      <c r="T9" s="197"/>
      <c r="U9" s="197"/>
      <c r="W9" s="127" t="s">
        <v>123</v>
      </c>
      <c r="X9" s="127"/>
      <c r="Y9" s="127"/>
      <c r="Z9" s="127"/>
      <c r="AA9" s="127"/>
      <c r="AB9" s="127"/>
      <c r="AC9" s="127"/>
      <c r="AD9" s="127"/>
      <c r="AE9" s="127"/>
    </row>
    <row r="10" spans="1:31" x14ac:dyDescent="0.25">
      <c r="A10" s="20" t="s">
        <v>54</v>
      </c>
      <c r="B10" s="16">
        <v>1</v>
      </c>
      <c r="C10" s="16" t="s">
        <v>53</v>
      </c>
      <c r="D10" s="16">
        <v>0</v>
      </c>
      <c r="E10" s="20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7"/>
      <c r="R10" s="197"/>
      <c r="S10" s="197"/>
      <c r="T10" s="197"/>
      <c r="U10" s="197"/>
      <c r="W10" s="127" t="s">
        <v>26</v>
      </c>
      <c r="X10" s="127"/>
      <c r="Y10" s="127"/>
      <c r="Z10" s="51">
        <v>2</v>
      </c>
      <c r="AB10" s="51">
        <v>0</v>
      </c>
      <c r="AC10" s="127" t="s">
        <v>55</v>
      </c>
      <c r="AD10" s="127"/>
      <c r="AE10" s="127"/>
    </row>
    <row r="11" spans="1:31" x14ac:dyDescent="0.25">
      <c r="A11" s="20" t="s">
        <v>34</v>
      </c>
      <c r="B11" s="16">
        <v>1</v>
      </c>
      <c r="C11" s="16" t="s">
        <v>53</v>
      </c>
      <c r="D11" s="16">
        <v>1</v>
      </c>
      <c r="E11" s="20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8">
        <f>SUM(H2:H85)</f>
        <v>665</v>
      </c>
      <c r="R11" s="198"/>
      <c r="S11" s="198"/>
      <c r="T11" s="198"/>
      <c r="U11" s="198"/>
      <c r="W11" s="127" t="s">
        <v>5</v>
      </c>
      <c r="X11" s="127"/>
      <c r="Y11" s="127"/>
      <c r="Z11" s="51">
        <v>2</v>
      </c>
      <c r="AB11" s="51">
        <v>0</v>
      </c>
      <c r="AC11" s="127" t="s">
        <v>24</v>
      </c>
      <c r="AD11" s="127"/>
      <c r="AE11" s="127"/>
    </row>
    <row r="12" spans="1:31" x14ac:dyDescent="0.25">
      <c r="A12" s="20" t="s">
        <v>20</v>
      </c>
      <c r="B12" s="16">
        <v>1</v>
      </c>
      <c r="C12" s="16" t="s">
        <v>53</v>
      </c>
      <c r="D12" s="16">
        <v>2</v>
      </c>
      <c r="E12" s="20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8"/>
      <c r="R12" s="198"/>
      <c r="S12" s="198"/>
      <c r="T12" s="198"/>
      <c r="U12" s="198"/>
      <c r="W12" s="127" t="s">
        <v>31</v>
      </c>
      <c r="X12" s="127"/>
      <c r="Y12" s="127"/>
      <c r="Z12" s="51">
        <v>0</v>
      </c>
      <c r="AB12" s="51">
        <v>1</v>
      </c>
      <c r="AC12" s="127" t="s">
        <v>6</v>
      </c>
      <c r="AD12" s="127"/>
      <c r="AE12" s="127"/>
    </row>
    <row r="13" spans="1:31" x14ac:dyDescent="0.25">
      <c r="A13" s="20" t="s">
        <v>21</v>
      </c>
      <c r="B13" s="16">
        <v>0</v>
      </c>
      <c r="C13" s="16" t="s">
        <v>53</v>
      </c>
      <c r="D13" s="16">
        <v>2</v>
      </c>
      <c r="E13" s="20" t="s">
        <v>54</v>
      </c>
      <c r="H13" s="16">
        <v>15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8"/>
      <c r="R13" s="198"/>
      <c r="S13" s="198"/>
      <c r="T13" s="198"/>
      <c r="U13" s="198"/>
      <c r="W13" s="127" t="s">
        <v>6</v>
      </c>
      <c r="X13" s="127"/>
      <c r="Y13" s="127"/>
      <c r="Z13" s="51">
        <v>1</v>
      </c>
      <c r="AB13" s="51">
        <v>0</v>
      </c>
      <c r="AC13" s="127" t="s">
        <v>13</v>
      </c>
      <c r="AD13" s="127"/>
      <c r="AE13" s="127"/>
    </row>
    <row r="14" spans="1:31" x14ac:dyDescent="0.25">
      <c r="A14" s="20" t="s">
        <v>34</v>
      </c>
      <c r="B14" s="16">
        <v>0</v>
      </c>
      <c r="C14" s="16" t="s">
        <v>53</v>
      </c>
      <c r="D14" s="16">
        <v>1</v>
      </c>
      <c r="E14" s="20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8"/>
      <c r="R14" s="198"/>
      <c r="S14" s="198"/>
      <c r="T14" s="198"/>
      <c r="U14" s="198"/>
      <c r="W14" s="127" t="s">
        <v>7</v>
      </c>
      <c r="X14" s="127"/>
      <c r="Y14" s="127"/>
      <c r="Z14" s="51">
        <v>1</v>
      </c>
      <c r="AB14" s="51">
        <v>0</v>
      </c>
      <c r="AC14" s="127" t="s">
        <v>10</v>
      </c>
      <c r="AD14" s="127"/>
      <c r="AE14" s="127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198"/>
      <c r="R15" s="198"/>
      <c r="S15" s="198"/>
      <c r="T15" s="198"/>
      <c r="U15" s="198"/>
      <c r="W15" s="127" t="s">
        <v>8</v>
      </c>
      <c r="X15" s="127"/>
      <c r="Y15" s="127"/>
      <c r="Z15" s="51">
        <v>2</v>
      </c>
      <c r="AB15" s="51">
        <v>0</v>
      </c>
      <c r="AC15" s="127" t="s">
        <v>29</v>
      </c>
      <c r="AD15" s="127"/>
      <c r="AE15" s="127"/>
    </row>
    <row r="16" spans="1:31" x14ac:dyDescent="0.25">
      <c r="A16" s="20" t="s">
        <v>5</v>
      </c>
      <c r="B16" s="16">
        <v>2</v>
      </c>
      <c r="C16" s="16" t="s">
        <v>53</v>
      </c>
      <c r="D16" s="16">
        <v>0</v>
      </c>
      <c r="E16" s="20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7" t="s">
        <v>8</v>
      </c>
      <c r="X16" s="127"/>
      <c r="Y16" s="127"/>
      <c r="Z16" s="51">
        <v>1</v>
      </c>
      <c r="AB16" s="51">
        <v>0</v>
      </c>
      <c r="AC16" s="127" t="s">
        <v>30</v>
      </c>
      <c r="AD16" s="127"/>
      <c r="AE16" s="127"/>
    </row>
    <row r="17" spans="1:31" x14ac:dyDescent="0.25">
      <c r="A17" s="20" t="s">
        <v>24</v>
      </c>
      <c r="B17" s="16">
        <v>0</v>
      </c>
      <c r="C17" s="16" t="s">
        <v>53</v>
      </c>
      <c r="D17" s="16">
        <v>1</v>
      </c>
      <c r="E17" s="20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7" t="s">
        <v>5</v>
      </c>
      <c r="X17" s="127"/>
      <c r="Y17" s="127"/>
      <c r="Z17" s="51">
        <v>2</v>
      </c>
      <c r="AB17" s="51">
        <v>1</v>
      </c>
      <c r="AC17" s="127" t="s">
        <v>6</v>
      </c>
      <c r="AD17" s="127"/>
      <c r="AE17" s="127"/>
    </row>
    <row r="18" spans="1:31" x14ac:dyDescent="0.25">
      <c r="A18" s="20" t="s">
        <v>26</v>
      </c>
      <c r="B18" s="16">
        <v>2</v>
      </c>
      <c r="C18" s="16" t="s">
        <v>53</v>
      </c>
      <c r="D18" s="16">
        <v>0</v>
      </c>
      <c r="E18" s="20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7"/>
      <c r="X18" s="127"/>
      <c r="Y18" s="127"/>
      <c r="AC18" s="127"/>
      <c r="AD18" s="127"/>
      <c r="AE18" s="127"/>
    </row>
    <row r="19" spans="1:31" x14ac:dyDescent="0.25">
      <c r="A19" s="20" t="s">
        <v>5</v>
      </c>
      <c r="B19" s="16">
        <v>2</v>
      </c>
      <c r="C19" s="16" t="s">
        <v>53</v>
      </c>
      <c r="D19" s="16">
        <v>0</v>
      </c>
      <c r="E19" s="20" t="s">
        <v>24</v>
      </c>
      <c r="H19" s="16">
        <v>25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8</v>
      </c>
      <c r="R19" s="22">
        <v>12</v>
      </c>
      <c r="S19" s="22">
        <v>12</v>
      </c>
      <c r="T19" s="22">
        <v>13</v>
      </c>
      <c r="U19" s="22">
        <v>19</v>
      </c>
      <c r="W19" s="127"/>
      <c r="X19" s="127"/>
      <c r="Y19" s="127"/>
      <c r="AC19" s="127"/>
      <c r="AD19" s="127"/>
      <c r="AE19" s="127"/>
    </row>
    <row r="20" spans="1:31" x14ac:dyDescent="0.25">
      <c r="A20" s="20" t="s">
        <v>26</v>
      </c>
      <c r="B20" s="16">
        <v>2</v>
      </c>
      <c r="C20" s="16" t="s">
        <v>53</v>
      </c>
      <c r="D20" s="16">
        <v>3</v>
      </c>
      <c r="E20" s="20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7"/>
      <c r="X20" s="127"/>
      <c r="Y20" s="127"/>
      <c r="AC20" s="127"/>
      <c r="AD20" s="127"/>
      <c r="AE20" s="127"/>
    </row>
    <row r="21" spans="1:31" x14ac:dyDescent="0.25">
      <c r="A21" s="20" t="s">
        <v>55</v>
      </c>
      <c r="B21" s="16">
        <v>0</v>
      </c>
      <c r="C21" s="16" t="s">
        <v>53</v>
      </c>
      <c r="D21" s="16">
        <v>2</v>
      </c>
      <c r="E21" s="20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202" t="s">
        <v>42</v>
      </c>
      <c r="R21" s="202"/>
      <c r="S21" s="199" t="s">
        <v>8</v>
      </c>
      <c r="T21" s="199"/>
      <c r="U21" s="199" t="s">
        <v>5</v>
      </c>
      <c r="V21" s="199"/>
      <c r="W21" s="127"/>
      <c r="X21" s="127"/>
      <c r="Y21" s="127"/>
      <c r="AC21" s="127"/>
      <c r="AD21" s="127"/>
      <c r="AE21" s="127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202" t="s">
        <v>41</v>
      </c>
      <c r="R22" s="202"/>
      <c r="S22" s="203" t="s">
        <v>129</v>
      </c>
      <c r="T22" s="203"/>
      <c r="U22" s="203" t="s">
        <v>135</v>
      </c>
      <c r="V22" s="203"/>
      <c r="W22" s="127"/>
      <c r="X22" s="127"/>
      <c r="Y22" s="127"/>
      <c r="AC22" s="127"/>
      <c r="AD22" s="127"/>
      <c r="AE22" s="127"/>
    </row>
    <row r="23" spans="1:31" x14ac:dyDescent="0.25">
      <c r="A23" s="20" t="s">
        <v>13</v>
      </c>
      <c r="B23" s="16">
        <v>1</v>
      </c>
      <c r="C23" s="16" t="s">
        <v>53</v>
      </c>
      <c r="D23" s="16">
        <v>1</v>
      </c>
      <c r="E23" s="20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7"/>
      <c r="X23" s="127"/>
      <c r="Y23" s="127"/>
      <c r="AC23" s="127"/>
      <c r="AD23" s="127"/>
      <c r="AE23" s="127"/>
    </row>
    <row r="24" spans="1:31" x14ac:dyDescent="0.25">
      <c r="A24" s="20" t="s">
        <v>17</v>
      </c>
      <c r="B24" s="16">
        <v>2</v>
      </c>
      <c r="C24" s="16" t="s">
        <v>53</v>
      </c>
      <c r="D24" s="16">
        <v>1</v>
      </c>
      <c r="E24" s="20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7"/>
      <c r="X24" s="127"/>
      <c r="Y24" s="127"/>
      <c r="AC24" s="127"/>
      <c r="AD24" s="127"/>
      <c r="AE24" s="127"/>
    </row>
    <row r="25" spans="1:31" x14ac:dyDescent="0.25">
      <c r="A25" s="20" t="s">
        <v>31</v>
      </c>
      <c r="B25" s="16">
        <v>0</v>
      </c>
      <c r="C25" s="16" t="s">
        <v>53</v>
      </c>
      <c r="D25" s="16">
        <v>1</v>
      </c>
      <c r="E25" s="20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7"/>
      <c r="X25" s="127"/>
      <c r="Y25" s="127"/>
      <c r="AC25" s="127"/>
      <c r="AD25" s="127"/>
      <c r="AE25" s="127"/>
    </row>
    <row r="26" spans="1:31" x14ac:dyDescent="0.25">
      <c r="A26" s="20" t="s">
        <v>17</v>
      </c>
      <c r="B26" s="16">
        <v>2</v>
      </c>
      <c r="C26" s="16" t="s">
        <v>53</v>
      </c>
      <c r="D26" s="16">
        <v>0</v>
      </c>
      <c r="E26" s="20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7"/>
      <c r="X26" s="127"/>
      <c r="Y26" s="127"/>
      <c r="AC26" s="127"/>
      <c r="AD26" s="127"/>
      <c r="AE26" s="127"/>
    </row>
    <row r="27" spans="1:31" x14ac:dyDescent="0.25">
      <c r="A27" s="20" t="s">
        <v>31</v>
      </c>
      <c r="B27" s="16">
        <v>0</v>
      </c>
      <c r="C27" s="16" t="s">
        <v>53</v>
      </c>
      <c r="D27" s="16">
        <v>2</v>
      </c>
      <c r="E27" s="20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7"/>
      <c r="X27" s="127"/>
      <c r="Y27" s="127"/>
      <c r="AC27" s="127"/>
      <c r="AD27" s="127"/>
      <c r="AE27" s="127"/>
    </row>
    <row r="28" spans="1:31" x14ac:dyDescent="0.25">
      <c r="A28" s="20" t="s">
        <v>6</v>
      </c>
      <c r="B28" s="16">
        <v>1</v>
      </c>
      <c r="C28" s="16" t="s">
        <v>53</v>
      </c>
      <c r="D28" s="16">
        <v>0</v>
      </c>
      <c r="E28" s="20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7"/>
      <c r="X28" s="127"/>
      <c r="Y28" s="127"/>
      <c r="AC28" s="127"/>
      <c r="AD28" s="127"/>
      <c r="AE28" s="127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7"/>
      <c r="X29" s="127"/>
      <c r="Y29" s="127"/>
      <c r="AC29" s="127"/>
      <c r="AD29" s="127"/>
      <c r="AE29" s="127"/>
    </row>
    <row r="30" spans="1:31" x14ac:dyDescent="0.25">
      <c r="A30" s="20" t="s">
        <v>4</v>
      </c>
      <c r="B30" s="16">
        <v>1</v>
      </c>
      <c r="C30" s="16" t="s">
        <v>53</v>
      </c>
      <c r="D30" s="16">
        <v>1</v>
      </c>
      <c r="E30" s="20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7"/>
      <c r="X30" s="127"/>
      <c r="Y30" s="127"/>
      <c r="AC30" s="127"/>
      <c r="AD30" s="127"/>
      <c r="AE30" s="127"/>
    </row>
    <row r="31" spans="1:31" x14ac:dyDescent="0.25">
      <c r="A31" s="20" t="s">
        <v>15</v>
      </c>
      <c r="B31" s="16">
        <v>0</v>
      </c>
      <c r="C31" s="16" t="s">
        <v>53</v>
      </c>
      <c r="D31" s="16">
        <v>0</v>
      </c>
      <c r="E31" s="20" t="s">
        <v>56</v>
      </c>
      <c r="H31" s="16">
        <v>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20" t="s">
        <v>22</v>
      </c>
      <c r="B32" s="16">
        <v>1</v>
      </c>
      <c r="C32" s="16" t="s">
        <v>53</v>
      </c>
      <c r="D32" s="16">
        <v>0</v>
      </c>
      <c r="E32" s="20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20" t="s">
        <v>15</v>
      </c>
      <c r="B33" s="16">
        <v>0</v>
      </c>
      <c r="C33" s="16" t="s">
        <v>53</v>
      </c>
      <c r="D33" s="16">
        <v>2</v>
      </c>
      <c r="E33" s="20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20" t="s">
        <v>22</v>
      </c>
      <c r="B34" s="16">
        <v>1</v>
      </c>
      <c r="C34" s="16" t="s">
        <v>53</v>
      </c>
      <c r="D34" s="16">
        <v>0</v>
      </c>
      <c r="E34" s="20" t="s">
        <v>15</v>
      </c>
      <c r="H34" s="16">
        <v>10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20" t="s">
        <v>56</v>
      </c>
      <c r="B35" s="16">
        <v>0</v>
      </c>
      <c r="C35" s="16" t="s">
        <v>53</v>
      </c>
      <c r="D35" s="16">
        <v>2</v>
      </c>
      <c r="E35" s="20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20" t="s">
        <v>23</v>
      </c>
      <c r="B37" s="16">
        <v>0</v>
      </c>
      <c r="C37" s="16" t="s">
        <v>53</v>
      </c>
      <c r="D37" s="16">
        <v>1</v>
      </c>
      <c r="E37" s="20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20" t="s">
        <v>7</v>
      </c>
      <c r="B38" s="16">
        <v>1</v>
      </c>
      <c r="C38" s="16" t="s">
        <v>53</v>
      </c>
      <c r="D38" s="16">
        <v>0</v>
      </c>
      <c r="E38" s="20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20" t="s">
        <v>7</v>
      </c>
      <c r="B39" s="16">
        <v>2</v>
      </c>
      <c r="C39" s="16" t="s">
        <v>53</v>
      </c>
      <c r="D39" s="16">
        <v>0</v>
      </c>
      <c r="E39" s="20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20" t="s">
        <v>12</v>
      </c>
      <c r="B40" s="16">
        <v>1</v>
      </c>
      <c r="C40" s="16" t="s">
        <v>53</v>
      </c>
      <c r="D40" s="16">
        <v>0</v>
      </c>
      <c r="E40" s="20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20" t="s">
        <v>12</v>
      </c>
      <c r="B41" s="16">
        <v>0</v>
      </c>
      <c r="C41" s="16" t="s">
        <v>53</v>
      </c>
      <c r="D41" s="16">
        <v>1</v>
      </c>
      <c r="E41" s="20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20" t="s">
        <v>10</v>
      </c>
      <c r="B42" s="16">
        <v>1</v>
      </c>
      <c r="C42" s="16" t="s">
        <v>53</v>
      </c>
      <c r="D42" s="16">
        <v>0</v>
      </c>
      <c r="E42" s="20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20" t="s">
        <v>30</v>
      </c>
      <c r="B44" s="16">
        <v>0</v>
      </c>
      <c r="C44" s="16" t="s">
        <v>53</v>
      </c>
      <c r="D44" s="16">
        <v>0</v>
      </c>
      <c r="E44" s="20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20" t="s">
        <v>8</v>
      </c>
      <c r="B45" s="16">
        <v>2</v>
      </c>
      <c r="C45" s="16" t="s">
        <v>53</v>
      </c>
      <c r="D45" s="16">
        <v>0</v>
      </c>
      <c r="E45" s="20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20" t="s">
        <v>9</v>
      </c>
      <c r="B46" s="16">
        <v>1</v>
      </c>
      <c r="C46" s="16" t="s">
        <v>53</v>
      </c>
      <c r="D46" s="16">
        <v>1</v>
      </c>
      <c r="E46" s="20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20" t="s">
        <v>8</v>
      </c>
      <c r="B47" s="16">
        <v>1</v>
      </c>
      <c r="C47" s="16" t="s">
        <v>53</v>
      </c>
      <c r="D47" s="16">
        <v>0</v>
      </c>
      <c r="E47" s="20" t="s">
        <v>30</v>
      </c>
      <c r="H47" s="16">
        <v>25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20" t="s">
        <v>9</v>
      </c>
      <c r="B48" s="16">
        <v>0</v>
      </c>
      <c r="C48" s="16" t="s">
        <v>53</v>
      </c>
      <c r="D48" s="16">
        <v>2</v>
      </c>
      <c r="E48" s="20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20" t="s">
        <v>29</v>
      </c>
      <c r="B49" s="16">
        <v>1</v>
      </c>
      <c r="C49" s="16" t="s">
        <v>53</v>
      </c>
      <c r="D49" s="16">
        <v>2</v>
      </c>
      <c r="E49" s="20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20" t="s">
        <v>32</v>
      </c>
      <c r="B51" s="16">
        <v>2</v>
      </c>
      <c r="C51" s="16" t="s">
        <v>53</v>
      </c>
      <c r="D51" s="16">
        <v>1</v>
      </c>
      <c r="E51" s="20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20" t="s">
        <v>27</v>
      </c>
      <c r="B52" s="16">
        <v>2</v>
      </c>
      <c r="C52" s="16" t="s">
        <v>53</v>
      </c>
      <c r="D52" s="16">
        <v>0</v>
      </c>
      <c r="E52" s="20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20" t="s">
        <v>67</v>
      </c>
      <c r="B53" s="16">
        <v>1</v>
      </c>
      <c r="C53" s="16" t="s">
        <v>53</v>
      </c>
      <c r="D53" s="16">
        <v>0</v>
      </c>
      <c r="E53" s="20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20" t="s">
        <v>27</v>
      </c>
      <c r="B54" s="16">
        <v>2</v>
      </c>
      <c r="C54" s="16" t="s">
        <v>53</v>
      </c>
      <c r="D54" s="16">
        <v>1</v>
      </c>
      <c r="E54" s="20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20" t="s">
        <v>67</v>
      </c>
      <c r="B55" s="16">
        <v>1</v>
      </c>
      <c r="C55" s="16" t="s">
        <v>53</v>
      </c>
      <c r="D55" s="16">
        <v>3</v>
      </c>
      <c r="E55" s="20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20" t="s">
        <v>18</v>
      </c>
      <c r="B56" s="16">
        <v>0</v>
      </c>
      <c r="C56" s="16" t="s">
        <v>53</v>
      </c>
      <c r="D56" s="16">
        <v>1</v>
      </c>
      <c r="E56" s="20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4" t="s">
        <v>172</v>
      </c>
    </row>
    <row r="58" spans="1:15" x14ac:dyDescent="0.25">
      <c r="A58" s="208" t="str">
        <f>_xlfn.CONCAT(W2,A57)</f>
        <v>Luana - Oitavas de Final</v>
      </c>
      <c r="B58" s="208"/>
      <c r="C58" s="208"/>
      <c r="D58" s="208"/>
      <c r="E58" s="208"/>
      <c r="K58" s="205" t="s">
        <v>170</v>
      </c>
      <c r="L58" s="205"/>
      <c r="M58" s="205"/>
      <c r="N58" s="205"/>
      <c r="O58" s="205"/>
    </row>
    <row r="59" spans="1:15" x14ac:dyDescent="0.25">
      <c r="A59" s="84" t="s">
        <v>19</v>
      </c>
      <c r="B59" s="85">
        <v>2</v>
      </c>
      <c r="C59" s="85" t="s">
        <v>53</v>
      </c>
      <c r="D59" s="85">
        <v>0</v>
      </c>
      <c r="E59" s="86" t="s">
        <v>165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2</v>
      </c>
      <c r="E61" s="86" t="s">
        <v>12</v>
      </c>
      <c r="H61" s="16">
        <v>10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166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0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0</v>
      </c>
      <c r="C66" s="85" t="s">
        <v>53</v>
      </c>
      <c r="D66" s="85">
        <v>0</v>
      </c>
      <c r="E66" s="8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5" t="s">
        <v>173</v>
      </c>
      <c r="B67" s="88"/>
      <c r="C67" s="88"/>
      <c r="D67" s="88"/>
      <c r="E67" s="96"/>
      <c r="J67" s="17" t="str">
        <f>IF(Tabela!F40="","",Tabela!F40)</f>
        <v/>
      </c>
    </row>
    <row r="68" spans="1:15" x14ac:dyDescent="0.25">
      <c r="A68" s="208" t="str">
        <f>_xlfn.CONCAT(W2,A67)</f>
        <v>Luana - Quartas de Final</v>
      </c>
      <c r="B68" s="208"/>
      <c r="C68" s="208"/>
      <c r="D68" s="208"/>
      <c r="E68" s="208"/>
      <c r="J68" s="17" t="str">
        <f>IF(Tabela!F41="","",Tabela!F41)</f>
        <v/>
      </c>
      <c r="K68" s="205" t="s">
        <v>138</v>
      </c>
      <c r="L68" s="205"/>
      <c r="M68" s="205"/>
      <c r="N68" s="205"/>
      <c r="O68" s="205"/>
    </row>
    <row r="69" spans="1:15" x14ac:dyDescent="0.25">
      <c r="A69" s="91" t="str">
        <f>Tabela!A42</f>
        <v>Holanda</v>
      </c>
      <c r="B69" s="92">
        <v>2</v>
      </c>
      <c r="C69" s="92" t="s">
        <v>53</v>
      </c>
      <c r="D69" s="92">
        <v>1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1" t="s">
        <v>12</v>
      </c>
      <c r="B70" s="92">
        <v>0</v>
      </c>
      <c r="C70" s="92" t="s">
        <v>53</v>
      </c>
      <c r="D70" s="92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1" t="s">
        <v>20</v>
      </c>
      <c r="B71" s="92">
        <v>1</v>
      </c>
      <c r="C71" s="92" t="s">
        <v>53</v>
      </c>
      <c r="D71" s="92">
        <v>3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1" t="str">
        <f>Tabela!A45</f>
        <v>Marrocos</v>
      </c>
      <c r="B72" s="92">
        <v>0</v>
      </c>
      <c r="C72" s="92" t="s">
        <v>53</v>
      </c>
      <c r="D72" s="92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5" t="s">
        <v>178</v>
      </c>
      <c r="B73" s="88"/>
      <c r="C73" s="88"/>
      <c r="D73" s="88"/>
      <c r="E73" s="96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6" t="str">
        <f>_xlfn.CONCAT(W$2,A73)</f>
        <v>Luana - Semi Final</v>
      </c>
      <c r="B74" s="206"/>
      <c r="C74" s="206"/>
      <c r="D74" s="206"/>
      <c r="E74" s="206"/>
      <c r="J74" s="17" t="str">
        <f>IF(Tabela!F47="","",Tabela!F47)</f>
        <v/>
      </c>
      <c r="K74" s="205" t="s">
        <v>139</v>
      </c>
      <c r="L74" s="205"/>
      <c r="M74" s="205"/>
      <c r="N74" s="205"/>
      <c r="O74" s="205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0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0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4" t="s">
        <v>179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6" t="str">
        <f>_xlfn.CONCAT(W$2,A77)</f>
        <v>Luana - Terceiro Lugar</v>
      </c>
      <c r="B78" s="206"/>
      <c r="C78" s="206"/>
      <c r="D78" s="206"/>
      <c r="E78" s="206"/>
      <c r="J78" s="17" t="str">
        <f>IF(Tabela!F51="","",Tabela!F51)</f>
        <v/>
      </c>
      <c r="K78" s="205" t="s">
        <v>140</v>
      </c>
      <c r="L78" s="205"/>
      <c r="M78" s="205"/>
      <c r="N78" s="205"/>
      <c r="O78" s="205"/>
    </row>
    <row r="79" spans="1:15" x14ac:dyDescent="0.25">
      <c r="A79" s="18" t="str">
        <f>IF(Tabela!A52="","",Tabela!A52)</f>
        <v>Croácia</v>
      </c>
      <c r="B79" s="76">
        <v>0</v>
      </c>
      <c r="C79" s="76" t="s">
        <v>53</v>
      </c>
      <c r="D79" s="76">
        <v>1</v>
      </c>
      <c r="E79" s="19" t="str">
        <f>IF(Tabela!E52="","",Tabela!E52)</f>
        <v>Marrocos</v>
      </c>
      <c r="H79" s="16">
        <v>5</v>
      </c>
      <c r="J79" s="17" t="str">
        <f>IF(Tabela!F52="","",Tabela!F52)</f>
        <v/>
      </c>
      <c r="K79" s="76" t="str">
        <f>IF(Tabela!A52="","",Tabela!A52)</f>
        <v>Croácia</v>
      </c>
      <c r="L79" s="76">
        <f>IF(Tabela!B52="","",Tabela!B52)</f>
        <v>2</v>
      </c>
      <c r="M79" s="76" t="str">
        <f>IF(Tabela!C52="","",Tabela!C52)</f>
        <v>X</v>
      </c>
      <c r="N79" s="76">
        <f>IF(Tabela!D52="","",Tabela!D52)</f>
        <v>1</v>
      </c>
      <c r="O79" s="76" t="str">
        <f>IF(Tabela!E52="","",Tabela!E52)</f>
        <v>Marrocos</v>
      </c>
    </row>
    <row r="80" spans="1:15" x14ac:dyDescent="0.25">
      <c r="A80" s="74" t="s">
        <v>180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6" t="str">
        <f>_xlfn.CONCAT(W$2,A80)</f>
        <v>Luana - Final</v>
      </c>
      <c r="B81" s="206"/>
      <c r="C81" s="206"/>
      <c r="D81" s="206"/>
      <c r="E81" s="206"/>
      <c r="J81" s="17" t="str">
        <f>IF(Tabela!F54="","",Tabela!F54)</f>
        <v/>
      </c>
      <c r="K81" s="205" t="s">
        <v>141</v>
      </c>
      <c r="L81" s="205"/>
      <c r="M81" s="205"/>
      <c r="N81" s="205"/>
      <c r="O81" s="205"/>
    </row>
    <row r="82" spans="1:15" x14ac:dyDescent="0.25">
      <c r="A82" s="18" t="str">
        <f>IF(Tabela!A55="","",Tabela!A55)</f>
        <v>Argentina</v>
      </c>
      <c r="B82" s="76">
        <v>2</v>
      </c>
      <c r="C82" s="76" t="s">
        <v>53</v>
      </c>
      <c r="D82" s="76">
        <v>1</v>
      </c>
      <c r="E82" s="19" t="str">
        <f>IF(Tabela!E55="","",Tabela!E55)</f>
        <v>França</v>
      </c>
      <c r="H82" s="16">
        <v>0</v>
      </c>
      <c r="J82" s="17" t="str">
        <f>IF(Tabela!F55="","",Tabela!F55)</f>
        <v/>
      </c>
      <c r="K82" s="76" t="str">
        <f>IF(Tabela!A55="","",Tabela!A55)</f>
        <v>Argentina</v>
      </c>
      <c r="L82" s="76">
        <f>IF(Tabela!B55="","",Tabela!B55)</f>
        <v>3</v>
      </c>
      <c r="M82" s="76" t="str">
        <f>IF(Tabela!C55="","",Tabela!C55)</f>
        <v>X</v>
      </c>
      <c r="N82" s="76">
        <f>IF(Tabela!D55="","",Tabela!D55)</f>
        <v>3</v>
      </c>
      <c r="O82" s="76" t="str">
        <f>IF(Tabela!E55="","",Tabela!E55)</f>
        <v>França</v>
      </c>
    </row>
    <row r="84" spans="1:15" x14ac:dyDescent="0.25">
      <c r="E84" s="20" t="s">
        <v>174</v>
      </c>
      <c r="H84" s="16">
        <v>100</v>
      </c>
    </row>
    <row r="85" spans="1:15" x14ac:dyDescent="0.25">
      <c r="E85" s="20" t="s">
        <v>125</v>
      </c>
      <c r="H85" s="16">
        <v>0</v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7" width="5.7109375" style="17" customWidth="1"/>
    <col min="38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17" t="s">
        <v>11</v>
      </c>
      <c r="B2" s="16">
        <v>2</v>
      </c>
      <c r="C2" s="16" t="s">
        <v>53</v>
      </c>
      <c r="D2" s="16">
        <v>2</v>
      </c>
      <c r="E2" s="17" t="s">
        <v>14</v>
      </c>
      <c r="H2" s="16">
        <v>5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0" t="s">
        <v>76</v>
      </c>
      <c r="X2" s="200"/>
      <c r="Y2" s="200"/>
      <c r="Z2" s="200"/>
      <c r="AA2" s="200"/>
      <c r="AB2" s="200"/>
      <c r="AC2" s="200"/>
      <c r="AD2" s="200"/>
      <c r="AE2" s="200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0"/>
      <c r="X3" s="200"/>
      <c r="Y3" s="200"/>
      <c r="Z3" s="200"/>
      <c r="AA3" s="200"/>
      <c r="AB3" s="200"/>
      <c r="AC3" s="200"/>
      <c r="AD3" s="200"/>
      <c r="AE3" s="200"/>
    </row>
    <row r="4" spans="1:31" x14ac:dyDescent="0.25">
      <c r="A4" s="17" t="s">
        <v>11</v>
      </c>
      <c r="B4" s="16">
        <v>1</v>
      </c>
      <c r="C4" s="16" t="s">
        <v>53</v>
      </c>
      <c r="D4" s="16">
        <v>3</v>
      </c>
      <c r="E4" s="17" t="s">
        <v>28</v>
      </c>
      <c r="H4" s="16">
        <v>25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0"/>
      <c r="X4" s="200"/>
      <c r="Y4" s="200"/>
      <c r="Z4" s="200"/>
      <c r="AA4" s="200"/>
      <c r="AB4" s="200"/>
      <c r="AC4" s="200"/>
      <c r="AD4" s="200"/>
      <c r="AE4" s="200"/>
    </row>
    <row r="5" spans="1:31" x14ac:dyDescent="0.25">
      <c r="A5" s="17" t="s">
        <v>19</v>
      </c>
      <c r="B5" s="16">
        <v>3</v>
      </c>
      <c r="C5" s="16" t="s">
        <v>53</v>
      </c>
      <c r="D5" s="16">
        <v>2</v>
      </c>
      <c r="E5" s="17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0"/>
      <c r="X5" s="200"/>
      <c r="Y5" s="200"/>
      <c r="Z5" s="200"/>
      <c r="AA5" s="200"/>
      <c r="AB5" s="200"/>
      <c r="AC5" s="200"/>
      <c r="AD5" s="200"/>
      <c r="AE5" s="200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0"/>
      <c r="X6" s="200"/>
      <c r="Y6" s="200"/>
      <c r="Z6" s="200"/>
      <c r="AA6" s="200"/>
      <c r="AB6" s="200"/>
      <c r="AC6" s="200"/>
      <c r="AD6" s="200"/>
      <c r="AE6" s="200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7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7" t="s">
        <v>66</v>
      </c>
      <c r="R9" s="197"/>
      <c r="S9" s="197"/>
      <c r="T9" s="197"/>
      <c r="U9" s="197"/>
      <c r="W9" s="127" t="s">
        <v>123</v>
      </c>
      <c r="X9" s="127"/>
      <c r="Y9" s="127"/>
      <c r="Z9" s="127"/>
      <c r="AA9" s="127"/>
      <c r="AB9" s="127"/>
      <c r="AC9" s="127"/>
      <c r="AD9" s="127"/>
      <c r="AE9" s="127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7"/>
      <c r="R10" s="197"/>
      <c r="S10" s="197"/>
      <c r="T10" s="197"/>
      <c r="U10" s="197"/>
      <c r="W10" s="127" t="s">
        <v>11</v>
      </c>
      <c r="X10" s="127"/>
      <c r="Y10" s="127"/>
      <c r="Z10" s="51">
        <v>1</v>
      </c>
      <c r="AB10" s="51">
        <v>3</v>
      </c>
      <c r="AC10" s="127" t="s">
        <v>28</v>
      </c>
      <c r="AD10" s="127"/>
      <c r="AE10" s="127"/>
    </row>
    <row r="11" spans="1:31" x14ac:dyDescent="0.25">
      <c r="A11" s="17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8">
        <f>SUM(H2:H85)</f>
        <v>640</v>
      </c>
      <c r="R11" s="198"/>
      <c r="S11" s="198"/>
      <c r="T11" s="198"/>
      <c r="U11" s="198"/>
      <c r="W11" s="127" t="s">
        <v>19</v>
      </c>
      <c r="X11" s="127"/>
      <c r="Y11" s="127"/>
      <c r="Z11" s="51">
        <v>2</v>
      </c>
      <c r="AB11" s="51">
        <v>0</v>
      </c>
      <c r="AC11" s="127" t="s">
        <v>11</v>
      </c>
      <c r="AD11" s="127"/>
      <c r="AE11" s="127"/>
    </row>
    <row r="12" spans="1:31" x14ac:dyDescent="0.25">
      <c r="A12" s="17" t="s">
        <v>20</v>
      </c>
      <c r="B12" s="16">
        <v>2</v>
      </c>
      <c r="C12" s="16" t="s">
        <v>53</v>
      </c>
      <c r="D12" s="16">
        <v>2</v>
      </c>
      <c r="E12" s="17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8"/>
      <c r="R12" s="198"/>
      <c r="S12" s="198"/>
      <c r="T12" s="198"/>
      <c r="U12" s="198"/>
      <c r="W12" s="127" t="s">
        <v>14</v>
      </c>
      <c r="X12" s="127"/>
      <c r="Y12" s="127"/>
      <c r="Z12" s="51">
        <v>1</v>
      </c>
      <c r="AB12" s="51">
        <v>2</v>
      </c>
      <c r="AC12" s="127" t="s">
        <v>28</v>
      </c>
      <c r="AD12" s="127"/>
      <c r="AE12" s="127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8"/>
      <c r="R13" s="198"/>
      <c r="S13" s="198"/>
      <c r="T13" s="198"/>
      <c r="U13" s="198"/>
      <c r="W13" s="127" t="s">
        <v>26</v>
      </c>
      <c r="X13" s="127"/>
      <c r="Y13" s="127"/>
      <c r="Z13" s="51">
        <v>2</v>
      </c>
      <c r="AB13" s="51">
        <v>0</v>
      </c>
      <c r="AC13" s="127" t="s">
        <v>55</v>
      </c>
      <c r="AD13" s="127"/>
      <c r="AE13" s="127"/>
    </row>
    <row r="14" spans="1:31" x14ac:dyDescent="0.25">
      <c r="A14" s="17" t="s">
        <v>34</v>
      </c>
      <c r="B14" s="16">
        <v>1</v>
      </c>
      <c r="C14" s="16" t="s">
        <v>53</v>
      </c>
      <c r="D14" s="16">
        <v>3</v>
      </c>
      <c r="E14" s="17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8"/>
      <c r="R14" s="198"/>
      <c r="S14" s="198"/>
      <c r="T14" s="198"/>
      <c r="U14" s="198"/>
      <c r="W14" s="127" t="s">
        <v>30</v>
      </c>
      <c r="X14" s="127"/>
      <c r="Y14" s="127"/>
      <c r="Z14" s="51">
        <v>1</v>
      </c>
      <c r="AB14" s="51">
        <v>0</v>
      </c>
      <c r="AC14" s="127" t="s">
        <v>9</v>
      </c>
      <c r="AD14" s="127"/>
      <c r="AE14" s="127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198"/>
      <c r="R15" s="198"/>
      <c r="S15" s="198"/>
      <c r="T15" s="198"/>
      <c r="U15" s="198"/>
      <c r="W15" s="127" t="s">
        <v>8</v>
      </c>
      <c r="X15" s="127"/>
      <c r="Y15" s="127"/>
      <c r="Z15" s="51">
        <v>2</v>
      </c>
      <c r="AB15" s="51">
        <v>0</v>
      </c>
      <c r="AC15" s="127" t="s">
        <v>29</v>
      </c>
      <c r="AD15" s="127"/>
      <c r="AE15" s="127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7" t="s">
        <v>20</v>
      </c>
      <c r="X16" s="127"/>
      <c r="Y16" s="127"/>
      <c r="Z16" s="51">
        <v>1</v>
      </c>
      <c r="AB16" s="51">
        <v>2</v>
      </c>
      <c r="AC16" s="127" t="s">
        <v>17</v>
      </c>
      <c r="AD16" s="127"/>
      <c r="AE16" s="127"/>
    </row>
    <row r="17" spans="1:31" x14ac:dyDescent="0.25">
      <c r="A17" s="17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7"/>
      <c r="X17" s="127"/>
      <c r="Y17" s="127"/>
      <c r="AC17" s="127"/>
      <c r="AD17" s="127"/>
      <c r="AE17" s="127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7"/>
      <c r="X18" s="127"/>
      <c r="Y18" s="127"/>
      <c r="AC18" s="127"/>
      <c r="AD18" s="127"/>
      <c r="AE18" s="127"/>
    </row>
    <row r="19" spans="1:31" x14ac:dyDescent="0.25">
      <c r="A19" s="17" t="s">
        <v>5</v>
      </c>
      <c r="B19" s="16">
        <v>2</v>
      </c>
      <c r="C19" s="16" t="s">
        <v>53</v>
      </c>
      <c r="D19" s="16">
        <v>2</v>
      </c>
      <c r="E19" s="17" t="s">
        <v>24</v>
      </c>
      <c r="H19" s="16">
        <v>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7</v>
      </c>
      <c r="R19" s="22">
        <v>14</v>
      </c>
      <c r="S19" s="22">
        <v>11</v>
      </c>
      <c r="T19" s="22">
        <v>9</v>
      </c>
      <c r="U19" s="22">
        <v>23</v>
      </c>
      <c r="W19" s="127"/>
      <c r="X19" s="127"/>
      <c r="Y19" s="127"/>
      <c r="AC19" s="127"/>
      <c r="AD19" s="127"/>
      <c r="AE19" s="127"/>
    </row>
    <row r="20" spans="1:31" x14ac:dyDescent="0.25">
      <c r="A20" s="17" t="s">
        <v>26</v>
      </c>
      <c r="B20" s="16">
        <v>0</v>
      </c>
      <c r="C20" s="16" t="s">
        <v>53</v>
      </c>
      <c r="D20" s="16">
        <v>1</v>
      </c>
      <c r="E20" s="17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7"/>
      <c r="X20" s="127"/>
      <c r="Y20" s="127"/>
      <c r="AC20" s="127"/>
      <c r="AD20" s="127"/>
      <c r="AE20" s="127"/>
    </row>
    <row r="21" spans="1:31" x14ac:dyDescent="0.25">
      <c r="A21" s="17" t="s">
        <v>55</v>
      </c>
      <c r="B21" s="16">
        <v>1</v>
      </c>
      <c r="C21" s="16" t="s">
        <v>53</v>
      </c>
      <c r="D21" s="16">
        <v>3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202" t="s">
        <v>42</v>
      </c>
      <c r="R21" s="202"/>
      <c r="S21" s="199" t="s">
        <v>8</v>
      </c>
      <c r="T21" s="199"/>
      <c r="U21" s="199" t="s">
        <v>5</v>
      </c>
      <c r="V21" s="199"/>
      <c r="W21" s="127"/>
      <c r="X21" s="127"/>
      <c r="Y21" s="127"/>
      <c r="AC21" s="127"/>
      <c r="AD21" s="127"/>
      <c r="AE21" s="127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202" t="s">
        <v>41</v>
      </c>
      <c r="R22" s="202"/>
      <c r="S22" s="203" t="s">
        <v>133</v>
      </c>
      <c r="T22" s="203"/>
      <c r="U22" s="203" t="s">
        <v>129</v>
      </c>
      <c r="V22" s="203"/>
      <c r="W22" s="127"/>
      <c r="X22" s="127"/>
      <c r="Y22" s="127"/>
      <c r="AC22" s="127"/>
      <c r="AD22" s="127"/>
      <c r="AE22" s="127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7"/>
      <c r="X23" s="127"/>
      <c r="Y23" s="127"/>
      <c r="AC23" s="127"/>
      <c r="AD23" s="127"/>
      <c r="AE23" s="127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7"/>
      <c r="X24" s="127"/>
      <c r="Y24" s="127"/>
      <c r="AC24" s="127"/>
      <c r="AD24" s="127"/>
      <c r="AE24" s="127"/>
    </row>
    <row r="25" spans="1:31" x14ac:dyDescent="0.25">
      <c r="A25" s="17" t="s">
        <v>31</v>
      </c>
      <c r="B25" s="16">
        <v>2</v>
      </c>
      <c r="C25" s="16" t="s">
        <v>53</v>
      </c>
      <c r="D25" s="16">
        <v>2</v>
      </c>
      <c r="E25" s="17" t="s">
        <v>6</v>
      </c>
      <c r="H25" s="16">
        <v>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7"/>
      <c r="X25" s="127"/>
      <c r="Y25" s="127"/>
      <c r="AC25" s="127"/>
      <c r="AD25" s="127"/>
      <c r="AE25" s="127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7"/>
      <c r="X26" s="127"/>
      <c r="Y26" s="127"/>
      <c r="AC26" s="127"/>
      <c r="AD26" s="127"/>
      <c r="AE26" s="127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7"/>
      <c r="X27" s="127"/>
      <c r="Y27" s="127"/>
      <c r="AC27" s="127"/>
      <c r="AD27" s="127"/>
      <c r="AE27" s="127"/>
    </row>
    <row r="28" spans="1:31" x14ac:dyDescent="0.25">
      <c r="A28" s="17" t="s">
        <v>6</v>
      </c>
      <c r="B28" s="16">
        <v>2</v>
      </c>
      <c r="C28" s="16" t="s">
        <v>53</v>
      </c>
      <c r="D28" s="16">
        <v>2</v>
      </c>
      <c r="E28" s="17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7"/>
      <c r="X28" s="127"/>
      <c r="Y28" s="127"/>
      <c r="AC28" s="127"/>
      <c r="AD28" s="127"/>
      <c r="AE28" s="127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7"/>
      <c r="X29" s="127"/>
      <c r="Y29" s="127"/>
      <c r="AC29" s="127"/>
      <c r="AD29" s="127"/>
      <c r="AE29" s="127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7"/>
      <c r="X30" s="127"/>
      <c r="Y30" s="127"/>
      <c r="AC30" s="127"/>
      <c r="AD30" s="127"/>
      <c r="AE30" s="127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7" t="s">
        <v>23</v>
      </c>
      <c r="B37" s="16">
        <v>1</v>
      </c>
      <c r="C37" s="16" t="s">
        <v>53</v>
      </c>
      <c r="D37" s="16">
        <v>3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2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2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3</v>
      </c>
      <c r="E46" s="17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7" t="s">
        <v>32</v>
      </c>
      <c r="B51" s="16">
        <v>3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2</v>
      </c>
      <c r="E52" s="17" t="s">
        <v>18</v>
      </c>
      <c r="H52" s="16">
        <v>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172</v>
      </c>
    </row>
    <row r="58" spans="1:15" x14ac:dyDescent="0.25">
      <c r="A58" s="208" t="str">
        <f>_xlfn.CONCAT(W2,A57)</f>
        <v>Mácio - Oitavas de Final</v>
      </c>
      <c r="B58" s="208"/>
      <c r="C58" s="208"/>
      <c r="D58" s="208"/>
      <c r="E58" s="208"/>
      <c r="K58" s="205" t="s">
        <v>170</v>
      </c>
      <c r="L58" s="205"/>
      <c r="M58" s="205"/>
      <c r="N58" s="205"/>
      <c r="O58" s="205"/>
    </row>
    <row r="59" spans="1:15" x14ac:dyDescent="0.25">
      <c r="A59" s="84" t="s">
        <v>19</v>
      </c>
      <c r="B59" s="85">
        <v>2</v>
      </c>
      <c r="C59" s="85" t="s">
        <v>53</v>
      </c>
      <c r="D59" s="85">
        <v>1</v>
      </c>
      <c r="E59" s="86" t="s">
        <v>165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2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166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3" t="s">
        <v>173</v>
      </c>
      <c r="B67" s="88"/>
      <c r="C67" s="88"/>
      <c r="D67" s="88"/>
      <c r="E67" s="94"/>
      <c r="J67" s="17" t="str">
        <f>IF(Tabela!F40="","",Tabela!F40)</f>
        <v/>
      </c>
    </row>
    <row r="68" spans="1:15" x14ac:dyDescent="0.25">
      <c r="A68" s="208" t="str">
        <f>_xlfn.CONCAT(W2,A67)</f>
        <v>Mácio - Quartas de Final</v>
      </c>
      <c r="B68" s="208"/>
      <c r="C68" s="208"/>
      <c r="D68" s="208"/>
      <c r="E68" s="208"/>
      <c r="J68" s="17" t="str">
        <f>IF(Tabela!F41="","",Tabela!F41)</f>
        <v/>
      </c>
      <c r="K68" s="205" t="s">
        <v>138</v>
      </c>
      <c r="L68" s="205"/>
      <c r="M68" s="205"/>
      <c r="N68" s="205"/>
      <c r="O68" s="205"/>
    </row>
    <row r="69" spans="1:15" x14ac:dyDescent="0.25">
      <c r="A69" s="91" t="str">
        <f>Tabela!A42</f>
        <v>Holanda</v>
      </c>
      <c r="B69" s="92">
        <v>2</v>
      </c>
      <c r="C69" s="92" t="s">
        <v>53</v>
      </c>
      <c r="D69" s="92">
        <v>0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1" t="s">
        <v>12</v>
      </c>
      <c r="B70" s="92">
        <v>0</v>
      </c>
      <c r="C70" s="92" t="s">
        <v>53</v>
      </c>
      <c r="D70" s="92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1" t="s">
        <v>20</v>
      </c>
      <c r="B71" s="92">
        <v>1</v>
      </c>
      <c r="C71" s="92" t="s">
        <v>53</v>
      </c>
      <c r="D71" s="92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1" t="str">
        <f>Tabela!A45</f>
        <v>Marrocos</v>
      </c>
      <c r="B72" s="92">
        <v>0</v>
      </c>
      <c r="C72" s="92" t="s">
        <v>53</v>
      </c>
      <c r="D72" s="92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3" t="s">
        <v>178</v>
      </c>
      <c r="B73" s="88"/>
      <c r="C73" s="88"/>
      <c r="D73" s="88"/>
      <c r="E73" s="94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6" t="str">
        <f>_xlfn.CONCAT(W$2,A73)</f>
        <v>Mácio - Semi Final</v>
      </c>
      <c r="B74" s="206"/>
      <c r="C74" s="206"/>
      <c r="D74" s="206"/>
      <c r="E74" s="206"/>
      <c r="J74" s="17" t="str">
        <f>IF(Tabela!F47="","",Tabela!F47)</f>
        <v/>
      </c>
      <c r="K74" s="205" t="s">
        <v>139</v>
      </c>
      <c r="L74" s="205"/>
      <c r="M74" s="205"/>
      <c r="N74" s="205"/>
      <c r="O74" s="205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57" t="s">
        <v>179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6" t="str">
        <f>_xlfn.CONCAT(W$2,A77)</f>
        <v>Mácio - Terceiro Lugar</v>
      </c>
      <c r="B78" s="206"/>
      <c r="C78" s="206"/>
      <c r="D78" s="206"/>
      <c r="E78" s="206"/>
      <c r="J78" s="17" t="str">
        <f>IF(Tabela!F51="","",Tabela!F51)</f>
        <v/>
      </c>
      <c r="K78" s="205" t="s">
        <v>140</v>
      </c>
      <c r="L78" s="205"/>
      <c r="M78" s="205"/>
      <c r="N78" s="205"/>
      <c r="O78" s="205"/>
    </row>
    <row r="79" spans="1:15" x14ac:dyDescent="0.25">
      <c r="A79" s="18" t="str">
        <f>IF(Tabela!A52="","",Tabela!A52)</f>
        <v>Croácia</v>
      </c>
      <c r="B79" s="76">
        <v>1</v>
      </c>
      <c r="C79" s="76" t="s">
        <v>53</v>
      </c>
      <c r="D79" s="76">
        <v>3</v>
      </c>
      <c r="E79" s="19" t="str">
        <f>IF(Tabela!E52="","",Tabela!E52)</f>
        <v>Marrocos</v>
      </c>
      <c r="H79" s="16">
        <v>0</v>
      </c>
      <c r="J79" s="17" t="str">
        <f>IF(Tabela!F52="","",Tabela!F52)</f>
        <v/>
      </c>
      <c r="K79" s="76" t="str">
        <f>IF(Tabela!A52="","",Tabela!A52)</f>
        <v>Croácia</v>
      </c>
      <c r="L79" s="76">
        <f>IF(Tabela!B52="","",Tabela!B52)</f>
        <v>2</v>
      </c>
      <c r="M79" s="76" t="str">
        <f>IF(Tabela!C52="","",Tabela!C52)</f>
        <v>X</v>
      </c>
      <c r="N79" s="76">
        <f>IF(Tabela!D52="","",Tabela!D52)</f>
        <v>1</v>
      </c>
      <c r="O79" s="76" t="str">
        <f>IF(Tabela!E52="","",Tabela!E52)</f>
        <v>Marrocos</v>
      </c>
    </row>
    <row r="80" spans="1:15" x14ac:dyDescent="0.25">
      <c r="A80" s="57" t="s">
        <v>180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6" t="str">
        <f>_xlfn.CONCAT(W$2,A80)</f>
        <v>Mácio - Final</v>
      </c>
      <c r="B81" s="206"/>
      <c r="C81" s="206"/>
      <c r="D81" s="206"/>
      <c r="E81" s="206"/>
      <c r="J81" s="17" t="str">
        <f>IF(Tabela!F54="","",Tabela!F54)</f>
        <v/>
      </c>
      <c r="K81" s="205" t="s">
        <v>141</v>
      </c>
      <c r="L81" s="205"/>
      <c r="M81" s="205"/>
      <c r="N81" s="205"/>
      <c r="O81" s="205"/>
    </row>
    <row r="82" spans="1:15" x14ac:dyDescent="0.25">
      <c r="A82" s="18" t="str">
        <f>IF(Tabela!A55="","",Tabela!A55)</f>
        <v>Argentina</v>
      </c>
      <c r="B82" s="76">
        <v>1</v>
      </c>
      <c r="C82" s="76" t="s">
        <v>53</v>
      </c>
      <c r="D82" s="76">
        <v>2</v>
      </c>
      <c r="E82" s="19" t="str">
        <f>IF(Tabela!E55="","",Tabela!E55)</f>
        <v>França</v>
      </c>
      <c r="H82" s="16">
        <v>0</v>
      </c>
      <c r="J82" s="17" t="str">
        <f>IF(Tabela!F55="","",Tabela!F55)</f>
        <v/>
      </c>
      <c r="K82" s="76" t="str">
        <f>IF(Tabela!A55="","",Tabela!A55)</f>
        <v>Argentina</v>
      </c>
      <c r="L82" s="76">
        <f>IF(Tabela!B55="","",Tabela!B55)</f>
        <v>3</v>
      </c>
      <c r="M82" s="76" t="str">
        <f>IF(Tabela!C55="","",Tabela!C55)</f>
        <v>X</v>
      </c>
      <c r="N82" s="76">
        <f>IF(Tabela!D55="","",Tabela!D55)</f>
        <v>3</v>
      </c>
      <c r="O82" s="76" t="str">
        <f>IF(Tabela!E55="","",Tabela!E55)</f>
        <v>França</v>
      </c>
    </row>
    <row r="84" spans="1:15" x14ac:dyDescent="0.25">
      <c r="E84" s="17" t="s">
        <v>174</v>
      </c>
      <c r="H84" s="16">
        <v>100</v>
      </c>
    </row>
    <row r="85" spans="1:15" x14ac:dyDescent="0.25">
      <c r="E85" s="17" t="s">
        <v>125</v>
      </c>
      <c r="H85" s="16">
        <v>0</v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17" t="s">
        <v>11</v>
      </c>
      <c r="B2" s="16">
        <v>0</v>
      </c>
      <c r="C2" s="16" t="s">
        <v>53</v>
      </c>
      <c r="D2" s="16">
        <v>2</v>
      </c>
      <c r="E2" s="17" t="s">
        <v>14</v>
      </c>
      <c r="H2" s="16">
        <v>25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0" t="s">
        <v>77</v>
      </c>
      <c r="X2" s="200"/>
      <c r="Y2" s="200"/>
      <c r="Z2" s="200"/>
      <c r="AA2" s="200"/>
      <c r="AB2" s="200"/>
      <c r="AC2" s="200"/>
      <c r="AD2" s="200"/>
      <c r="AE2" s="200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0"/>
      <c r="X3" s="200"/>
      <c r="Y3" s="200"/>
      <c r="Z3" s="200"/>
      <c r="AA3" s="200"/>
      <c r="AB3" s="200"/>
      <c r="AC3" s="200"/>
      <c r="AD3" s="200"/>
      <c r="AE3" s="200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0"/>
      <c r="X4" s="200"/>
      <c r="Y4" s="200"/>
      <c r="Z4" s="200"/>
      <c r="AA4" s="200"/>
      <c r="AB4" s="200"/>
      <c r="AC4" s="200"/>
      <c r="AD4" s="200"/>
      <c r="AE4" s="200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0"/>
      <c r="X5" s="200"/>
      <c r="Y5" s="200"/>
      <c r="Z5" s="200"/>
      <c r="AA5" s="200"/>
      <c r="AB5" s="200"/>
      <c r="AC5" s="200"/>
      <c r="AD5" s="200"/>
      <c r="AE5" s="200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0"/>
      <c r="X6" s="200"/>
      <c r="Y6" s="200"/>
      <c r="Z6" s="200"/>
      <c r="AA6" s="200"/>
      <c r="AB6" s="200"/>
      <c r="AC6" s="200"/>
      <c r="AD6" s="200"/>
      <c r="AE6" s="200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7" t="s">
        <v>66</v>
      </c>
      <c r="R9" s="197"/>
      <c r="S9" s="197"/>
      <c r="T9" s="197"/>
      <c r="U9" s="197"/>
      <c r="W9" s="127" t="s">
        <v>123</v>
      </c>
      <c r="X9" s="127"/>
      <c r="Y9" s="127"/>
      <c r="Z9" s="127"/>
      <c r="AA9" s="127"/>
      <c r="AB9" s="127"/>
      <c r="AC9" s="127"/>
      <c r="AD9" s="127"/>
      <c r="AE9" s="127"/>
    </row>
    <row r="10" spans="1:31" x14ac:dyDescent="0.25">
      <c r="A10" s="17" t="s">
        <v>54</v>
      </c>
      <c r="B10" s="16">
        <v>1</v>
      </c>
      <c r="C10" s="16" t="s">
        <v>53</v>
      </c>
      <c r="D10" s="16">
        <v>2</v>
      </c>
      <c r="E10" s="17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7"/>
      <c r="R10" s="197"/>
      <c r="S10" s="197"/>
      <c r="T10" s="197"/>
      <c r="U10" s="197"/>
      <c r="W10" s="127" t="s">
        <v>11</v>
      </c>
      <c r="X10" s="127"/>
      <c r="Y10" s="127"/>
      <c r="Z10" s="51">
        <v>0</v>
      </c>
      <c r="AB10" s="51">
        <v>2</v>
      </c>
      <c r="AC10" s="127" t="s">
        <v>14</v>
      </c>
      <c r="AD10" s="127"/>
      <c r="AE10" s="127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8">
        <f>SUM(H2:H85)</f>
        <v>510</v>
      </c>
      <c r="R11" s="198"/>
      <c r="S11" s="198"/>
      <c r="T11" s="198"/>
      <c r="U11" s="198"/>
      <c r="W11" s="127" t="s">
        <v>14</v>
      </c>
      <c r="X11" s="127"/>
      <c r="Y11" s="127"/>
      <c r="Z11" s="51">
        <v>1</v>
      </c>
      <c r="AB11" s="51">
        <v>2</v>
      </c>
      <c r="AC11" s="127" t="s">
        <v>28</v>
      </c>
      <c r="AD11" s="127"/>
      <c r="AE11" s="127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8"/>
      <c r="R12" s="198"/>
      <c r="S12" s="198"/>
      <c r="T12" s="198"/>
      <c r="U12" s="198"/>
      <c r="W12" s="127" t="s">
        <v>26</v>
      </c>
      <c r="X12" s="127"/>
      <c r="Y12" s="127"/>
      <c r="Z12" s="51">
        <v>2</v>
      </c>
      <c r="AB12" s="51">
        <v>0</v>
      </c>
      <c r="AC12" s="127" t="s">
        <v>55</v>
      </c>
      <c r="AD12" s="127"/>
      <c r="AE12" s="127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8"/>
      <c r="R13" s="198"/>
      <c r="S13" s="198"/>
      <c r="T13" s="198"/>
      <c r="U13" s="198"/>
      <c r="W13" s="127" t="s">
        <v>17</v>
      </c>
      <c r="X13" s="127"/>
      <c r="Y13" s="127"/>
      <c r="Z13" s="51">
        <v>2</v>
      </c>
      <c r="AB13" s="51">
        <v>1</v>
      </c>
      <c r="AC13" s="127" t="s">
        <v>13</v>
      </c>
      <c r="AD13" s="127"/>
      <c r="AE13" s="127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8"/>
      <c r="R14" s="198"/>
      <c r="S14" s="198"/>
      <c r="T14" s="198"/>
      <c r="U14" s="198"/>
      <c r="W14" s="127" t="s">
        <v>30</v>
      </c>
      <c r="X14" s="127"/>
      <c r="Y14" s="127"/>
      <c r="Z14" s="51">
        <v>1</v>
      </c>
      <c r="AB14" s="51">
        <v>0</v>
      </c>
      <c r="AC14" s="127" t="s">
        <v>9</v>
      </c>
      <c r="AD14" s="127"/>
      <c r="AE14" s="127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198"/>
      <c r="R15" s="198"/>
      <c r="S15" s="198"/>
      <c r="T15" s="198"/>
      <c r="U15" s="198"/>
      <c r="W15" s="127" t="s">
        <v>23</v>
      </c>
      <c r="X15" s="127"/>
      <c r="Y15" s="127"/>
      <c r="Z15" s="51">
        <v>1</v>
      </c>
      <c r="AB15" s="51">
        <v>0</v>
      </c>
      <c r="AC15" s="127" t="s">
        <v>27</v>
      </c>
      <c r="AD15" s="127"/>
      <c r="AE15" s="127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7"/>
      <c r="X16" s="127"/>
      <c r="Y16" s="127"/>
      <c r="AC16" s="127"/>
      <c r="AD16" s="127"/>
      <c r="AE16" s="127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7"/>
      <c r="X17" s="127"/>
      <c r="Y17" s="127"/>
      <c r="AC17" s="127"/>
      <c r="AD17" s="127"/>
      <c r="AE17" s="127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7"/>
      <c r="X18" s="127"/>
      <c r="Y18" s="127"/>
      <c r="AC18" s="127"/>
      <c r="AD18" s="127"/>
      <c r="AE18" s="127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11</v>
      </c>
      <c r="S19" s="22">
        <v>12</v>
      </c>
      <c r="T19" s="22">
        <v>15</v>
      </c>
      <c r="U19" s="22">
        <v>20</v>
      </c>
      <c r="W19" s="127"/>
      <c r="X19" s="127"/>
      <c r="Y19" s="127"/>
      <c r="AC19" s="127"/>
      <c r="AD19" s="127"/>
      <c r="AE19" s="127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7"/>
      <c r="X20" s="127"/>
      <c r="Y20" s="127"/>
      <c r="AC20" s="127"/>
      <c r="AD20" s="127"/>
      <c r="AE20" s="127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202" t="s">
        <v>42</v>
      </c>
      <c r="R21" s="202"/>
      <c r="S21" s="199" t="s">
        <v>8</v>
      </c>
      <c r="T21" s="199"/>
      <c r="U21" s="199" t="s">
        <v>17</v>
      </c>
      <c r="V21" s="199"/>
      <c r="W21" s="127"/>
      <c r="X21" s="127"/>
      <c r="Y21" s="127"/>
      <c r="AC21" s="127"/>
      <c r="AD21" s="127"/>
      <c r="AE21" s="127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202" t="s">
        <v>41</v>
      </c>
      <c r="R22" s="202"/>
      <c r="S22" s="203" t="s">
        <v>126</v>
      </c>
      <c r="T22" s="203"/>
      <c r="U22" s="203" t="s">
        <v>129</v>
      </c>
      <c r="V22" s="203"/>
      <c r="W22" s="127"/>
      <c r="X22" s="127"/>
      <c r="Y22" s="127"/>
      <c r="AC22" s="127"/>
      <c r="AD22" s="127"/>
      <c r="AE22" s="127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7"/>
      <c r="X23" s="127"/>
      <c r="Y23" s="127"/>
      <c r="AC23" s="127"/>
      <c r="AD23" s="127"/>
      <c r="AE23" s="127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7"/>
      <c r="X24" s="127"/>
      <c r="Y24" s="127"/>
      <c r="AC24" s="127"/>
      <c r="AD24" s="127"/>
      <c r="AE24" s="127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7"/>
      <c r="X25" s="127"/>
      <c r="Y25" s="127"/>
      <c r="AC25" s="127"/>
      <c r="AD25" s="127"/>
      <c r="AE25" s="127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7"/>
      <c r="X26" s="127"/>
      <c r="Y26" s="127"/>
      <c r="AC26" s="127"/>
      <c r="AD26" s="127"/>
      <c r="AE26" s="127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7"/>
      <c r="X27" s="127"/>
      <c r="Y27" s="127"/>
      <c r="AC27" s="127"/>
      <c r="AD27" s="127"/>
      <c r="AE27" s="127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7"/>
      <c r="X28" s="127"/>
      <c r="Y28" s="127"/>
      <c r="AC28" s="127"/>
      <c r="AD28" s="127"/>
      <c r="AE28" s="127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7"/>
      <c r="X29" s="127"/>
      <c r="Y29" s="127"/>
      <c r="AC29" s="127"/>
      <c r="AD29" s="127"/>
      <c r="AE29" s="127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7"/>
      <c r="X30" s="127"/>
      <c r="Y30" s="127"/>
      <c r="AC30" s="127"/>
      <c r="AD30" s="127"/>
      <c r="AE30" s="127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1</v>
      </c>
      <c r="E42" s="17" t="s">
        <v>23</v>
      </c>
      <c r="H42" s="16">
        <v>10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4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172</v>
      </c>
    </row>
    <row r="58" spans="1:15" x14ac:dyDescent="0.25">
      <c r="A58" s="208" t="str">
        <f>_xlfn.CONCAT(W2,A57)</f>
        <v>Alex - Oitavas de Final</v>
      </c>
      <c r="B58" s="208"/>
      <c r="C58" s="208"/>
      <c r="D58" s="208"/>
      <c r="E58" s="208"/>
      <c r="K58" s="205" t="s">
        <v>170</v>
      </c>
      <c r="L58" s="205"/>
      <c r="M58" s="205"/>
      <c r="N58" s="205"/>
      <c r="O58" s="205"/>
    </row>
    <row r="59" spans="1:15" x14ac:dyDescent="0.25">
      <c r="A59" s="84" t="s">
        <v>19</v>
      </c>
      <c r="B59" s="85">
        <v>1</v>
      </c>
      <c r="C59" s="85" t="s">
        <v>53</v>
      </c>
      <c r="D59" s="85">
        <v>2</v>
      </c>
      <c r="E59" s="86" t="s">
        <v>165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1</v>
      </c>
      <c r="E60" s="86" t="s">
        <v>6</v>
      </c>
      <c r="H60" s="16">
        <v>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0</v>
      </c>
      <c r="C61" s="85" t="s">
        <v>53</v>
      </c>
      <c r="D61" s="85">
        <v>2</v>
      </c>
      <c r="E61" s="8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166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3</v>
      </c>
      <c r="C63" s="85" t="s">
        <v>53</v>
      </c>
      <c r="D63" s="85">
        <v>1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0</v>
      </c>
      <c r="C66" s="85" t="s">
        <v>53</v>
      </c>
      <c r="D66" s="85">
        <v>1</v>
      </c>
      <c r="E66" s="8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3" t="s">
        <v>173</v>
      </c>
      <c r="B67" s="88"/>
      <c r="C67" s="88"/>
      <c r="D67" s="88"/>
      <c r="E67" s="94"/>
      <c r="J67" s="17" t="str">
        <f>IF(Tabela!F40="","",Tabela!F40)</f>
        <v/>
      </c>
    </row>
    <row r="68" spans="1:15" x14ac:dyDescent="0.25">
      <c r="A68" s="208" t="str">
        <f>_xlfn.CONCAT(W2,A67)</f>
        <v>Alex - Quartas de Final</v>
      </c>
      <c r="B68" s="208"/>
      <c r="C68" s="208"/>
      <c r="D68" s="208"/>
      <c r="E68" s="208"/>
      <c r="J68" s="17" t="str">
        <f>IF(Tabela!F41="","",Tabela!F41)</f>
        <v/>
      </c>
      <c r="K68" s="205" t="s">
        <v>138</v>
      </c>
      <c r="L68" s="205"/>
      <c r="M68" s="205"/>
      <c r="N68" s="205"/>
      <c r="O68" s="205"/>
    </row>
    <row r="69" spans="1:15" x14ac:dyDescent="0.25">
      <c r="A69" s="91" t="str">
        <f>Tabela!A42</f>
        <v>Holanda</v>
      </c>
      <c r="B69" s="92">
        <v>2</v>
      </c>
      <c r="C69" s="92" t="s">
        <v>53</v>
      </c>
      <c r="D69" s="92">
        <v>1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1" t="s">
        <v>12</v>
      </c>
      <c r="B70" s="92">
        <v>1</v>
      </c>
      <c r="C70" s="92" t="s">
        <v>53</v>
      </c>
      <c r="D70" s="92">
        <v>3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1" t="s">
        <v>20</v>
      </c>
      <c r="B71" s="92">
        <v>2</v>
      </c>
      <c r="C71" s="92" t="s">
        <v>53</v>
      </c>
      <c r="D71" s="92">
        <v>2</v>
      </c>
      <c r="E71" s="90" t="s">
        <v>17</v>
      </c>
      <c r="H71" s="16">
        <v>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1" t="str">
        <f>Tabela!A45</f>
        <v>Marrocos</v>
      </c>
      <c r="B72" s="92">
        <v>1</v>
      </c>
      <c r="C72" s="92" t="s">
        <v>53</v>
      </c>
      <c r="D72" s="92">
        <v>0</v>
      </c>
      <c r="E72" s="90" t="str">
        <f>Tabela!E45</f>
        <v>Portugal</v>
      </c>
      <c r="H72" s="16">
        <v>25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3" t="s">
        <v>178</v>
      </c>
      <c r="B73" s="88"/>
      <c r="C73" s="88"/>
      <c r="D73" s="88"/>
      <c r="E73" s="94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6" t="str">
        <f>_xlfn.CONCAT(W$2,A73)</f>
        <v>Alex - Semi Final</v>
      </c>
      <c r="B74" s="206"/>
      <c r="C74" s="206"/>
      <c r="D74" s="206"/>
      <c r="E74" s="206"/>
      <c r="J74" s="17" t="str">
        <f>IF(Tabela!F47="","",Tabela!F47)</f>
        <v/>
      </c>
      <c r="K74" s="205" t="s">
        <v>139</v>
      </c>
      <c r="L74" s="205"/>
      <c r="M74" s="205"/>
      <c r="N74" s="205"/>
      <c r="O74" s="205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2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0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0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57" t="s">
        <v>179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6" t="str">
        <f>_xlfn.CONCAT(W$2,A77)</f>
        <v>Alex - Terceiro Lugar</v>
      </c>
      <c r="B78" s="206"/>
      <c r="C78" s="206"/>
      <c r="D78" s="206"/>
      <c r="E78" s="206"/>
      <c r="J78" s="17" t="str">
        <f>IF(Tabela!F51="","",Tabela!F51)</f>
        <v/>
      </c>
      <c r="K78" s="205" t="s">
        <v>140</v>
      </c>
      <c r="L78" s="205"/>
      <c r="M78" s="205"/>
      <c r="N78" s="205"/>
      <c r="O78" s="205"/>
    </row>
    <row r="79" spans="1:15" x14ac:dyDescent="0.25">
      <c r="A79" s="18" t="str">
        <f>IF(Tabela!A52="","",Tabela!A52)</f>
        <v>Croácia</v>
      </c>
      <c r="B79" s="76">
        <v>0</v>
      </c>
      <c r="C79" s="76" t="s">
        <v>53</v>
      </c>
      <c r="D79" s="76">
        <v>1</v>
      </c>
      <c r="E79" s="19" t="str">
        <f>IF(Tabela!E52="","",Tabela!E52)</f>
        <v>Marrocos</v>
      </c>
      <c r="H79" s="16">
        <v>5</v>
      </c>
      <c r="J79" s="17" t="str">
        <f>IF(Tabela!F52="","",Tabela!F52)</f>
        <v/>
      </c>
      <c r="K79" s="76" t="str">
        <f>IF(Tabela!A52="","",Tabela!A52)</f>
        <v>Croácia</v>
      </c>
      <c r="L79" s="76">
        <f>IF(Tabela!B52="","",Tabela!B52)</f>
        <v>2</v>
      </c>
      <c r="M79" s="76" t="str">
        <f>IF(Tabela!C52="","",Tabela!C52)</f>
        <v>X</v>
      </c>
      <c r="N79" s="76">
        <f>IF(Tabela!D52="","",Tabela!D52)</f>
        <v>1</v>
      </c>
      <c r="O79" s="76" t="str">
        <f>IF(Tabela!E52="","",Tabela!E52)</f>
        <v>Marrocos</v>
      </c>
    </row>
    <row r="80" spans="1:15" x14ac:dyDescent="0.25">
      <c r="A80" s="57" t="s">
        <v>180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6" t="str">
        <f>_xlfn.CONCAT(W$2,A80)</f>
        <v>Alex - Final</v>
      </c>
      <c r="B81" s="206"/>
      <c r="C81" s="206"/>
      <c r="D81" s="206"/>
      <c r="E81" s="206"/>
      <c r="J81" s="17" t="str">
        <f>IF(Tabela!F54="","",Tabela!F54)</f>
        <v/>
      </c>
      <c r="K81" s="205" t="s">
        <v>141</v>
      </c>
      <c r="L81" s="205"/>
      <c r="M81" s="205"/>
      <c r="N81" s="205"/>
      <c r="O81" s="205"/>
    </row>
    <row r="82" spans="1:15" x14ac:dyDescent="0.25">
      <c r="A82" s="18" t="str">
        <f>IF(Tabela!A55="","",Tabela!A55)</f>
        <v>Argentina</v>
      </c>
      <c r="B82" s="76">
        <v>1</v>
      </c>
      <c r="C82" s="76" t="s">
        <v>53</v>
      </c>
      <c r="D82" s="76">
        <v>2</v>
      </c>
      <c r="E82" s="19" t="str">
        <f>IF(Tabela!E55="","",Tabela!E55)</f>
        <v>França</v>
      </c>
      <c r="H82" s="16">
        <v>0</v>
      </c>
      <c r="J82" s="17" t="str">
        <f>IF(Tabela!F55="","",Tabela!F55)</f>
        <v/>
      </c>
      <c r="K82" s="76" t="str">
        <f>IF(Tabela!A55="","",Tabela!A55)</f>
        <v>Argentina</v>
      </c>
      <c r="L82" s="76">
        <f>IF(Tabela!B55="","",Tabela!B55)</f>
        <v>3</v>
      </c>
      <c r="M82" s="76" t="str">
        <f>IF(Tabela!C55="","",Tabela!C55)</f>
        <v>X</v>
      </c>
      <c r="N82" s="76">
        <f>IF(Tabela!D55="","",Tabela!D55)</f>
        <v>3</v>
      </c>
      <c r="O82" s="76" t="str">
        <f>IF(Tabela!E55="","",Tabela!E55)</f>
        <v>França</v>
      </c>
    </row>
    <row r="84" spans="1:15" x14ac:dyDescent="0.25">
      <c r="E84" s="17" t="s">
        <v>174</v>
      </c>
      <c r="H84" s="16">
        <v>0</v>
      </c>
    </row>
    <row r="85" spans="1:15" x14ac:dyDescent="0.25">
      <c r="E85" s="17" t="s">
        <v>125</v>
      </c>
      <c r="H85" s="16">
        <v>0</v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2" t="s">
        <v>43</v>
      </c>
      <c r="B2" s="212"/>
      <c r="C2" s="212"/>
      <c r="D2" s="212"/>
      <c r="E2" s="212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0" t="s">
        <v>78</v>
      </c>
      <c r="X2" s="200"/>
      <c r="Y2" s="200"/>
      <c r="Z2" s="200"/>
      <c r="AA2" s="200"/>
      <c r="AB2" s="200"/>
      <c r="AC2" s="200"/>
      <c r="AD2" s="200"/>
      <c r="AE2" s="200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0"/>
      <c r="X3" s="200"/>
      <c r="Y3" s="200"/>
      <c r="Z3" s="200"/>
      <c r="AA3" s="200"/>
      <c r="AB3" s="200"/>
      <c r="AC3" s="200"/>
      <c r="AD3" s="200"/>
      <c r="AE3" s="200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7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0"/>
      <c r="X4" s="200"/>
      <c r="Y4" s="200"/>
      <c r="Z4" s="200"/>
      <c r="AA4" s="200"/>
      <c r="AB4" s="200"/>
      <c r="AC4" s="200"/>
      <c r="AD4" s="200"/>
      <c r="AE4" s="200"/>
    </row>
    <row r="5" spans="1:31" x14ac:dyDescent="0.25">
      <c r="A5" s="18" t="s">
        <v>19</v>
      </c>
      <c r="B5" s="16">
        <v>3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0"/>
      <c r="X5" s="200"/>
      <c r="Y5" s="200"/>
      <c r="Z5" s="200"/>
      <c r="AA5" s="200"/>
      <c r="AB5" s="200"/>
      <c r="AC5" s="200"/>
      <c r="AD5" s="200"/>
      <c r="AE5" s="200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0"/>
      <c r="X6" s="200"/>
      <c r="Y6" s="200"/>
      <c r="Z6" s="200"/>
      <c r="AA6" s="200"/>
      <c r="AB6" s="200"/>
      <c r="AC6" s="200"/>
      <c r="AD6" s="200"/>
      <c r="AE6" s="200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7" t="s">
        <v>28</v>
      </c>
      <c r="H7" s="16">
        <v>10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7" t="s">
        <v>66</v>
      </c>
      <c r="R9" s="197"/>
      <c r="S9" s="197"/>
      <c r="T9" s="197"/>
      <c r="U9" s="197"/>
      <c r="W9" s="127" t="s">
        <v>123</v>
      </c>
      <c r="X9" s="127"/>
      <c r="Y9" s="127"/>
      <c r="Z9" s="127"/>
      <c r="AA9" s="127"/>
      <c r="AB9" s="127"/>
      <c r="AC9" s="127"/>
      <c r="AD9" s="127"/>
      <c r="AE9" s="127"/>
    </row>
    <row r="10" spans="1:31" x14ac:dyDescent="0.25">
      <c r="A10" s="18" t="s">
        <v>54</v>
      </c>
      <c r="B10" s="16">
        <v>4</v>
      </c>
      <c r="C10" s="16" t="s">
        <v>53</v>
      </c>
      <c r="D10" s="16">
        <v>1</v>
      </c>
      <c r="E10" s="17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7"/>
      <c r="R10" s="197"/>
      <c r="S10" s="197"/>
      <c r="T10" s="197"/>
      <c r="U10" s="197"/>
      <c r="W10" s="127" t="s">
        <v>34</v>
      </c>
      <c r="X10" s="127"/>
      <c r="Y10" s="127"/>
      <c r="Z10" s="51">
        <v>0</v>
      </c>
      <c r="AB10" s="51">
        <v>3</v>
      </c>
      <c r="AC10" s="127" t="s">
        <v>20</v>
      </c>
      <c r="AD10" s="127"/>
      <c r="AE10" s="127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8">
        <f>SUM(H2:H85)</f>
        <v>615</v>
      </c>
      <c r="R11" s="198"/>
      <c r="S11" s="198"/>
      <c r="T11" s="198"/>
      <c r="U11" s="198"/>
      <c r="W11" s="127" t="s">
        <v>55</v>
      </c>
      <c r="X11" s="127"/>
      <c r="Y11" s="127"/>
      <c r="Z11" s="51">
        <v>1</v>
      </c>
      <c r="AB11" s="51">
        <v>2</v>
      </c>
      <c r="AC11" s="127" t="s">
        <v>24</v>
      </c>
      <c r="AD11" s="127"/>
      <c r="AE11" s="127"/>
    </row>
    <row r="12" spans="1:31" x14ac:dyDescent="0.25">
      <c r="A12" s="18" t="s">
        <v>20</v>
      </c>
      <c r="B12" s="16">
        <v>2</v>
      </c>
      <c r="C12" s="16" t="s">
        <v>53</v>
      </c>
      <c r="D12" s="16">
        <v>4</v>
      </c>
      <c r="E12" s="17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8"/>
      <c r="R12" s="198"/>
      <c r="S12" s="198"/>
      <c r="T12" s="198"/>
      <c r="U12" s="198"/>
      <c r="W12" s="127" t="s">
        <v>56</v>
      </c>
      <c r="X12" s="127"/>
      <c r="Y12" s="127"/>
      <c r="Z12" s="51">
        <v>2</v>
      </c>
      <c r="AB12" s="51">
        <v>4</v>
      </c>
      <c r="AC12" s="127" t="s">
        <v>4</v>
      </c>
      <c r="AD12" s="127"/>
      <c r="AE12" s="127"/>
    </row>
    <row r="13" spans="1:31" x14ac:dyDescent="0.25">
      <c r="A13" s="18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8"/>
      <c r="R13" s="198"/>
      <c r="S13" s="198"/>
      <c r="T13" s="198"/>
      <c r="U13" s="198"/>
      <c r="W13" s="127" t="s">
        <v>30</v>
      </c>
      <c r="X13" s="127"/>
      <c r="Y13" s="127"/>
      <c r="Z13" s="51">
        <v>1</v>
      </c>
      <c r="AB13" s="51">
        <v>0</v>
      </c>
      <c r="AC13" s="127" t="s">
        <v>9</v>
      </c>
      <c r="AD13" s="127"/>
      <c r="AE13" s="127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8"/>
      <c r="R14" s="198"/>
      <c r="S14" s="198"/>
      <c r="T14" s="198"/>
      <c r="U14" s="198"/>
      <c r="W14" s="127" t="s">
        <v>5</v>
      </c>
      <c r="X14" s="127"/>
      <c r="Y14" s="127"/>
      <c r="Z14" s="51">
        <v>2</v>
      </c>
      <c r="AB14" s="51">
        <v>1</v>
      </c>
      <c r="AC14" s="127" t="s">
        <v>6</v>
      </c>
      <c r="AD14" s="127"/>
      <c r="AE14" s="127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198"/>
      <c r="R15" s="198"/>
      <c r="S15" s="198"/>
      <c r="T15" s="198"/>
      <c r="U15" s="198"/>
      <c r="W15" s="127" t="s">
        <v>20</v>
      </c>
      <c r="X15" s="127"/>
      <c r="Y15" s="127"/>
      <c r="Z15" s="51">
        <v>1</v>
      </c>
      <c r="AB15" s="51">
        <v>2</v>
      </c>
      <c r="AC15" s="127" t="s">
        <v>17</v>
      </c>
      <c r="AD15" s="127"/>
      <c r="AE15" s="127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7"/>
      <c r="X16" s="127"/>
      <c r="Y16" s="127"/>
      <c r="AC16" s="127"/>
      <c r="AD16" s="127"/>
      <c r="AE16" s="127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7"/>
      <c r="X17" s="127"/>
      <c r="Y17" s="127"/>
      <c r="AC17" s="127"/>
      <c r="AD17" s="127"/>
      <c r="AE17" s="127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7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7"/>
      <c r="X18" s="127"/>
      <c r="Y18" s="127"/>
      <c r="AC18" s="127"/>
      <c r="AD18" s="127"/>
      <c r="AE18" s="127"/>
    </row>
    <row r="19" spans="1:31" x14ac:dyDescent="0.25">
      <c r="A19" s="18" t="s">
        <v>5</v>
      </c>
      <c r="B19" s="16">
        <v>2</v>
      </c>
      <c r="C19" s="16" t="s">
        <v>53</v>
      </c>
      <c r="D19" s="16">
        <v>3</v>
      </c>
      <c r="E19" s="17" t="s">
        <v>24</v>
      </c>
      <c r="H19" s="16">
        <v>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14</v>
      </c>
      <c r="S19" s="22">
        <v>14</v>
      </c>
      <c r="T19" s="22">
        <v>13</v>
      </c>
      <c r="U19" s="22">
        <v>16</v>
      </c>
      <c r="W19" s="127"/>
      <c r="X19" s="127"/>
      <c r="Y19" s="127"/>
      <c r="AC19" s="127"/>
      <c r="AD19" s="127"/>
      <c r="AE19" s="127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7"/>
      <c r="X20" s="127"/>
      <c r="Y20" s="127"/>
      <c r="AC20" s="127"/>
      <c r="AD20" s="127"/>
      <c r="AE20" s="127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202" t="s">
        <v>42</v>
      </c>
      <c r="R21" s="202"/>
      <c r="S21" s="199" t="s">
        <v>8</v>
      </c>
      <c r="T21" s="199"/>
      <c r="U21" s="199" t="s">
        <v>4</v>
      </c>
      <c r="V21" s="199"/>
      <c r="W21" s="127"/>
      <c r="X21" s="127"/>
      <c r="Y21" s="127"/>
      <c r="AC21" s="127"/>
      <c r="AD21" s="127"/>
      <c r="AE21" s="127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202" t="s">
        <v>41</v>
      </c>
      <c r="R22" s="202"/>
      <c r="S22" s="203" t="s">
        <v>127</v>
      </c>
      <c r="T22" s="203"/>
      <c r="U22" s="203" t="s">
        <v>132</v>
      </c>
      <c r="V22" s="203"/>
      <c r="W22" s="127"/>
      <c r="X22" s="127"/>
      <c r="Y22" s="127"/>
      <c r="AC22" s="127"/>
      <c r="AD22" s="127"/>
      <c r="AE22" s="127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7"/>
      <c r="X23" s="127"/>
      <c r="Y23" s="127"/>
      <c r="AC23" s="127"/>
      <c r="AD23" s="127"/>
      <c r="AE23" s="127"/>
    </row>
    <row r="24" spans="1:31" x14ac:dyDescent="0.25">
      <c r="A24" s="18" t="s">
        <v>17</v>
      </c>
      <c r="B24" s="16">
        <v>4</v>
      </c>
      <c r="C24" s="16" t="s">
        <v>53</v>
      </c>
      <c r="D24" s="16">
        <v>0</v>
      </c>
      <c r="E24" s="17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7"/>
      <c r="X24" s="127"/>
      <c r="Y24" s="127"/>
      <c r="AC24" s="127"/>
      <c r="AD24" s="127"/>
      <c r="AE24" s="127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7"/>
      <c r="X25" s="127"/>
      <c r="Y25" s="127"/>
      <c r="AC25" s="127"/>
      <c r="AD25" s="127"/>
      <c r="AE25" s="127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7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7"/>
      <c r="X26" s="127"/>
      <c r="Y26" s="127"/>
      <c r="AC26" s="127"/>
      <c r="AD26" s="127"/>
      <c r="AE26" s="127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7"/>
      <c r="X27" s="127"/>
      <c r="Y27" s="127"/>
      <c r="AC27" s="127"/>
      <c r="AD27" s="127"/>
      <c r="AE27" s="127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7"/>
      <c r="X28" s="127"/>
      <c r="Y28" s="127"/>
      <c r="AC28" s="127"/>
      <c r="AD28" s="127"/>
      <c r="AE28" s="127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7"/>
      <c r="X29" s="127"/>
      <c r="Y29" s="127"/>
      <c r="AC29" s="127"/>
      <c r="AD29" s="127"/>
      <c r="AE29" s="127"/>
    </row>
    <row r="30" spans="1:31" x14ac:dyDescent="0.25">
      <c r="A30" s="18" t="s">
        <v>4</v>
      </c>
      <c r="B30" s="16">
        <v>4</v>
      </c>
      <c r="C30" s="16" t="s">
        <v>53</v>
      </c>
      <c r="D30" s="16">
        <v>2</v>
      </c>
      <c r="E30" s="17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7"/>
      <c r="X30" s="127"/>
      <c r="Y30" s="127"/>
      <c r="AC30" s="127"/>
      <c r="AD30" s="127"/>
      <c r="AE30" s="127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3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4</v>
      </c>
      <c r="E35" s="17" t="s">
        <v>4</v>
      </c>
      <c r="H35" s="16">
        <v>25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3</v>
      </c>
      <c r="E49" s="17" t="s">
        <v>30</v>
      </c>
      <c r="H49" s="16">
        <v>15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4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4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7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4</v>
      </c>
      <c r="E56" s="17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172</v>
      </c>
    </row>
    <row r="58" spans="1:15" x14ac:dyDescent="0.25">
      <c r="A58" s="208" t="str">
        <f>_xlfn.CONCAT(W2,A57)</f>
        <v>Jean - Oitavas de Final</v>
      </c>
      <c r="B58" s="208"/>
      <c r="C58" s="208"/>
      <c r="D58" s="208"/>
      <c r="E58" s="208"/>
      <c r="K58" s="205" t="s">
        <v>170</v>
      </c>
      <c r="L58" s="205"/>
      <c r="M58" s="205"/>
      <c r="N58" s="205"/>
      <c r="O58" s="205"/>
    </row>
    <row r="59" spans="1:15" x14ac:dyDescent="0.25">
      <c r="A59" s="84" t="s">
        <v>19</v>
      </c>
      <c r="B59" s="85">
        <v>1</v>
      </c>
      <c r="C59" s="85" t="s">
        <v>53</v>
      </c>
      <c r="D59" s="85">
        <v>1</v>
      </c>
      <c r="E59" s="86" t="s">
        <v>165</v>
      </c>
      <c r="H59" s="16">
        <v>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0</v>
      </c>
      <c r="E61" s="8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166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4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1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3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173</v>
      </c>
      <c r="B67" s="88"/>
      <c r="C67" s="88"/>
      <c r="D67" s="88"/>
      <c r="E67" s="94"/>
      <c r="J67" s="17" t="str">
        <f>IF(Tabela!F40="","",Tabela!F40)</f>
        <v/>
      </c>
    </row>
    <row r="68" spans="1:15" x14ac:dyDescent="0.25">
      <c r="A68" s="208" t="str">
        <f>_xlfn.CONCAT(W2,A67)</f>
        <v>Jean - Quartas de Final</v>
      </c>
      <c r="B68" s="208"/>
      <c r="C68" s="208"/>
      <c r="D68" s="208"/>
      <c r="E68" s="208"/>
      <c r="J68" s="17" t="str">
        <f>IF(Tabela!F41="","",Tabela!F41)</f>
        <v/>
      </c>
      <c r="K68" s="205" t="s">
        <v>138</v>
      </c>
      <c r="L68" s="205"/>
      <c r="M68" s="205"/>
      <c r="N68" s="205"/>
      <c r="O68" s="205"/>
    </row>
    <row r="69" spans="1:15" x14ac:dyDescent="0.25">
      <c r="A69" s="91" t="str">
        <f>Tabela!A42</f>
        <v>Holanda</v>
      </c>
      <c r="B69" s="92">
        <v>2</v>
      </c>
      <c r="C69" s="92" t="s">
        <v>53</v>
      </c>
      <c r="D69" s="92">
        <v>3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1" t="s">
        <v>12</v>
      </c>
      <c r="B70" s="92">
        <v>0</v>
      </c>
      <c r="C70" s="92" t="s">
        <v>53</v>
      </c>
      <c r="D70" s="92">
        <v>3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1" t="s">
        <v>20</v>
      </c>
      <c r="B71" s="92">
        <v>1</v>
      </c>
      <c r="C71" s="92" t="s">
        <v>53</v>
      </c>
      <c r="D71" s="92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1" t="str">
        <f>Tabela!A45</f>
        <v>Marrocos</v>
      </c>
      <c r="B72" s="92">
        <v>2</v>
      </c>
      <c r="C72" s="92" t="s">
        <v>53</v>
      </c>
      <c r="D72" s="92">
        <v>1</v>
      </c>
      <c r="E72" s="90" t="str">
        <f>Tabela!E45</f>
        <v>Portugal</v>
      </c>
      <c r="H72" s="16">
        <v>10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178</v>
      </c>
      <c r="B73" s="88"/>
      <c r="C73" s="88"/>
      <c r="D73" s="88"/>
      <c r="E73" s="94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6" t="str">
        <f>_xlfn.CONCAT(W$2,A73)</f>
        <v>Jean - Semi Final</v>
      </c>
      <c r="B74" s="206"/>
      <c r="C74" s="206"/>
      <c r="D74" s="206"/>
      <c r="E74" s="206"/>
      <c r="J74" s="17" t="str">
        <f>IF(Tabela!F47="","",Tabela!F47)</f>
        <v/>
      </c>
      <c r="K74" s="205" t="s">
        <v>139</v>
      </c>
      <c r="L74" s="205"/>
      <c r="M74" s="205"/>
      <c r="N74" s="205"/>
      <c r="O74" s="205"/>
    </row>
    <row r="75" spans="1:15" x14ac:dyDescent="0.25">
      <c r="A75" s="18" t="str">
        <f>IF(Tabela!A48="","",Tabela!A48)</f>
        <v>Argentina</v>
      </c>
      <c r="B75" s="76">
        <v>2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0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0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179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6" t="str">
        <f>_xlfn.CONCAT(W$2,A77)</f>
        <v>Jean - Terceiro Lugar</v>
      </c>
      <c r="B78" s="206"/>
      <c r="C78" s="206"/>
      <c r="D78" s="206"/>
      <c r="E78" s="206"/>
      <c r="J78" s="17" t="str">
        <f>IF(Tabela!F51="","",Tabela!F51)</f>
        <v/>
      </c>
      <c r="K78" s="205" t="s">
        <v>140</v>
      </c>
      <c r="L78" s="205"/>
      <c r="M78" s="205"/>
      <c r="N78" s="205"/>
      <c r="O78" s="205"/>
    </row>
    <row r="79" spans="1:15" x14ac:dyDescent="0.25">
      <c r="A79" s="18" t="str">
        <f>IF(Tabela!A52="","",Tabela!A52)</f>
        <v>Croácia</v>
      </c>
      <c r="B79" s="76">
        <v>0</v>
      </c>
      <c r="C79" s="76" t="s">
        <v>53</v>
      </c>
      <c r="D79" s="76">
        <v>2</v>
      </c>
      <c r="E79" s="19" t="str">
        <f>IF(Tabela!E52="","",Tabela!E52)</f>
        <v>Marrocos</v>
      </c>
      <c r="H79" s="16">
        <v>0</v>
      </c>
      <c r="J79" s="17" t="str">
        <f>IF(Tabela!F52="","",Tabela!F52)</f>
        <v/>
      </c>
      <c r="K79" s="76" t="str">
        <f>IF(Tabela!A52="","",Tabela!A52)</f>
        <v>Croácia</v>
      </c>
      <c r="L79" s="76">
        <f>IF(Tabela!B52="","",Tabela!B52)</f>
        <v>2</v>
      </c>
      <c r="M79" s="76" t="str">
        <f>IF(Tabela!C52="","",Tabela!C52)</f>
        <v>X</v>
      </c>
      <c r="N79" s="76">
        <f>IF(Tabela!D52="","",Tabela!D52)</f>
        <v>1</v>
      </c>
      <c r="O79" s="76" t="str">
        <f>IF(Tabela!E52="","",Tabela!E52)</f>
        <v>Marrocos</v>
      </c>
    </row>
    <row r="80" spans="1:15" x14ac:dyDescent="0.25">
      <c r="A80" s="73" t="s">
        <v>180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6" t="str">
        <f>_xlfn.CONCAT(W$2,A80)</f>
        <v>Jean - Final</v>
      </c>
      <c r="B81" s="206"/>
      <c r="C81" s="206"/>
      <c r="D81" s="206"/>
      <c r="E81" s="206"/>
      <c r="J81" s="17" t="str">
        <f>IF(Tabela!F54="","",Tabela!F54)</f>
        <v/>
      </c>
      <c r="K81" s="205" t="s">
        <v>141</v>
      </c>
      <c r="L81" s="205"/>
      <c r="M81" s="205"/>
      <c r="N81" s="205"/>
      <c r="O81" s="205"/>
    </row>
    <row r="82" spans="1:15" x14ac:dyDescent="0.25">
      <c r="A82" s="18" t="str">
        <f>IF(Tabela!A55="","",Tabela!A55)</f>
        <v>Argentina</v>
      </c>
      <c r="B82" s="76">
        <v>3</v>
      </c>
      <c r="C82" s="76" t="s">
        <v>53</v>
      </c>
      <c r="D82" s="76">
        <v>2</v>
      </c>
      <c r="E82" s="19" t="str">
        <f>IF(Tabela!E55="","",Tabela!E55)</f>
        <v>França</v>
      </c>
      <c r="H82" s="16">
        <v>5</v>
      </c>
      <c r="J82" s="17" t="str">
        <f>IF(Tabela!F55="","",Tabela!F55)</f>
        <v/>
      </c>
      <c r="K82" s="76" t="str">
        <f>IF(Tabela!A55="","",Tabela!A55)</f>
        <v>Argentina</v>
      </c>
      <c r="L82" s="76">
        <f>IF(Tabela!B55="","",Tabela!B55)</f>
        <v>3</v>
      </c>
      <c r="M82" s="76" t="str">
        <f>IF(Tabela!C55="","",Tabela!C55)</f>
        <v>X</v>
      </c>
      <c r="N82" s="76">
        <f>IF(Tabela!D55="","",Tabela!D55)</f>
        <v>3</v>
      </c>
      <c r="O82" s="76" t="str">
        <f>IF(Tabela!E55="","",Tabela!E55)</f>
        <v>França</v>
      </c>
    </row>
    <row r="84" spans="1:15" x14ac:dyDescent="0.25">
      <c r="E84" s="17" t="s">
        <v>174</v>
      </c>
      <c r="H84" s="16">
        <v>0</v>
      </c>
    </row>
    <row r="85" spans="1:15" x14ac:dyDescent="0.25">
      <c r="E85" s="17" t="s">
        <v>125</v>
      </c>
      <c r="H85" s="16">
        <v>50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2" t="s">
        <v>43</v>
      </c>
      <c r="B2" s="212"/>
      <c r="C2" s="212"/>
      <c r="D2" s="212"/>
      <c r="E2" s="212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0" t="s">
        <v>79</v>
      </c>
      <c r="X2" s="200"/>
      <c r="Y2" s="200"/>
      <c r="Z2" s="200"/>
      <c r="AA2" s="200"/>
      <c r="AB2" s="200"/>
      <c r="AC2" s="200"/>
      <c r="AD2" s="200"/>
      <c r="AE2" s="200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0"/>
      <c r="X3" s="200"/>
      <c r="Y3" s="200"/>
      <c r="Z3" s="200"/>
      <c r="AA3" s="200"/>
      <c r="AB3" s="200"/>
      <c r="AC3" s="200"/>
      <c r="AD3" s="200"/>
      <c r="AE3" s="200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0"/>
      <c r="X4" s="200"/>
      <c r="Y4" s="200"/>
      <c r="Z4" s="200"/>
      <c r="AA4" s="200"/>
      <c r="AB4" s="200"/>
      <c r="AC4" s="200"/>
      <c r="AD4" s="200"/>
      <c r="AE4" s="200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0"/>
      <c r="X5" s="200"/>
      <c r="Y5" s="200"/>
      <c r="Z5" s="200"/>
      <c r="AA5" s="200"/>
      <c r="AB5" s="200"/>
      <c r="AC5" s="200"/>
      <c r="AD5" s="200"/>
      <c r="AE5" s="200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0"/>
      <c r="X6" s="200"/>
      <c r="Y6" s="200"/>
      <c r="Z6" s="200"/>
      <c r="AA6" s="200"/>
      <c r="AB6" s="200"/>
      <c r="AC6" s="200"/>
      <c r="AD6" s="200"/>
      <c r="AE6" s="200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7" t="s">
        <v>66</v>
      </c>
      <c r="R9" s="197"/>
      <c r="S9" s="197"/>
      <c r="T9" s="197"/>
      <c r="U9" s="197"/>
      <c r="W9" s="127" t="s">
        <v>123</v>
      </c>
      <c r="X9" s="127"/>
      <c r="Y9" s="127"/>
      <c r="Z9" s="127"/>
      <c r="AA9" s="127"/>
      <c r="AB9" s="127"/>
      <c r="AC9" s="127"/>
      <c r="AD9" s="127"/>
      <c r="AE9" s="127"/>
    </row>
    <row r="10" spans="1:31" x14ac:dyDescent="0.25">
      <c r="A10" s="18" t="s">
        <v>54</v>
      </c>
      <c r="B10" s="16">
        <v>2</v>
      </c>
      <c r="C10" s="16" t="s">
        <v>53</v>
      </c>
      <c r="D10" s="16">
        <v>2</v>
      </c>
      <c r="E10" s="19" t="s">
        <v>34</v>
      </c>
      <c r="H10" s="16">
        <v>10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7"/>
      <c r="R10" s="197"/>
      <c r="S10" s="197"/>
      <c r="T10" s="197"/>
      <c r="U10" s="197"/>
      <c r="W10" s="127" t="s">
        <v>21</v>
      </c>
      <c r="X10" s="127"/>
      <c r="Y10" s="127"/>
      <c r="Z10" s="51">
        <v>0</v>
      </c>
      <c r="AB10" s="51">
        <v>1</v>
      </c>
      <c r="AC10" s="127" t="s">
        <v>16</v>
      </c>
      <c r="AD10" s="127"/>
      <c r="AE10" s="127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8">
        <f>SUM(H2:H85)</f>
        <v>625</v>
      </c>
      <c r="R11" s="198"/>
      <c r="S11" s="198"/>
      <c r="T11" s="198"/>
      <c r="U11" s="198"/>
      <c r="W11" s="127" t="s">
        <v>55</v>
      </c>
      <c r="X11" s="127"/>
      <c r="Y11" s="127"/>
      <c r="Z11" s="51">
        <v>1</v>
      </c>
      <c r="AB11" s="51">
        <v>2</v>
      </c>
      <c r="AC11" s="127" t="s">
        <v>24</v>
      </c>
      <c r="AD11" s="127"/>
      <c r="AE11" s="127"/>
    </row>
    <row r="12" spans="1:3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8"/>
      <c r="R12" s="198"/>
      <c r="S12" s="198"/>
      <c r="T12" s="198"/>
      <c r="U12" s="198"/>
      <c r="W12" s="127" t="s">
        <v>31</v>
      </c>
      <c r="X12" s="127"/>
      <c r="Y12" s="127"/>
      <c r="Z12" s="51">
        <v>0</v>
      </c>
      <c r="AB12" s="51">
        <v>1</v>
      </c>
      <c r="AC12" s="127" t="s">
        <v>6</v>
      </c>
      <c r="AD12" s="127"/>
      <c r="AE12" s="127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8"/>
      <c r="R13" s="198"/>
      <c r="S13" s="198"/>
      <c r="T13" s="198"/>
      <c r="U13" s="198"/>
      <c r="W13" s="127" t="s">
        <v>17</v>
      </c>
      <c r="X13" s="127"/>
      <c r="Y13" s="127"/>
      <c r="Z13" s="51">
        <v>2</v>
      </c>
      <c r="AB13" s="51">
        <v>1</v>
      </c>
      <c r="AC13" s="127" t="s">
        <v>13</v>
      </c>
      <c r="AD13" s="127"/>
      <c r="AE13" s="127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8"/>
      <c r="R14" s="198"/>
      <c r="S14" s="198"/>
      <c r="T14" s="198"/>
      <c r="U14" s="198"/>
      <c r="W14" s="127"/>
      <c r="X14" s="127"/>
      <c r="Y14" s="127"/>
      <c r="AC14" s="127"/>
      <c r="AD14" s="127"/>
      <c r="AE14" s="127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198"/>
      <c r="R15" s="198"/>
      <c r="S15" s="198"/>
      <c r="T15" s="198"/>
      <c r="U15" s="198"/>
      <c r="W15" s="127"/>
      <c r="X15" s="127"/>
      <c r="Y15" s="127"/>
      <c r="AC15" s="127"/>
      <c r="AD15" s="127"/>
      <c r="AE15" s="127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7"/>
      <c r="X16" s="127"/>
      <c r="Y16" s="127"/>
      <c r="AC16" s="127"/>
      <c r="AD16" s="127"/>
      <c r="AE16" s="127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7"/>
      <c r="X17" s="127"/>
      <c r="Y17" s="127"/>
      <c r="AC17" s="127"/>
      <c r="AD17" s="127"/>
      <c r="AE17" s="127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7"/>
      <c r="X18" s="127"/>
      <c r="Y18" s="127"/>
      <c r="AC18" s="127"/>
      <c r="AD18" s="127"/>
      <c r="AE18" s="127"/>
    </row>
    <row r="19" spans="1:31" x14ac:dyDescent="0.25">
      <c r="A19" s="18" t="s">
        <v>5</v>
      </c>
      <c r="B19" s="16">
        <v>2</v>
      </c>
      <c r="C19" s="16" t="s">
        <v>53</v>
      </c>
      <c r="D19" s="16">
        <v>1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4</v>
      </c>
      <c r="R19" s="22">
        <v>16</v>
      </c>
      <c r="S19" s="22">
        <v>12</v>
      </c>
      <c r="T19" s="22">
        <v>13</v>
      </c>
      <c r="U19" s="22">
        <v>17</v>
      </c>
      <c r="W19" s="127"/>
      <c r="X19" s="127"/>
      <c r="Y19" s="127"/>
      <c r="AC19" s="127"/>
      <c r="AD19" s="127"/>
      <c r="AE19" s="127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9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7"/>
      <c r="X20" s="127"/>
      <c r="Y20" s="127"/>
      <c r="AC20" s="127"/>
      <c r="AD20" s="127"/>
      <c r="AE20" s="127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202" t="s">
        <v>42</v>
      </c>
      <c r="R21" s="202"/>
      <c r="S21" s="199" t="s">
        <v>8</v>
      </c>
      <c r="T21" s="199"/>
      <c r="U21" s="199" t="s">
        <v>5</v>
      </c>
      <c r="V21" s="199"/>
      <c r="W21" s="127"/>
      <c r="X21" s="127"/>
      <c r="Y21" s="127"/>
      <c r="AC21" s="127"/>
      <c r="AD21" s="127"/>
      <c r="AE21" s="127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202" t="s">
        <v>41</v>
      </c>
      <c r="R22" s="202"/>
      <c r="S22" s="203" t="s">
        <v>126</v>
      </c>
      <c r="T22" s="203"/>
      <c r="U22" s="203" t="s">
        <v>130</v>
      </c>
      <c r="V22" s="203"/>
      <c r="W22" s="127"/>
      <c r="X22" s="127"/>
      <c r="Y22" s="127"/>
      <c r="AC22" s="127"/>
      <c r="AD22" s="127"/>
      <c r="AE22" s="127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9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7"/>
      <c r="X23" s="127"/>
      <c r="Y23" s="127"/>
      <c r="AC23" s="127"/>
      <c r="AD23" s="127"/>
      <c r="AE23" s="127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7"/>
      <c r="X24" s="127"/>
      <c r="Y24" s="127"/>
      <c r="AC24" s="127"/>
      <c r="AD24" s="127"/>
      <c r="AE24" s="127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7"/>
      <c r="X25" s="127"/>
      <c r="Y25" s="127"/>
      <c r="AC25" s="127"/>
      <c r="AD25" s="127"/>
      <c r="AE25" s="127"/>
    </row>
    <row r="26" spans="1:31" x14ac:dyDescent="0.25">
      <c r="A26" s="18" t="s">
        <v>17</v>
      </c>
      <c r="B26" s="16">
        <v>2</v>
      </c>
      <c r="C26" s="16" t="s">
        <v>53</v>
      </c>
      <c r="D26" s="16">
        <v>1</v>
      </c>
      <c r="E26" s="19" t="s">
        <v>13</v>
      </c>
      <c r="H26" s="16">
        <v>25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7"/>
      <c r="X26" s="127"/>
      <c r="Y26" s="127"/>
      <c r="AC26" s="127"/>
      <c r="AD26" s="127"/>
      <c r="AE26" s="127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7"/>
      <c r="X27" s="127"/>
      <c r="Y27" s="127"/>
      <c r="AC27" s="127"/>
      <c r="AD27" s="127"/>
      <c r="AE27" s="127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7"/>
      <c r="X28" s="127"/>
      <c r="Y28" s="127"/>
      <c r="AC28" s="127"/>
      <c r="AD28" s="127"/>
      <c r="AE28" s="127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7"/>
      <c r="X29" s="127"/>
      <c r="Y29" s="127"/>
      <c r="AC29" s="127"/>
      <c r="AD29" s="127"/>
      <c r="AE29" s="127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7"/>
      <c r="X30" s="127"/>
      <c r="Y30" s="127"/>
      <c r="AC30" s="127"/>
      <c r="AD30" s="127"/>
      <c r="AE30" s="127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2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0</v>
      </c>
      <c r="C44" s="16" t="s">
        <v>53</v>
      </c>
      <c r="D44" s="16">
        <v>0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1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172</v>
      </c>
    </row>
    <row r="58" spans="1:15" x14ac:dyDescent="0.25">
      <c r="A58" s="208" t="str">
        <f>_xlfn.CONCAT(W2,A57)</f>
        <v>Robert - Oitavas de Final</v>
      </c>
      <c r="B58" s="208"/>
      <c r="C58" s="208"/>
      <c r="D58" s="208"/>
      <c r="E58" s="208"/>
      <c r="K58" s="209" t="s">
        <v>170</v>
      </c>
      <c r="L58" s="209"/>
      <c r="M58" s="209"/>
      <c r="N58" s="209"/>
      <c r="O58" s="209"/>
    </row>
    <row r="59" spans="1:15" x14ac:dyDescent="0.25">
      <c r="A59" s="213" t="s">
        <v>169</v>
      </c>
      <c r="B59" s="213"/>
      <c r="C59" s="213"/>
      <c r="D59" s="213"/>
      <c r="E59" s="213"/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166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3</v>
      </c>
      <c r="C64" s="85" t="s">
        <v>53</v>
      </c>
      <c r="D64" s="85">
        <v>0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173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Robert - Quartas de Final</v>
      </c>
      <c r="B68" s="208"/>
      <c r="C68" s="208"/>
      <c r="D68" s="208"/>
      <c r="E68" s="208"/>
      <c r="J68" s="17" t="str">
        <f>IF(Tabela!F41="","",Tabela!F41)</f>
        <v/>
      </c>
      <c r="K68" s="209" t="s">
        <v>138</v>
      </c>
      <c r="L68" s="209"/>
      <c r="M68" s="209"/>
      <c r="N68" s="209"/>
      <c r="O68" s="209"/>
    </row>
    <row r="69" spans="1:15" x14ac:dyDescent="0.25">
      <c r="A69" s="91" t="str">
        <f>Tabela!A42</f>
        <v>Holanda</v>
      </c>
      <c r="B69" s="92">
        <v>1</v>
      </c>
      <c r="C69" s="92" t="s">
        <v>53</v>
      </c>
      <c r="D69" s="92">
        <v>2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1" t="s">
        <v>12</v>
      </c>
      <c r="B70" s="92">
        <v>0</v>
      </c>
      <c r="C70" s="92" t="s">
        <v>53</v>
      </c>
      <c r="D70" s="92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1" t="s">
        <v>20</v>
      </c>
      <c r="B71" s="92">
        <v>0</v>
      </c>
      <c r="C71" s="92" t="s">
        <v>53</v>
      </c>
      <c r="D71" s="92">
        <v>2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1" t="str">
        <f>Tabela!A45</f>
        <v>Marrocos</v>
      </c>
      <c r="B72" s="92">
        <v>0</v>
      </c>
      <c r="C72" s="92" t="s">
        <v>53</v>
      </c>
      <c r="D72" s="92">
        <v>1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178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10" t="str">
        <f>_xlfn.CONCAT(W$2,A73)</f>
        <v>Robert - Semi Final</v>
      </c>
      <c r="B74" s="210"/>
      <c r="C74" s="210"/>
      <c r="D74" s="210"/>
      <c r="E74" s="210"/>
      <c r="J74" s="17" t="str">
        <f>IF(Tabela!F47="","",Tabela!F47)</f>
        <v/>
      </c>
      <c r="K74" s="209" t="s">
        <v>139</v>
      </c>
      <c r="L74" s="209"/>
      <c r="M74" s="209"/>
      <c r="N74" s="209"/>
      <c r="O74" s="209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179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10" t="str">
        <f>_xlfn.CONCAT(W$2,A77)</f>
        <v>Robert - Terceiro Lugar</v>
      </c>
      <c r="B78" s="210"/>
      <c r="C78" s="210"/>
      <c r="D78" s="210"/>
      <c r="E78" s="210"/>
      <c r="J78" s="17" t="str">
        <f>IF(Tabela!F51="","",Tabela!F51)</f>
        <v/>
      </c>
      <c r="K78" s="209" t="s">
        <v>140</v>
      </c>
      <c r="L78" s="209"/>
      <c r="M78" s="209"/>
      <c r="N78" s="209"/>
      <c r="O78" s="209"/>
    </row>
    <row r="79" spans="1:15" x14ac:dyDescent="0.25">
      <c r="A79" s="18" t="str">
        <f>IF(Tabela!A52="","",Tabela!A52)</f>
        <v>Croácia</v>
      </c>
      <c r="B79" s="76" t="s">
        <v>220</v>
      </c>
      <c r="C79" s="76" t="s">
        <v>53</v>
      </c>
      <c r="D79" s="105" t="s">
        <v>220</v>
      </c>
      <c r="E79" s="19" t="str">
        <f>IF(Tabela!E52="","",Tabela!E52)</f>
        <v>Marrocos</v>
      </c>
      <c r="J79" s="17" t="s">
        <v>68</v>
      </c>
      <c r="K79" s="76" t="str">
        <f>IF(Tabela!A52="","",Tabela!A52)</f>
        <v>Croácia</v>
      </c>
      <c r="L79" s="76">
        <f>IF(Tabela!B52="","",Tabela!B52)</f>
        <v>2</v>
      </c>
      <c r="M79" s="76" t="str">
        <f>IF(Tabela!C52="","",Tabela!C52)</f>
        <v>X</v>
      </c>
      <c r="N79" s="76">
        <f>IF(Tabela!D52="","",Tabela!D52)</f>
        <v>1</v>
      </c>
      <c r="O79" s="76" t="str">
        <f>IF(Tabela!E52="","",Tabela!E52)</f>
        <v>Marrocos</v>
      </c>
    </row>
    <row r="80" spans="1:15" x14ac:dyDescent="0.25">
      <c r="A80" s="73" t="s">
        <v>180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10" t="str">
        <f>_xlfn.CONCAT(W$2,A80)</f>
        <v>Robert - Final</v>
      </c>
      <c r="B81" s="210"/>
      <c r="C81" s="210"/>
      <c r="D81" s="210"/>
      <c r="E81" s="210"/>
      <c r="J81" s="17" t="str">
        <f>IF(Tabela!F54="","",Tabela!F54)</f>
        <v/>
      </c>
      <c r="K81" s="209" t="s">
        <v>141</v>
      </c>
      <c r="L81" s="209"/>
      <c r="M81" s="209"/>
      <c r="N81" s="209"/>
      <c r="O81" s="209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H82" s="16">
        <v>10</v>
      </c>
      <c r="J82" s="17" t="str">
        <f>IF(Tabela!F55="","",Tabela!F55)</f>
        <v/>
      </c>
      <c r="K82" s="76" t="str">
        <f>IF(Tabela!A55="","",Tabela!A55)</f>
        <v>Argentina</v>
      </c>
      <c r="L82" s="76">
        <f>IF(Tabela!B55="","",Tabela!B55)</f>
        <v>3</v>
      </c>
      <c r="M82" s="76" t="str">
        <f>IF(Tabela!C55="","",Tabela!C55)</f>
        <v>X</v>
      </c>
      <c r="N82" s="76">
        <f>IF(Tabela!D55="","",Tabela!D55)</f>
        <v>3</v>
      </c>
      <c r="O82" s="76" t="str">
        <f>IF(Tabela!E55="","",Tabela!E55)</f>
        <v>França</v>
      </c>
    </row>
    <row r="84" spans="1:15" x14ac:dyDescent="0.25">
      <c r="E84" s="19" t="s">
        <v>174</v>
      </c>
      <c r="H84" s="16">
        <v>100</v>
      </c>
    </row>
    <row r="85" spans="1:15" x14ac:dyDescent="0.25">
      <c r="E85" s="19" t="s">
        <v>125</v>
      </c>
      <c r="H85" s="16">
        <v>0</v>
      </c>
    </row>
  </sheetData>
  <mergeCells count="80">
    <mergeCell ref="A74:E74"/>
    <mergeCell ref="A78:E78"/>
    <mergeCell ref="A81:E81"/>
    <mergeCell ref="K74:O74"/>
    <mergeCell ref="K78:O78"/>
    <mergeCell ref="K81:O81"/>
    <mergeCell ref="A68:E68"/>
    <mergeCell ref="K68:O68"/>
    <mergeCell ref="W2:AE6"/>
    <mergeCell ref="Q9:U10"/>
    <mergeCell ref="Q11:U15"/>
    <mergeCell ref="AC16:AE16"/>
    <mergeCell ref="W17:Y17"/>
    <mergeCell ref="AC17:AE17"/>
    <mergeCell ref="W15:Y15"/>
    <mergeCell ref="AC15:AE15"/>
    <mergeCell ref="W16:Y16"/>
    <mergeCell ref="U21:V21"/>
    <mergeCell ref="Q22:R22"/>
    <mergeCell ref="S22:T22"/>
    <mergeCell ref="U22:V22"/>
    <mergeCell ref="W18:Y18"/>
    <mergeCell ref="AC18:AE18"/>
    <mergeCell ref="W19:Y19"/>
    <mergeCell ref="AC19:AE19"/>
    <mergeCell ref="W20:Y20"/>
    <mergeCell ref="AC20:AE20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15:O15"/>
    <mergeCell ref="K22:O22"/>
    <mergeCell ref="Q21:R21"/>
    <mergeCell ref="S21:T21"/>
    <mergeCell ref="W24:Y24"/>
    <mergeCell ref="AC24:AE24"/>
    <mergeCell ref="W25:Y25"/>
    <mergeCell ref="AC25:AE25"/>
    <mergeCell ref="W21:Y21"/>
    <mergeCell ref="AC21:AE21"/>
    <mergeCell ref="W22:Y22"/>
    <mergeCell ref="AC22:AE22"/>
    <mergeCell ref="W23:Y23"/>
    <mergeCell ref="AC23:AE23"/>
    <mergeCell ref="W26:Y26"/>
    <mergeCell ref="AC26:AE26"/>
    <mergeCell ref="K29:O29"/>
    <mergeCell ref="A36:E36"/>
    <mergeCell ref="A43:E43"/>
    <mergeCell ref="A29:E29"/>
    <mergeCell ref="W27:Y27"/>
    <mergeCell ref="AC27:AE27"/>
    <mergeCell ref="W28:Y28"/>
    <mergeCell ref="AC28:AE28"/>
    <mergeCell ref="W29:Y29"/>
    <mergeCell ref="AC29:AE29"/>
    <mergeCell ref="A58:E58"/>
    <mergeCell ref="K58:O58"/>
    <mergeCell ref="A59:E59"/>
    <mergeCell ref="W30:Y30"/>
    <mergeCell ref="AC30:AE30"/>
    <mergeCell ref="A50:E5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6" customWidth="1"/>
    <col min="2" max="4" width="5.7109375" style="16" customWidth="1"/>
    <col min="5" max="5" width="17.7109375" style="16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4" width="5.7109375" style="17" customWidth="1"/>
    <col min="35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2" t="s">
        <v>43</v>
      </c>
      <c r="B2" s="212"/>
      <c r="C2" s="212"/>
      <c r="D2" s="212"/>
      <c r="E2" s="212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0" t="s">
        <v>80</v>
      </c>
      <c r="X2" s="200"/>
      <c r="Y2" s="200"/>
      <c r="Z2" s="200"/>
      <c r="AA2" s="200"/>
      <c r="AB2" s="200"/>
      <c r="AC2" s="200"/>
      <c r="AD2" s="200"/>
      <c r="AE2" s="200"/>
    </row>
    <row r="3" spans="1:31" x14ac:dyDescent="0.25">
      <c r="A3" s="16" t="s">
        <v>28</v>
      </c>
      <c r="B3" s="16">
        <v>0</v>
      </c>
      <c r="C3" s="16" t="s">
        <v>53</v>
      </c>
      <c r="D3" s="16">
        <v>3</v>
      </c>
      <c r="E3" s="16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0"/>
      <c r="X3" s="200"/>
      <c r="Y3" s="200"/>
      <c r="Z3" s="200"/>
      <c r="AA3" s="200"/>
      <c r="AB3" s="200"/>
      <c r="AC3" s="200"/>
      <c r="AD3" s="200"/>
      <c r="AE3" s="200"/>
    </row>
    <row r="4" spans="1:31" x14ac:dyDescent="0.25">
      <c r="A4" s="16" t="s">
        <v>11</v>
      </c>
      <c r="B4" s="16">
        <v>1</v>
      </c>
      <c r="C4" s="16" t="s">
        <v>53</v>
      </c>
      <c r="D4" s="16">
        <v>0</v>
      </c>
      <c r="E4" s="16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0"/>
      <c r="X4" s="200"/>
      <c r="Y4" s="200"/>
      <c r="Z4" s="200"/>
      <c r="AA4" s="200"/>
      <c r="AB4" s="200"/>
      <c r="AC4" s="200"/>
      <c r="AD4" s="200"/>
      <c r="AE4" s="200"/>
    </row>
    <row r="5" spans="1:31" x14ac:dyDescent="0.25">
      <c r="A5" s="16" t="s">
        <v>19</v>
      </c>
      <c r="B5" s="16">
        <v>3</v>
      </c>
      <c r="C5" s="16" t="s">
        <v>53</v>
      </c>
      <c r="D5" s="16">
        <v>1</v>
      </c>
      <c r="E5" s="16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0"/>
      <c r="X5" s="200"/>
      <c r="Y5" s="200"/>
      <c r="Z5" s="200"/>
      <c r="AA5" s="200"/>
      <c r="AB5" s="200"/>
      <c r="AC5" s="200"/>
      <c r="AD5" s="200"/>
      <c r="AE5" s="200"/>
    </row>
    <row r="6" spans="1:31" x14ac:dyDescent="0.25">
      <c r="A6" s="16" t="s">
        <v>19</v>
      </c>
      <c r="B6" s="16">
        <v>2</v>
      </c>
      <c r="C6" s="16" t="s">
        <v>53</v>
      </c>
      <c r="D6" s="16">
        <v>0</v>
      </c>
      <c r="E6" s="16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0"/>
      <c r="X6" s="200"/>
      <c r="Y6" s="200"/>
      <c r="Z6" s="200"/>
      <c r="AA6" s="200"/>
      <c r="AB6" s="200"/>
      <c r="AC6" s="200"/>
      <c r="AD6" s="200"/>
      <c r="AE6" s="200"/>
    </row>
    <row r="7" spans="1:31" x14ac:dyDescent="0.25">
      <c r="A7" s="16" t="s">
        <v>14</v>
      </c>
      <c r="B7" s="16">
        <v>2</v>
      </c>
      <c r="C7" s="16" t="s">
        <v>53</v>
      </c>
      <c r="D7" s="16">
        <v>1</v>
      </c>
      <c r="E7" s="16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6" t="s">
        <v>20</v>
      </c>
      <c r="B9" s="16">
        <v>3</v>
      </c>
      <c r="C9" s="16" t="s">
        <v>53</v>
      </c>
      <c r="D9" s="16">
        <v>0</v>
      </c>
      <c r="E9" s="16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7" t="s">
        <v>66</v>
      </c>
      <c r="R9" s="197"/>
      <c r="S9" s="197"/>
      <c r="T9" s="197"/>
      <c r="U9" s="197"/>
      <c r="W9" s="127" t="s">
        <v>123</v>
      </c>
      <c r="X9" s="127"/>
      <c r="Y9" s="127"/>
      <c r="Z9" s="127"/>
      <c r="AA9" s="127"/>
      <c r="AB9" s="127"/>
      <c r="AC9" s="127"/>
      <c r="AD9" s="127"/>
      <c r="AE9" s="127"/>
    </row>
    <row r="10" spans="1:31" x14ac:dyDescent="0.25">
      <c r="A10" s="16" t="s">
        <v>54</v>
      </c>
      <c r="B10" s="16">
        <v>0</v>
      </c>
      <c r="C10" s="16" t="s">
        <v>53</v>
      </c>
      <c r="D10" s="16">
        <v>1</v>
      </c>
      <c r="E10" s="16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7"/>
      <c r="R10" s="197"/>
      <c r="S10" s="197"/>
      <c r="T10" s="197"/>
      <c r="U10" s="197"/>
      <c r="W10" s="127" t="s">
        <v>19</v>
      </c>
      <c r="X10" s="127"/>
      <c r="Y10" s="127"/>
      <c r="Z10" s="51">
        <v>2</v>
      </c>
      <c r="AB10" s="51">
        <v>0</v>
      </c>
      <c r="AC10" s="127" t="s">
        <v>11</v>
      </c>
      <c r="AD10" s="127"/>
      <c r="AE10" s="127"/>
    </row>
    <row r="11" spans="1:31" x14ac:dyDescent="0.25">
      <c r="A11" s="16" t="s">
        <v>34</v>
      </c>
      <c r="B11" s="16">
        <v>0</v>
      </c>
      <c r="C11" s="16" t="s">
        <v>53</v>
      </c>
      <c r="D11" s="16">
        <v>0</v>
      </c>
      <c r="E11" s="16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8">
        <f>SUM(H2:H85)</f>
        <v>520</v>
      </c>
      <c r="R11" s="198"/>
      <c r="S11" s="198"/>
      <c r="T11" s="198"/>
      <c r="U11" s="198"/>
      <c r="W11" s="127" t="s">
        <v>56</v>
      </c>
      <c r="X11" s="127"/>
      <c r="Y11" s="127"/>
      <c r="Z11" s="51">
        <v>2</v>
      </c>
      <c r="AB11" s="51">
        <v>4</v>
      </c>
      <c r="AC11" s="127" t="s">
        <v>4</v>
      </c>
      <c r="AD11" s="127"/>
      <c r="AE11" s="127"/>
    </row>
    <row r="12" spans="1:31" x14ac:dyDescent="0.25">
      <c r="A12" s="16" t="s">
        <v>20</v>
      </c>
      <c r="B12" s="16">
        <v>3</v>
      </c>
      <c r="C12" s="16" t="s">
        <v>53</v>
      </c>
      <c r="D12" s="16">
        <v>2</v>
      </c>
      <c r="E12" s="16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8"/>
      <c r="R12" s="198"/>
      <c r="S12" s="198"/>
      <c r="T12" s="198"/>
      <c r="U12" s="198"/>
      <c r="W12" s="127" t="s">
        <v>32</v>
      </c>
      <c r="X12" s="127"/>
      <c r="Y12" s="127"/>
      <c r="Z12" s="51">
        <v>0</v>
      </c>
      <c r="AB12" s="51">
        <v>0</v>
      </c>
      <c r="AC12" s="127" t="s">
        <v>67</v>
      </c>
      <c r="AD12" s="127"/>
      <c r="AE12" s="127"/>
    </row>
    <row r="13" spans="1:31" x14ac:dyDescent="0.25">
      <c r="A13" s="16" t="s">
        <v>21</v>
      </c>
      <c r="B13" s="16">
        <v>1</v>
      </c>
      <c r="C13" s="16" t="s">
        <v>53</v>
      </c>
      <c r="D13" s="16">
        <v>1</v>
      </c>
      <c r="E13" s="16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8"/>
      <c r="R13" s="198"/>
      <c r="S13" s="198"/>
      <c r="T13" s="198"/>
      <c r="U13" s="198"/>
      <c r="W13" s="127" t="s">
        <v>20</v>
      </c>
      <c r="X13" s="127"/>
      <c r="Y13" s="127"/>
      <c r="Z13" s="51">
        <v>1</v>
      </c>
      <c r="AB13" s="51">
        <v>2</v>
      </c>
      <c r="AC13" s="127" t="s">
        <v>17</v>
      </c>
      <c r="AD13" s="127"/>
      <c r="AE13" s="127"/>
    </row>
    <row r="14" spans="1:31" x14ac:dyDescent="0.25">
      <c r="A14" s="16" t="s">
        <v>34</v>
      </c>
      <c r="B14" s="16">
        <v>0</v>
      </c>
      <c r="C14" s="16" t="s">
        <v>53</v>
      </c>
      <c r="D14" s="16">
        <v>2</v>
      </c>
      <c r="E14" s="16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8"/>
      <c r="R14" s="198"/>
      <c r="S14" s="198"/>
      <c r="T14" s="198"/>
      <c r="U14" s="198"/>
      <c r="W14" s="127"/>
      <c r="X14" s="127"/>
      <c r="Y14" s="127"/>
      <c r="AC14" s="127"/>
      <c r="AD14" s="127"/>
      <c r="AE14" s="127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198"/>
      <c r="R15" s="198"/>
      <c r="S15" s="198"/>
      <c r="T15" s="198"/>
      <c r="U15" s="198"/>
      <c r="W15" s="127"/>
      <c r="X15" s="127"/>
      <c r="Y15" s="127"/>
      <c r="AC15" s="127"/>
      <c r="AD15" s="127"/>
      <c r="AE15" s="127"/>
    </row>
    <row r="16" spans="1:31" x14ac:dyDescent="0.25">
      <c r="A16" s="16" t="s">
        <v>5</v>
      </c>
      <c r="B16" s="16">
        <v>3</v>
      </c>
      <c r="C16" s="16" t="s">
        <v>53</v>
      </c>
      <c r="D16" s="16">
        <v>1</v>
      </c>
      <c r="E16" s="16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7"/>
      <c r="X16" s="127"/>
      <c r="Y16" s="127"/>
      <c r="AC16" s="127"/>
      <c r="AD16" s="127"/>
      <c r="AE16" s="127"/>
    </row>
    <row r="17" spans="1:31" x14ac:dyDescent="0.25">
      <c r="A17" s="16" t="s">
        <v>24</v>
      </c>
      <c r="B17" s="16">
        <v>2</v>
      </c>
      <c r="C17" s="16" t="s">
        <v>53</v>
      </c>
      <c r="D17" s="16">
        <v>1</v>
      </c>
      <c r="E17" s="16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7"/>
      <c r="X17" s="127"/>
      <c r="Y17" s="127"/>
      <c r="AC17" s="127"/>
      <c r="AD17" s="127"/>
      <c r="AE17" s="127"/>
    </row>
    <row r="18" spans="1:31" x14ac:dyDescent="0.25">
      <c r="A18" s="16" t="s">
        <v>26</v>
      </c>
      <c r="B18" s="16">
        <v>0</v>
      </c>
      <c r="C18" s="16" t="s">
        <v>53</v>
      </c>
      <c r="D18" s="16">
        <v>0</v>
      </c>
      <c r="E18" s="16" t="s">
        <v>55</v>
      </c>
      <c r="H18" s="16">
        <v>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7"/>
      <c r="X18" s="127"/>
      <c r="Y18" s="127"/>
      <c r="AC18" s="127"/>
      <c r="AD18" s="127"/>
      <c r="AE18" s="127"/>
    </row>
    <row r="19" spans="1:31" x14ac:dyDescent="0.25">
      <c r="A19" s="16" t="s">
        <v>5</v>
      </c>
      <c r="B19" s="16">
        <v>1</v>
      </c>
      <c r="C19" s="16" t="s">
        <v>53</v>
      </c>
      <c r="D19" s="16">
        <v>2</v>
      </c>
      <c r="E19" s="16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4</v>
      </c>
      <c r="R19" s="22">
        <v>13</v>
      </c>
      <c r="S19" s="22">
        <v>13</v>
      </c>
      <c r="T19" s="22">
        <v>19</v>
      </c>
      <c r="U19" s="22">
        <v>14</v>
      </c>
      <c r="W19" s="127"/>
      <c r="X19" s="127"/>
      <c r="Y19" s="127"/>
      <c r="AC19" s="127"/>
      <c r="AD19" s="127"/>
      <c r="AE19" s="127"/>
    </row>
    <row r="20" spans="1:31" x14ac:dyDescent="0.25">
      <c r="A20" s="16" t="s">
        <v>26</v>
      </c>
      <c r="B20" s="16">
        <v>2</v>
      </c>
      <c r="C20" s="16" t="s">
        <v>53</v>
      </c>
      <c r="D20" s="16">
        <v>3</v>
      </c>
      <c r="E20" s="16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7"/>
      <c r="X20" s="127"/>
      <c r="Y20" s="127"/>
      <c r="AC20" s="127"/>
      <c r="AD20" s="127"/>
      <c r="AE20" s="127"/>
    </row>
    <row r="21" spans="1:31" x14ac:dyDescent="0.25">
      <c r="A21" s="16" t="s">
        <v>55</v>
      </c>
      <c r="B21" s="16">
        <v>2</v>
      </c>
      <c r="C21" s="16" t="s">
        <v>53</v>
      </c>
      <c r="D21" s="16">
        <v>3</v>
      </c>
      <c r="E21" s="16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202" t="s">
        <v>42</v>
      </c>
      <c r="R21" s="202"/>
      <c r="S21" s="199" t="s">
        <v>8</v>
      </c>
      <c r="T21" s="199"/>
      <c r="U21" s="199" t="s">
        <v>19</v>
      </c>
      <c r="V21" s="199"/>
      <c r="W21" s="127"/>
      <c r="X21" s="127"/>
      <c r="Y21" s="127"/>
      <c r="AC21" s="127"/>
      <c r="AD21" s="127"/>
      <c r="AE21" s="127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202" t="s">
        <v>41</v>
      </c>
      <c r="R22" s="202"/>
      <c r="S22" s="203" t="s">
        <v>126</v>
      </c>
      <c r="T22" s="203"/>
      <c r="U22" s="203" t="s">
        <v>129</v>
      </c>
      <c r="V22" s="203"/>
      <c r="W22" s="127"/>
      <c r="X22" s="127"/>
      <c r="Y22" s="127"/>
      <c r="AC22" s="127"/>
      <c r="AD22" s="127"/>
      <c r="AE22" s="127"/>
    </row>
    <row r="23" spans="1:31" x14ac:dyDescent="0.25">
      <c r="A23" s="16" t="s">
        <v>13</v>
      </c>
      <c r="B23" s="16">
        <v>3</v>
      </c>
      <c r="C23" s="16" t="s">
        <v>53</v>
      </c>
      <c r="D23" s="16">
        <v>0</v>
      </c>
      <c r="E23" s="16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7"/>
      <c r="X23" s="127"/>
      <c r="Y23" s="127"/>
      <c r="AC23" s="127"/>
      <c r="AD23" s="127"/>
      <c r="AE23" s="127"/>
    </row>
    <row r="24" spans="1:31" x14ac:dyDescent="0.25">
      <c r="A24" s="16" t="s">
        <v>17</v>
      </c>
      <c r="B24" s="16">
        <v>4</v>
      </c>
      <c r="C24" s="16" t="s">
        <v>53</v>
      </c>
      <c r="D24" s="16">
        <v>2</v>
      </c>
      <c r="E24" s="16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7"/>
      <c r="X24" s="127"/>
      <c r="Y24" s="127"/>
      <c r="AC24" s="127"/>
      <c r="AD24" s="127"/>
      <c r="AE24" s="127"/>
    </row>
    <row r="25" spans="1:31" x14ac:dyDescent="0.25">
      <c r="A25" s="16" t="s">
        <v>31</v>
      </c>
      <c r="B25" s="16">
        <v>0</v>
      </c>
      <c r="C25" s="16" t="s">
        <v>53</v>
      </c>
      <c r="D25" s="16">
        <v>3</v>
      </c>
      <c r="E25" s="16" t="s">
        <v>6</v>
      </c>
      <c r="H25" s="16">
        <v>15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7"/>
      <c r="X25" s="127"/>
      <c r="Y25" s="127"/>
      <c r="AC25" s="127"/>
      <c r="AD25" s="127"/>
      <c r="AE25" s="127"/>
    </row>
    <row r="26" spans="1:31" x14ac:dyDescent="0.25">
      <c r="A26" s="16" t="s">
        <v>17</v>
      </c>
      <c r="B26" s="16">
        <v>4</v>
      </c>
      <c r="C26" s="16" t="s">
        <v>53</v>
      </c>
      <c r="D26" s="16">
        <v>2</v>
      </c>
      <c r="E26" s="16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7"/>
      <c r="X26" s="127"/>
      <c r="Y26" s="127"/>
      <c r="AC26" s="127"/>
      <c r="AD26" s="127"/>
      <c r="AE26" s="127"/>
    </row>
    <row r="27" spans="1:31" x14ac:dyDescent="0.25">
      <c r="A27" s="16" t="s">
        <v>31</v>
      </c>
      <c r="B27" s="16">
        <v>0</v>
      </c>
      <c r="C27" s="16" t="s">
        <v>53</v>
      </c>
      <c r="D27" s="16">
        <v>1</v>
      </c>
      <c r="E27" s="16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7"/>
      <c r="X27" s="127"/>
      <c r="Y27" s="127"/>
      <c r="AC27" s="127"/>
      <c r="AD27" s="127"/>
      <c r="AE27" s="127"/>
    </row>
    <row r="28" spans="1:31" x14ac:dyDescent="0.25">
      <c r="A28" s="16" t="s">
        <v>6</v>
      </c>
      <c r="B28" s="16">
        <v>3</v>
      </c>
      <c r="C28" s="16" t="s">
        <v>53</v>
      </c>
      <c r="D28" s="16">
        <v>2</v>
      </c>
      <c r="E28" s="16" t="s">
        <v>13</v>
      </c>
      <c r="H28" s="16">
        <v>10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7"/>
      <c r="X28" s="127"/>
      <c r="Y28" s="127"/>
      <c r="AC28" s="127"/>
      <c r="AD28" s="127"/>
      <c r="AE28" s="127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7"/>
      <c r="X29" s="127"/>
      <c r="Y29" s="127"/>
      <c r="AC29" s="127"/>
      <c r="AD29" s="127"/>
      <c r="AE29" s="127"/>
    </row>
    <row r="30" spans="1:31" x14ac:dyDescent="0.25">
      <c r="A30" s="16" t="s">
        <v>4</v>
      </c>
      <c r="B30" s="16">
        <v>3</v>
      </c>
      <c r="C30" s="16" t="s">
        <v>53</v>
      </c>
      <c r="D30" s="16">
        <v>0</v>
      </c>
      <c r="E30" s="16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7"/>
      <c r="X30" s="127"/>
      <c r="Y30" s="127"/>
      <c r="AC30" s="127"/>
      <c r="AD30" s="127"/>
      <c r="AE30" s="127"/>
    </row>
    <row r="31" spans="1:31" x14ac:dyDescent="0.25">
      <c r="A31" s="16" t="s">
        <v>15</v>
      </c>
      <c r="B31" s="16">
        <v>3</v>
      </c>
      <c r="C31" s="16" t="s">
        <v>53</v>
      </c>
      <c r="D31" s="16">
        <v>0</v>
      </c>
      <c r="E31" s="16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6" t="s">
        <v>22</v>
      </c>
      <c r="B32" s="16">
        <v>0</v>
      </c>
      <c r="C32" s="16" t="s">
        <v>53</v>
      </c>
      <c r="D32" s="16">
        <v>3</v>
      </c>
      <c r="E32" s="16" t="s">
        <v>56</v>
      </c>
      <c r="H32" s="16">
        <v>15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6" t="s">
        <v>15</v>
      </c>
      <c r="B33" s="16">
        <v>0</v>
      </c>
      <c r="C33" s="16" t="s">
        <v>53</v>
      </c>
      <c r="D33" s="16">
        <v>0</v>
      </c>
      <c r="E33" s="16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6" t="s">
        <v>22</v>
      </c>
      <c r="B34" s="16">
        <v>1</v>
      </c>
      <c r="C34" s="16" t="s">
        <v>53</v>
      </c>
      <c r="D34" s="16">
        <v>2</v>
      </c>
      <c r="E34" s="16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6" t="s">
        <v>56</v>
      </c>
      <c r="B35" s="16">
        <v>2</v>
      </c>
      <c r="C35" s="16" t="s">
        <v>53</v>
      </c>
      <c r="D35" s="16">
        <v>4</v>
      </c>
      <c r="E35" s="16" t="s">
        <v>4</v>
      </c>
      <c r="H35" s="16">
        <v>25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6" t="s">
        <v>23</v>
      </c>
      <c r="B37" s="16">
        <v>1</v>
      </c>
      <c r="C37" s="16" t="s">
        <v>53</v>
      </c>
      <c r="D37" s="16">
        <v>2</v>
      </c>
      <c r="E37" s="16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6" t="s">
        <v>7</v>
      </c>
      <c r="B38" s="16">
        <v>3</v>
      </c>
      <c r="C38" s="16" t="s">
        <v>53</v>
      </c>
      <c r="D38" s="16">
        <v>0</v>
      </c>
      <c r="E38" s="16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6" t="s">
        <v>7</v>
      </c>
      <c r="B39" s="16">
        <v>0</v>
      </c>
      <c r="C39" s="16" t="s">
        <v>53</v>
      </c>
      <c r="D39" s="16">
        <v>0</v>
      </c>
      <c r="E39" s="16" t="s">
        <v>23</v>
      </c>
      <c r="H39" s="16">
        <v>5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6" t="s">
        <v>12</v>
      </c>
      <c r="B40" s="16">
        <v>3</v>
      </c>
      <c r="C40" s="16" t="s">
        <v>53</v>
      </c>
      <c r="D40" s="16">
        <v>1</v>
      </c>
      <c r="E40" s="16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6" t="s">
        <v>12</v>
      </c>
      <c r="B41" s="16">
        <v>1</v>
      </c>
      <c r="C41" s="16" t="s">
        <v>53</v>
      </c>
      <c r="D41" s="16">
        <v>1</v>
      </c>
      <c r="E41" s="16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6" t="s">
        <v>10</v>
      </c>
      <c r="B42" s="16">
        <v>2</v>
      </c>
      <c r="C42" s="16" t="s">
        <v>53</v>
      </c>
      <c r="D42" s="16">
        <v>2</v>
      </c>
      <c r="E42" s="16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6" t="s">
        <v>30</v>
      </c>
      <c r="B44" s="16">
        <v>0</v>
      </c>
      <c r="C44" s="16" t="s">
        <v>53</v>
      </c>
      <c r="D44" s="16">
        <v>3</v>
      </c>
      <c r="E44" s="16" t="s">
        <v>9</v>
      </c>
      <c r="H44" s="16">
        <v>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6" t="s">
        <v>8</v>
      </c>
      <c r="B45" s="16">
        <v>1</v>
      </c>
      <c r="C45" s="16" t="s">
        <v>53</v>
      </c>
      <c r="D45" s="16">
        <v>0</v>
      </c>
      <c r="E45" s="16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6" t="s">
        <v>9</v>
      </c>
      <c r="B46" s="16">
        <v>3</v>
      </c>
      <c r="C46" s="16" t="s">
        <v>53</v>
      </c>
      <c r="D46" s="16">
        <v>0</v>
      </c>
      <c r="E46" s="16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6" t="s">
        <v>8</v>
      </c>
      <c r="B47" s="16">
        <v>2</v>
      </c>
      <c r="C47" s="16" t="s">
        <v>53</v>
      </c>
      <c r="D47" s="16">
        <v>0</v>
      </c>
      <c r="E47" s="16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6" t="s">
        <v>9</v>
      </c>
      <c r="B48" s="16">
        <v>1</v>
      </c>
      <c r="C48" s="16" t="s">
        <v>53</v>
      </c>
      <c r="D48" s="16">
        <v>2</v>
      </c>
      <c r="E48" s="16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6" t="s">
        <v>29</v>
      </c>
      <c r="B49" s="16">
        <v>0</v>
      </c>
      <c r="C49" s="16" t="s">
        <v>53</v>
      </c>
      <c r="D49" s="16">
        <v>1</v>
      </c>
      <c r="E49" s="16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6" t="s">
        <v>32</v>
      </c>
      <c r="B51" s="16">
        <v>0</v>
      </c>
      <c r="C51" s="16" t="s">
        <v>53</v>
      </c>
      <c r="D51" s="16">
        <v>0</v>
      </c>
      <c r="E51" s="16" t="s">
        <v>67</v>
      </c>
      <c r="H51" s="16">
        <v>25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6" t="s">
        <v>27</v>
      </c>
      <c r="B52" s="16">
        <v>2</v>
      </c>
      <c r="C52" s="16" t="s">
        <v>53</v>
      </c>
      <c r="D52" s="16">
        <v>2</v>
      </c>
      <c r="E52" s="16" t="s">
        <v>18</v>
      </c>
      <c r="H52" s="16">
        <v>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6" t="s">
        <v>67</v>
      </c>
      <c r="B53" s="16">
        <v>2</v>
      </c>
      <c r="C53" s="16" t="s">
        <v>53</v>
      </c>
      <c r="D53" s="16">
        <v>2</v>
      </c>
      <c r="E53" s="16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6" t="s">
        <v>27</v>
      </c>
      <c r="B54" s="16">
        <v>2</v>
      </c>
      <c r="C54" s="16" t="s">
        <v>53</v>
      </c>
      <c r="D54" s="16">
        <v>3</v>
      </c>
      <c r="E54" s="16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6" t="s">
        <v>67</v>
      </c>
      <c r="B55" s="16">
        <v>0</v>
      </c>
      <c r="C55" s="16" t="s">
        <v>53</v>
      </c>
      <c r="D55" s="16">
        <v>0</v>
      </c>
      <c r="E55" s="16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6" t="s">
        <v>18</v>
      </c>
      <c r="B56" s="16">
        <v>0</v>
      </c>
      <c r="C56" s="16" t="s">
        <v>53</v>
      </c>
      <c r="D56" s="16">
        <v>1</v>
      </c>
      <c r="E56" s="16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5" t="s">
        <v>172</v>
      </c>
    </row>
    <row r="58" spans="1:15" x14ac:dyDescent="0.25">
      <c r="A58" s="208" t="str">
        <f>_xlfn.CONCAT(W2,A57)</f>
        <v>Roberto - Oitavas de Final</v>
      </c>
      <c r="B58" s="208"/>
      <c r="C58" s="208"/>
      <c r="D58" s="208"/>
      <c r="E58" s="208"/>
      <c r="K58" s="209" t="s">
        <v>170</v>
      </c>
      <c r="L58" s="209"/>
      <c r="M58" s="209"/>
      <c r="N58" s="209"/>
      <c r="O58" s="209"/>
    </row>
    <row r="59" spans="1:15" x14ac:dyDescent="0.25">
      <c r="A59" s="84" t="s">
        <v>19</v>
      </c>
      <c r="B59" s="85">
        <v>1</v>
      </c>
      <c r="C59" s="85" t="s">
        <v>53</v>
      </c>
      <c r="D59" s="85">
        <v>0</v>
      </c>
      <c r="E59" s="86" t="s">
        <v>165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0</v>
      </c>
      <c r="C60" s="85" t="s">
        <v>53</v>
      </c>
      <c r="D60" s="85">
        <v>1</v>
      </c>
      <c r="E60" s="86" t="s">
        <v>6</v>
      </c>
      <c r="H60" s="16">
        <v>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0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0</v>
      </c>
      <c r="C62" s="85" t="s">
        <v>53</v>
      </c>
      <c r="D62" s="85">
        <v>1</v>
      </c>
      <c r="E62" s="86" t="s">
        <v>166</v>
      </c>
      <c r="H62" s="16">
        <v>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1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7" t="s">
        <v>173</v>
      </c>
      <c r="B67" s="88"/>
      <c r="C67" s="88"/>
      <c r="D67" s="88"/>
      <c r="E67" s="88"/>
      <c r="J67" s="17" t="str">
        <f>IF(Tabela!F40="","",Tabela!F40)</f>
        <v/>
      </c>
    </row>
    <row r="68" spans="1:15" x14ac:dyDescent="0.25">
      <c r="A68" s="208" t="str">
        <f>_xlfn.CONCAT(W2,A67)</f>
        <v>Roberto - Quartas de Final</v>
      </c>
      <c r="B68" s="208"/>
      <c r="C68" s="208"/>
      <c r="D68" s="208"/>
      <c r="E68" s="208"/>
      <c r="J68" s="17" t="str">
        <f>IF(Tabela!F41="","",Tabela!F41)</f>
        <v/>
      </c>
      <c r="K68" s="209" t="s">
        <v>138</v>
      </c>
      <c r="L68" s="209"/>
      <c r="M68" s="209"/>
      <c r="N68" s="209"/>
      <c r="O68" s="209"/>
    </row>
    <row r="69" spans="1:15" x14ac:dyDescent="0.25">
      <c r="A69" s="91" t="str">
        <f>Tabela!A42</f>
        <v>Holanda</v>
      </c>
      <c r="B69" s="92">
        <v>1</v>
      </c>
      <c r="C69" s="92" t="s">
        <v>53</v>
      </c>
      <c r="D69" s="92">
        <v>0</v>
      </c>
      <c r="E69" s="90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1" t="s">
        <v>12</v>
      </c>
      <c r="B70" s="92">
        <v>0</v>
      </c>
      <c r="C70" s="92" t="s">
        <v>53</v>
      </c>
      <c r="D70" s="92">
        <v>1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1" t="s">
        <v>20</v>
      </c>
      <c r="B71" s="92">
        <v>1</v>
      </c>
      <c r="C71" s="92" t="s">
        <v>53</v>
      </c>
      <c r="D71" s="92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1" t="str">
        <f>Tabela!A45</f>
        <v>Marrocos</v>
      </c>
      <c r="B72" s="92">
        <v>0</v>
      </c>
      <c r="C72" s="92" t="s">
        <v>53</v>
      </c>
      <c r="D72" s="92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7" t="s">
        <v>178</v>
      </c>
      <c r="B73" s="88"/>
      <c r="C73" s="88"/>
      <c r="D73" s="88"/>
      <c r="E73" s="88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10" t="str">
        <f>_xlfn.CONCAT(W$2,A73)</f>
        <v>Roberto - Semi Final</v>
      </c>
      <c r="B74" s="210"/>
      <c r="C74" s="210"/>
      <c r="D74" s="210"/>
      <c r="E74" s="210"/>
      <c r="J74" s="17" t="str">
        <f>IF(Tabela!F47="","",Tabela!F47)</f>
        <v/>
      </c>
      <c r="K74" s="209" t="s">
        <v>139</v>
      </c>
      <c r="L74" s="209"/>
      <c r="M74" s="209"/>
      <c r="N74" s="209"/>
      <c r="O74" s="209"/>
    </row>
    <row r="75" spans="1:15" x14ac:dyDescent="0.25">
      <c r="A75" s="18" t="str">
        <f>IF(Tabela!A48="","",Tabela!A48)</f>
        <v>Argentina</v>
      </c>
      <c r="B75" s="76">
        <v>0</v>
      </c>
      <c r="C75" s="76" t="s">
        <v>53</v>
      </c>
      <c r="D75" s="76">
        <v>2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5" t="s">
        <v>179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10" t="str">
        <f>_xlfn.CONCAT(W$2,A77)</f>
        <v>Roberto - Terceiro Lugar</v>
      </c>
      <c r="B78" s="210"/>
      <c r="C78" s="210"/>
      <c r="D78" s="210"/>
      <c r="E78" s="210"/>
      <c r="J78" s="17" t="str">
        <f>IF(Tabela!F51="","",Tabela!F51)</f>
        <v/>
      </c>
      <c r="K78" s="209" t="s">
        <v>140</v>
      </c>
      <c r="L78" s="209"/>
      <c r="M78" s="209"/>
      <c r="N78" s="209"/>
      <c r="O78" s="209"/>
    </row>
    <row r="79" spans="1:15" x14ac:dyDescent="0.25">
      <c r="A79" s="18" t="str">
        <f>IF(Tabela!A52="","",Tabela!A52)</f>
        <v>Croácia</v>
      </c>
      <c r="B79" s="76">
        <v>1</v>
      </c>
      <c r="C79" s="76" t="s">
        <v>53</v>
      </c>
      <c r="D79" s="76">
        <v>0</v>
      </c>
      <c r="E79" s="19" t="str">
        <f>IF(Tabela!E52="","",Tabela!E52)</f>
        <v>Marrocos</v>
      </c>
      <c r="H79" s="16">
        <v>10</v>
      </c>
      <c r="J79" s="17" t="str">
        <f>IF(Tabela!F52="","",Tabela!F52)</f>
        <v/>
      </c>
      <c r="K79" s="76" t="str">
        <f>IF(Tabela!A52="","",Tabela!A52)</f>
        <v>Croácia</v>
      </c>
      <c r="L79" s="76">
        <f>IF(Tabela!B52="","",Tabela!B52)</f>
        <v>2</v>
      </c>
      <c r="M79" s="76" t="str">
        <f>IF(Tabela!C52="","",Tabela!C52)</f>
        <v>X</v>
      </c>
      <c r="N79" s="76">
        <f>IF(Tabela!D52="","",Tabela!D52)</f>
        <v>1</v>
      </c>
      <c r="O79" s="76" t="str">
        <f>IF(Tabela!E52="","",Tabela!E52)</f>
        <v>Marrocos</v>
      </c>
    </row>
    <row r="80" spans="1:15" x14ac:dyDescent="0.25">
      <c r="A80" s="75" t="s">
        <v>180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10" t="str">
        <f>_xlfn.CONCAT(W$2,A80)</f>
        <v>Roberto - Final</v>
      </c>
      <c r="B81" s="210"/>
      <c r="C81" s="210"/>
      <c r="D81" s="210"/>
      <c r="E81" s="210"/>
      <c r="J81" s="17" t="str">
        <f>IF(Tabela!F54="","",Tabela!F54)</f>
        <v/>
      </c>
      <c r="K81" s="209" t="s">
        <v>141</v>
      </c>
      <c r="L81" s="209"/>
      <c r="M81" s="209"/>
      <c r="N81" s="209"/>
      <c r="O81" s="209"/>
    </row>
    <row r="82" spans="1:15" x14ac:dyDescent="0.25">
      <c r="A82" s="18" t="str">
        <f>IF(Tabela!A55="","",Tabela!A55)</f>
        <v>Argentina</v>
      </c>
      <c r="B82" s="76">
        <v>1</v>
      </c>
      <c r="C82" s="76" t="s">
        <v>53</v>
      </c>
      <c r="D82" s="76">
        <v>1</v>
      </c>
      <c r="E82" s="19" t="str">
        <f>IF(Tabela!E55="","",Tabela!E55)</f>
        <v>França</v>
      </c>
      <c r="H82" s="16">
        <v>10</v>
      </c>
      <c r="J82" s="17" t="str">
        <f>IF(Tabela!F55="","",Tabela!F55)</f>
        <v/>
      </c>
      <c r="K82" s="76" t="str">
        <f>IF(Tabela!A55="","",Tabela!A55)</f>
        <v>Argentina</v>
      </c>
      <c r="L82" s="76">
        <f>IF(Tabela!B55="","",Tabela!B55)</f>
        <v>3</v>
      </c>
      <c r="M82" s="76" t="str">
        <f>IF(Tabela!C55="","",Tabela!C55)</f>
        <v>X</v>
      </c>
      <c r="N82" s="76">
        <f>IF(Tabela!D55="","",Tabela!D55)</f>
        <v>3</v>
      </c>
      <c r="O82" s="76" t="str">
        <f>IF(Tabela!E55="","",Tabela!E55)</f>
        <v>França</v>
      </c>
    </row>
    <row r="84" spans="1:15" x14ac:dyDescent="0.25">
      <c r="E84" s="16" t="s">
        <v>174</v>
      </c>
      <c r="H84" s="16">
        <v>0</v>
      </c>
    </row>
    <row r="85" spans="1:15" x14ac:dyDescent="0.25">
      <c r="E85" s="16" t="s">
        <v>125</v>
      </c>
      <c r="H85" s="16">
        <v>0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3" width="5.7109375" style="17" customWidth="1"/>
    <col min="34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2" t="s">
        <v>43</v>
      </c>
      <c r="B2" s="212"/>
      <c r="C2" s="212"/>
      <c r="D2" s="212"/>
      <c r="E2" s="212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0" t="s">
        <v>81</v>
      </c>
      <c r="X2" s="200"/>
      <c r="Y2" s="200"/>
      <c r="Z2" s="200"/>
      <c r="AA2" s="200"/>
      <c r="AB2" s="200"/>
      <c r="AC2" s="200"/>
      <c r="AD2" s="200"/>
      <c r="AE2" s="200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0"/>
      <c r="X3" s="200"/>
      <c r="Y3" s="200"/>
      <c r="Z3" s="200"/>
      <c r="AA3" s="200"/>
      <c r="AB3" s="200"/>
      <c r="AC3" s="200"/>
      <c r="AD3" s="200"/>
      <c r="AE3" s="200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0"/>
      <c r="X4" s="200"/>
      <c r="Y4" s="200"/>
      <c r="Z4" s="200"/>
      <c r="AA4" s="200"/>
      <c r="AB4" s="200"/>
      <c r="AC4" s="200"/>
      <c r="AD4" s="200"/>
      <c r="AE4" s="200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0"/>
      <c r="X5" s="200"/>
      <c r="Y5" s="200"/>
      <c r="Z5" s="200"/>
      <c r="AA5" s="200"/>
      <c r="AB5" s="200"/>
      <c r="AC5" s="200"/>
      <c r="AD5" s="200"/>
      <c r="AE5" s="200"/>
    </row>
    <row r="6" spans="1:31" x14ac:dyDescent="0.25">
      <c r="A6" s="18" t="s">
        <v>19</v>
      </c>
      <c r="B6" s="16">
        <v>4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0"/>
      <c r="X6" s="200"/>
      <c r="Y6" s="200"/>
      <c r="Z6" s="200"/>
      <c r="AA6" s="200"/>
      <c r="AB6" s="200"/>
      <c r="AC6" s="200"/>
      <c r="AD6" s="200"/>
      <c r="AE6" s="200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7" t="s">
        <v>66</v>
      </c>
      <c r="R9" s="197"/>
      <c r="S9" s="197"/>
      <c r="T9" s="197"/>
      <c r="U9" s="197"/>
      <c r="W9" s="127" t="s">
        <v>123</v>
      </c>
      <c r="X9" s="127"/>
      <c r="Y9" s="127"/>
      <c r="Z9" s="127"/>
      <c r="AA9" s="127"/>
      <c r="AB9" s="127"/>
      <c r="AC9" s="127"/>
      <c r="AD9" s="127"/>
      <c r="AE9" s="127"/>
    </row>
    <row r="10" spans="1:31" x14ac:dyDescent="0.25">
      <c r="A10" s="18" t="s">
        <v>54</v>
      </c>
      <c r="B10" s="16">
        <v>3</v>
      </c>
      <c r="C10" s="16" t="s">
        <v>53</v>
      </c>
      <c r="D10" s="16">
        <v>2</v>
      </c>
      <c r="E10" s="19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7"/>
      <c r="R10" s="197"/>
      <c r="S10" s="197"/>
      <c r="T10" s="197"/>
      <c r="U10" s="197"/>
      <c r="W10" s="127" t="s">
        <v>5</v>
      </c>
      <c r="X10" s="127"/>
      <c r="Y10" s="127"/>
      <c r="Z10" s="51">
        <v>2</v>
      </c>
      <c r="AB10" s="51">
        <v>1</v>
      </c>
      <c r="AC10" s="127" t="s">
        <v>6</v>
      </c>
      <c r="AD10" s="127"/>
      <c r="AE10" s="127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8">
        <f>SUM(H2:H85)</f>
        <v>465</v>
      </c>
      <c r="R11" s="198"/>
      <c r="S11" s="198"/>
      <c r="T11" s="198"/>
      <c r="U11" s="198"/>
      <c r="W11" s="127"/>
      <c r="X11" s="127"/>
      <c r="Y11" s="127"/>
      <c r="AC11" s="127"/>
      <c r="AD11" s="127"/>
      <c r="AE11" s="127"/>
    </row>
    <row r="12" spans="1:3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8"/>
      <c r="R12" s="198"/>
      <c r="S12" s="198"/>
      <c r="T12" s="198"/>
      <c r="U12" s="198"/>
      <c r="W12" s="127"/>
      <c r="X12" s="127"/>
      <c r="Y12" s="127"/>
      <c r="AC12" s="127"/>
      <c r="AD12" s="127"/>
      <c r="AE12" s="127"/>
    </row>
    <row r="13" spans="1:31" x14ac:dyDescent="0.25">
      <c r="A13" s="18" t="s">
        <v>21</v>
      </c>
      <c r="B13" s="16">
        <v>2</v>
      </c>
      <c r="C13" s="16" t="s">
        <v>53</v>
      </c>
      <c r="D13" s="16">
        <v>4</v>
      </c>
      <c r="E13" s="19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8"/>
      <c r="R13" s="198"/>
      <c r="S13" s="198"/>
      <c r="T13" s="198"/>
      <c r="U13" s="198"/>
      <c r="W13" s="127"/>
      <c r="X13" s="127"/>
      <c r="Y13" s="127"/>
      <c r="AC13" s="127"/>
      <c r="AD13" s="127"/>
      <c r="AE13" s="127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8"/>
      <c r="R14" s="198"/>
      <c r="S14" s="198"/>
      <c r="T14" s="198"/>
      <c r="U14" s="198"/>
      <c r="W14" s="127"/>
      <c r="X14" s="127"/>
      <c r="Y14" s="127"/>
      <c r="AC14" s="127"/>
      <c r="AD14" s="127"/>
      <c r="AE14" s="127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198"/>
      <c r="R15" s="198"/>
      <c r="S15" s="198"/>
      <c r="T15" s="198"/>
      <c r="U15" s="198"/>
      <c r="W15" s="127"/>
      <c r="X15" s="127"/>
      <c r="Y15" s="127"/>
      <c r="AC15" s="127"/>
      <c r="AD15" s="127"/>
      <c r="AE15" s="127"/>
    </row>
    <row r="16" spans="1:31" x14ac:dyDescent="0.25">
      <c r="A16" s="18" t="s">
        <v>5</v>
      </c>
      <c r="B16" s="16">
        <v>4</v>
      </c>
      <c r="C16" s="16" t="s">
        <v>53</v>
      </c>
      <c r="D16" s="16">
        <v>2</v>
      </c>
      <c r="E16" s="19" t="s">
        <v>55</v>
      </c>
      <c r="H16" s="16">
        <v>5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7"/>
      <c r="X16" s="127"/>
      <c r="Y16" s="127"/>
      <c r="AC16" s="127"/>
      <c r="AD16" s="127"/>
      <c r="AE16" s="127"/>
    </row>
    <row r="17" spans="1:31" x14ac:dyDescent="0.25">
      <c r="A17" s="18" t="s">
        <v>24</v>
      </c>
      <c r="B17" s="16">
        <v>3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7"/>
      <c r="X17" s="127"/>
      <c r="Y17" s="127"/>
      <c r="AC17" s="127"/>
      <c r="AD17" s="127"/>
      <c r="AE17" s="127"/>
    </row>
    <row r="18" spans="1:31" x14ac:dyDescent="0.25">
      <c r="A18" s="18" t="s">
        <v>26</v>
      </c>
      <c r="B18" s="16">
        <v>1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7"/>
      <c r="X18" s="127"/>
      <c r="Y18" s="127"/>
      <c r="AC18" s="127"/>
      <c r="AD18" s="127"/>
      <c r="AE18" s="127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1</v>
      </c>
      <c r="R19" s="22">
        <v>8</v>
      </c>
      <c r="S19" s="22">
        <v>15</v>
      </c>
      <c r="T19" s="22">
        <v>14</v>
      </c>
      <c r="U19" s="22">
        <v>25</v>
      </c>
      <c r="W19" s="127"/>
      <c r="X19" s="127"/>
      <c r="Y19" s="127"/>
      <c r="AC19" s="127"/>
      <c r="AD19" s="127"/>
      <c r="AE19" s="127"/>
    </row>
    <row r="20" spans="1:31" x14ac:dyDescent="0.25">
      <c r="A20" s="18" t="s">
        <v>26</v>
      </c>
      <c r="B20" s="16">
        <v>3</v>
      </c>
      <c r="C20" s="16" t="s">
        <v>53</v>
      </c>
      <c r="D20" s="16">
        <v>4</v>
      </c>
      <c r="E20" s="19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7"/>
      <c r="X20" s="127"/>
      <c r="Y20" s="127"/>
      <c r="AC20" s="127"/>
      <c r="AD20" s="127"/>
      <c r="AE20" s="127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202" t="s">
        <v>42</v>
      </c>
      <c r="R21" s="202"/>
      <c r="S21" s="199" t="s">
        <v>8</v>
      </c>
      <c r="T21" s="199"/>
      <c r="U21" s="199" t="s">
        <v>5</v>
      </c>
      <c r="V21" s="199"/>
      <c r="W21" s="127"/>
      <c r="X21" s="127"/>
      <c r="Y21" s="127"/>
      <c r="AC21" s="127"/>
      <c r="AD21" s="127"/>
      <c r="AE21" s="127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202" t="s">
        <v>41</v>
      </c>
      <c r="R22" s="202"/>
      <c r="S22" s="203" t="s">
        <v>126</v>
      </c>
      <c r="T22" s="203"/>
      <c r="U22" s="203" t="s">
        <v>130</v>
      </c>
      <c r="V22" s="203"/>
      <c r="W22" s="127"/>
      <c r="X22" s="127"/>
      <c r="Y22" s="127"/>
      <c r="AC22" s="127"/>
      <c r="AD22" s="127"/>
      <c r="AE22" s="127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7"/>
      <c r="X23" s="127"/>
      <c r="Y23" s="127"/>
      <c r="AC23" s="127"/>
      <c r="AD23" s="127"/>
      <c r="AE23" s="127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7"/>
      <c r="X24" s="127"/>
      <c r="Y24" s="127"/>
      <c r="AC24" s="127"/>
      <c r="AD24" s="127"/>
      <c r="AE24" s="127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7"/>
      <c r="X25" s="127"/>
      <c r="Y25" s="127"/>
      <c r="AC25" s="127"/>
      <c r="AD25" s="127"/>
      <c r="AE25" s="127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7"/>
      <c r="X26" s="127"/>
      <c r="Y26" s="127"/>
      <c r="AC26" s="127"/>
      <c r="AD26" s="127"/>
      <c r="AE26" s="127"/>
    </row>
    <row r="27" spans="1:31" x14ac:dyDescent="0.25">
      <c r="A27" s="18" t="s">
        <v>31</v>
      </c>
      <c r="B27" s="16">
        <v>2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7"/>
      <c r="X27" s="127"/>
      <c r="Y27" s="127"/>
      <c r="AC27" s="127"/>
      <c r="AD27" s="127"/>
      <c r="AE27" s="127"/>
    </row>
    <row r="28" spans="1:31" x14ac:dyDescent="0.25">
      <c r="A28" s="18" t="s">
        <v>6</v>
      </c>
      <c r="B28" s="16">
        <v>3</v>
      </c>
      <c r="C28" s="16" t="s">
        <v>53</v>
      </c>
      <c r="D28" s="16">
        <v>3</v>
      </c>
      <c r="E28" s="19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7"/>
      <c r="X28" s="127"/>
      <c r="Y28" s="127"/>
      <c r="AC28" s="127"/>
      <c r="AD28" s="127"/>
      <c r="AE28" s="127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7"/>
      <c r="X29" s="127"/>
      <c r="Y29" s="127"/>
      <c r="AC29" s="127"/>
      <c r="AD29" s="127"/>
      <c r="AE29" s="127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7"/>
      <c r="X30" s="127"/>
      <c r="Y30" s="127"/>
      <c r="AC30" s="127"/>
      <c r="AD30" s="127"/>
      <c r="AE30" s="127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2</v>
      </c>
      <c r="E32" s="19" t="s">
        <v>56</v>
      </c>
      <c r="H32" s="16">
        <v>15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1</v>
      </c>
      <c r="E35" s="19" t="s">
        <v>4</v>
      </c>
      <c r="H35" s="16">
        <v>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1</v>
      </c>
      <c r="C37" s="16" t="s">
        <v>53</v>
      </c>
      <c r="D37" s="16">
        <v>1</v>
      </c>
      <c r="E37" s="19" t="s">
        <v>12</v>
      </c>
      <c r="H37" s="16">
        <v>10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2</v>
      </c>
      <c r="E38" s="19" t="s">
        <v>10</v>
      </c>
      <c r="H38" s="16">
        <v>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1</v>
      </c>
      <c r="C44" s="16" t="s">
        <v>53</v>
      </c>
      <c r="D44" s="16">
        <v>3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9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172</v>
      </c>
    </row>
    <row r="58" spans="1:15" x14ac:dyDescent="0.25">
      <c r="A58" s="208" t="str">
        <f>_xlfn.CONCAT(W2,A57)</f>
        <v>Andréia - Oitavas de Final</v>
      </c>
      <c r="B58" s="208"/>
      <c r="C58" s="208"/>
      <c r="D58" s="208"/>
      <c r="E58" s="208"/>
      <c r="K58" s="209" t="s">
        <v>170</v>
      </c>
      <c r="L58" s="209"/>
      <c r="M58" s="209"/>
      <c r="N58" s="209"/>
      <c r="O58" s="209"/>
    </row>
    <row r="59" spans="1:15" x14ac:dyDescent="0.25">
      <c r="A59" s="84" t="s">
        <v>19</v>
      </c>
      <c r="B59" s="85">
        <v>1</v>
      </c>
      <c r="C59" s="85" t="s">
        <v>53</v>
      </c>
      <c r="D59" s="85">
        <v>2</v>
      </c>
      <c r="E59" s="86" t="s">
        <v>165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166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2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1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173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Andréia - Quartas de Final</v>
      </c>
      <c r="B68" s="208"/>
      <c r="C68" s="208"/>
      <c r="D68" s="208"/>
      <c r="E68" s="208"/>
      <c r="J68" s="17" t="str">
        <f>IF(Tabela!F41="","",Tabela!F41)</f>
        <v/>
      </c>
      <c r="K68" s="209" t="s">
        <v>138</v>
      </c>
      <c r="L68" s="209"/>
      <c r="M68" s="209"/>
      <c r="N68" s="209"/>
      <c r="O68" s="209"/>
    </row>
    <row r="69" spans="1:15" x14ac:dyDescent="0.25">
      <c r="A69" s="91" t="str">
        <f>Tabela!A42</f>
        <v>Holanda</v>
      </c>
      <c r="B69" s="92">
        <v>1</v>
      </c>
      <c r="C69" s="92" t="s">
        <v>53</v>
      </c>
      <c r="D69" s="92">
        <v>2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1" t="s">
        <v>12</v>
      </c>
      <c r="B70" s="92">
        <v>1</v>
      </c>
      <c r="C70" s="92" t="s">
        <v>53</v>
      </c>
      <c r="D70" s="92">
        <v>3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1" t="s">
        <v>20</v>
      </c>
      <c r="B71" s="92">
        <v>0</v>
      </c>
      <c r="C71" s="92" t="s">
        <v>53</v>
      </c>
      <c r="D71" s="92">
        <v>2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1" t="str">
        <f>Tabela!A45</f>
        <v>Marrocos</v>
      </c>
      <c r="B72" s="92">
        <v>2</v>
      </c>
      <c r="C72" s="92" t="s">
        <v>53</v>
      </c>
      <c r="D72" s="92">
        <v>3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178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10" t="str">
        <f>_xlfn.CONCAT(W$2,A73)</f>
        <v>Andréia - Semi Final</v>
      </c>
      <c r="B74" s="210"/>
      <c r="C74" s="210"/>
      <c r="D74" s="210"/>
      <c r="E74" s="210"/>
      <c r="J74" s="17" t="str">
        <f>IF(Tabela!F47="","",Tabela!F47)</f>
        <v/>
      </c>
      <c r="K74" s="209" t="s">
        <v>139</v>
      </c>
      <c r="L74" s="209"/>
      <c r="M74" s="209"/>
      <c r="N74" s="209"/>
      <c r="O74" s="209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179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10" t="str">
        <f>_xlfn.CONCAT(W$2,A77)</f>
        <v>Andréia - Terceiro Lugar</v>
      </c>
      <c r="B78" s="210"/>
      <c r="C78" s="210"/>
      <c r="D78" s="210"/>
      <c r="E78" s="210"/>
      <c r="J78" s="17" t="str">
        <f>IF(Tabela!F51="","",Tabela!F51)</f>
        <v/>
      </c>
      <c r="K78" s="209" t="s">
        <v>140</v>
      </c>
      <c r="L78" s="209"/>
      <c r="M78" s="209"/>
      <c r="N78" s="209"/>
      <c r="O78" s="209"/>
    </row>
    <row r="79" spans="1:15" x14ac:dyDescent="0.25">
      <c r="A79" s="18" t="str">
        <f>IF(Tabela!A52="","",Tabela!A52)</f>
        <v>Croácia</v>
      </c>
      <c r="B79" s="76">
        <v>1</v>
      </c>
      <c r="C79" s="76" t="s">
        <v>53</v>
      </c>
      <c r="D79" s="76">
        <v>1</v>
      </c>
      <c r="E79" s="19" t="str">
        <f>IF(Tabela!E52="","",Tabela!E52)</f>
        <v>Marrocos</v>
      </c>
      <c r="H79" s="16">
        <v>5</v>
      </c>
      <c r="J79" s="17" t="str">
        <f>IF(Tabela!F52="","",Tabela!F52)</f>
        <v/>
      </c>
      <c r="K79" s="76" t="str">
        <f>IF(Tabela!A52="","",Tabela!A52)</f>
        <v>Croácia</v>
      </c>
      <c r="L79" s="76">
        <f>IF(Tabela!B52="","",Tabela!B52)</f>
        <v>2</v>
      </c>
      <c r="M79" s="76" t="str">
        <f>IF(Tabela!C52="","",Tabela!C52)</f>
        <v>X</v>
      </c>
      <c r="N79" s="76">
        <f>IF(Tabela!D52="","",Tabela!D52)</f>
        <v>1</v>
      </c>
      <c r="O79" s="76" t="str">
        <f>IF(Tabela!E52="","",Tabela!E52)</f>
        <v>Marrocos</v>
      </c>
    </row>
    <row r="80" spans="1:15" x14ac:dyDescent="0.25">
      <c r="A80" s="73" t="s">
        <v>180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10" t="str">
        <f>_xlfn.CONCAT(W$2,A80)</f>
        <v>Andréia - Final</v>
      </c>
      <c r="B81" s="210"/>
      <c r="C81" s="210"/>
      <c r="D81" s="210"/>
      <c r="E81" s="210"/>
      <c r="J81" s="17" t="str">
        <f>IF(Tabela!F54="","",Tabela!F54)</f>
        <v/>
      </c>
      <c r="K81" s="209" t="s">
        <v>141</v>
      </c>
      <c r="L81" s="209"/>
      <c r="M81" s="209"/>
      <c r="N81" s="209"/>
      <c r="O81" s="209"/>
    </row>
    <row r="82" spans="1:15" x14ac:dyDescent="0.25">
      <c r="A82" s="18" t="str">
        <f>IF(Tabela!A55="","",Tabela!A55)</f>
        <v>Argentina</v>
      </c>
      <c r="B82" s="76">
        <v>2</v>
      </c>
      <c r="C82" s="76" t="s">
        <v>53</v>
      </c>
      <c r="D82" s="76">
        <v>1</v>
      </c>
      <c r="E82" s="19" t="str">
        <f>IF(Tabela!E55="","",Tabela!E55)</f>
        <v>França</v>
      </c>
      <c r="H82" s="16">
        <v>0</v>
      </c>
      <c r="J82" s="17" t="str">
        <f>IF(Tabela!F55="","",Tabela!F55)</f>
        <v/>
      </c>
      <c r="K82" s="76" t="str">
        <f>IF(Tabela!A55="","",Tabela!A55)</f>
        <v>Argentina</v>
      </c>
      <c r="L82" s="76">
        <f>IF(Tabela!B55="","",Tabela!B55)</f>
        <v>3</v>
      </c>
      <c r="M82" s="76" t="str">
        <f>IF(Tabela!C55="","",Tabela!C55)</f>
        <v>X</v>
      </c>
      <c r="N82" s="76">
        <f>IF(Tabela!D55="","",Tabela!D55)</f>
        <v>3</v>
      </c>
      <c r="O82" s="76" t="str">
        <f>IF(Tabela!E55="","",Tabela!E55)</f>
        <v>França</v>
      </c>
    </row>
    <row r="84" spans="1:15" x14ac:dyDescent="0.25">
      <c r="E84" s="19" t="s">
        <v>174</v>
      </c>
      <c r="H84" s="16">
        <v>100</v>
      </c>
    </row>
    <row r="85" spans="1:15" x14ac:dyDescent="0.25">
      <c r="E85" s="19" t="s">
        <v>125</v>
      </c>
      <c r="H85" s="16">
        <v>0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1" width="5.7109375" style="17" customWidth="1"/>
    <col min="42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2" t="s">
        <v>43</v>
      </c>
      <c r="B2" s="212"/>
      <c r="C2" s="212"/>
      <c r="D2" s="212"/>
      <c r="E2" s="212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0" t="s">
        <v>82</v>
      </c>
      <c r="X2" s="200"/>
      <c r="Y2" s="200"/>
      <c r="Z2" s="200"/>
      <c r="AA2" s="200"/>
      <c r="AB2" s="200"/>
      <c r="AC2" s="200"/>
      <c r="AD2" s="200"/>
      <c r="AE2" s="200"/>
    </row>
    <row r="3" spans="1:31" x14ac:dyDescent="0.25">
      <c r="A3" s="18" t="s">
        <v>28</v>
      </c>
      <c r="B3" s="16">
        <v>0</v>
      </c>
      <c r="C3" s="16" t="s">
        <v>53</v>
      </c>
      <c r="D3" s="16">
        <v>1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0"/>
      <c r="X3" s="200"/>
      <c r="Y3" s="200"/>
      <c r="Z3" s="200"/>
      <c r="AA3" s="200"/>
      <c r="AB3" s="200"/>
      <c r="AC3" s="200"/>
      <c r="AD3" s="200"/>
      <c r="AE3" s="200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0"/>
      <c r="X4" s="200"/>
      <c r="Y4" s="200"/>
      <c r="Z4" s="200"/>
      <c r="AA4" s="200"/>
      <c r="AB4" s="200"/>
      <c r="AC4" s="200"/>
      <c r="AD4" s="200"/>
      <c r="AE4" s="200"/>
    </row>
    <row r="5" spans="1:31" x14ac:dyDescent="0.25">
      <c r="A5" s="18" t="s">
        <v>19</v>
      </c>
      <c r="B5" s="16">
        <v>0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0"/>
      <c r="X5" s="200"/>
      <c r="Y5" s="200"/>
      <c r="Z5" s="200"/>
      <c r="AA5" s="200"/>
      <c r="AB5" s="200"/>
      <c r="AC5" s="200"/>
      <c r="AD5" s="200"/>
      <c r="AE5" s="200"/>
    </row>
    <row r="6" spans="1:31" x14ac:dyDescent="0.25">
      <c r="A6" s="18" t="s">
        <v>19</v>
      </c>
      <c r="B6" s="16">
        <v>0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0"/>
      <c r="X6" s="200"/>
      <c r="Y6" s="200"/>
      <c r="Z6" s="200"/>
      <c r="AA6" s="200"/>
      <c r="AB6" s="200"/>
      <c r="AC6" s="200"/>
      <c r="AD6" s="200"/>
      <c r="AE6" s="200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0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7" t="s">
        <v>66</v>
      </c>
      <c r="R9" s="197"/>
      <c r="S9" s="197"/>
      <c r="T9" s="197"/>
      <c r="U9" s="197"/>
      <c r="W9" s="127" t="s">
        <v>123</v>
      </c>
      <c r="X9" s="127"/>
      <c r="Y9" s="127"/>
      <c r="Z9" s="127"/>
      <c r="AA9" s="127"/>
      <c r="AB9" s="127"/>
      <c r="AC9" s="127"/>
      <c r="AD9" s="127"/>
      <c r="AE9" s="127"/>
    </row>
    <row r="10" spans="1:31" x14ac:dyDescent="0.25">
      <c r="A10" s="18" t="s">
        <v>54</v>
      </c>
      <c r="B10" s="16">
        <v>0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7"/>
      <c r="R10" s="197"/>
      <c r="S10" s="197"/>
      <c r="T10" s="197"/>
      <c r="U10" s="197"/>
      <c r="W10" s="127" t="s">
        <v>21</v>
      </c>
      <c r="X10" s="127"/>
      <c r="Y10" s="127"/>
      <c r="Z10" s="51">
        <v>0</v>
      </c>
      <c r="AB10" s="51">
        <v>1</v>
      </c>
      <c r="AC10" s="127" t="s">
        <v>16</v>
      </c>
      <c r="AD10" s="127"/>
      <c r="AE10" s="127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8">
        <f>SUM(H2:H85)</f>
        <v>435</v>
      </c>
      <c r="R11" s="198"/>
      <c r="S11" s="198"/>
      <c r="T11" s="198"/>
      <c r="U11" s="198"/>
      <c r="W11" s="127" t="s">
        <v>31</v>
      </c>
      <c r="X11" s="127"/>
      <c r="Y11" s="127"/>
      <c r="Z11" s="51">
        <v>0</v>
      </c>
      <c r="AB11" s="51">
        <v>1</v>
      </c>
      <c r="AC11" s="127" t="s">
        <v>6</v>
      </c>
      <c r="AD11" s="127"/>
      <c r="AE11" s="127"/>
    </row>
    <row r="12" spans="1:31" x14ac:dyDescent="0.25">
      <c r="A12" s="18" t="s">
        <v>20</v>
      </c>
      <c r="B12" s="16">
        <v>0</v>
      </c>
      <c r="C12" s="16" t="s">
        <v>53</v>
      </c>
      <c r="D12" s="16">
        <v>1</v>
      </c>
      <c r="E12" s="19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8"/>
      <c r="R12" s="198"/>
      <c r="S12" s="198"/>
      <c r="T12" s="198"/>
      <c r="U12" s="198"/>
      <c r="W12" s="127" t="s">
        <v>22</v>
      </c>
      <c r="X12" s="127"/>
      <c r="Y12" s="127"/>
      <c r="Z12" s="51">
        <v>0</v>
      </c>
      <c r="AB12" s="51">
        <v>1</v>
      </c>
      <c r="AC12" s="127" t="s">
        <v>56</v>
      </c>
      <c r="AD12" s="127"/>
      <c r="AE12" s="127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8"/>
      <c r="R13" s="198"/>
      <c r="S13" s="198"/>
      <c r="T13" s="198"/>
      <c r="U13" s="198"/>
      <c r="W13" s="127" t="s">
        <v>12</v>
      </c>
      <c r="X13" s="127"/>
      <c r="Y13" s="127"/>
      <c r="Z13" s="51">
        <v>2</v>
      </c>
      <c r="AB13" s="51">
        <v>1</v>
      </c>
      <c r="AC13" s="127" t="s">
        <v>23</v>
      </c>
      <c r="AD13" s="127"/>
      <c r="AE13" s="127"/>
    </row>
    <row r="14" spans="1:31" x14ac:dyDescent="0.25">
      <c r="A14" s="18" t="s">
        <v>34</v>
      </c>
      <c r="B14" s="16">
        <v>0</v>
      </c>
      <c r="C14" s="16" t="s">
        <v>53</v>
      </c>
      <c r="D14" s="16">
        <v>1</v>
      </c>
      <c r="E14" s="19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8"/>
      <c r="R14" s="198"/>
      <c r="S14" s="198"/>
      <c r="T14" s="198"/>
      <c r="U14" s="198"/>
      <c r="W14" s="127"/>
      <c r="X14" s="127"/>
      <c r="Y14" s="127"/>
      <c r="AC14" s="127"/>
      <c r="AD14" s="127"/>
      <c r="AE14" s="127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198"/>
      <c r="R15" s="198"/>
      <c r="S15" s="198"/>
      <c r="T15" s="198"/>
      <c r="U15" s="198"/>
      <c r="W15" s="127"/>
      <c r="X15" s="127"/>
      <c r="Y15" s="127"/>
      <c r="AC15" s="127"/>
      <c r="AD15" s="127"/>
      <c r="AE15" s="127"/>
    </row>
    <row r="16" spans="1:31" x14ac:dyDescent="0.25">
      <c r="A16" s="18" t="s">
        <v>5</v>
      </c>
      <c r="B16" s="16">
        <v>0</v>
      </c>
      <c r="C16" s="16" t="s">
        <v>53</v>
      </c>
      <c r="D16" s="16">
        <v>1</v>
      </c>
      <c r="E16" s="19" t="s">
        <v>55</v>
      </c>
      <c r="H16" s="16">
        <v>10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7"/>
      <c r="X16" s="127"/>
      <c r="Y16" s="127"/>
      <c r="AC16" s="127"/>
      <c r="AD16" s="127"/>
      <c r="AE16" s="127"/>
    </row>
    <row r="17" spans="1:31" x14ac:dyDescent="0.25">
      <c r="A17" s="18" t="s">
        <v>24</v>
      </c>
      <c r="B17" s="16">
        <v>0</v>
      </c>
      <c r="C17" s="16" t="s">
        <v>53</v>
      </c>
      <c r="D17" s="16">
        <v>1</v>
      </c>
      <c r="E17" s="19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7"/>
      <c r="X17" s="127"/>
      <c r="Y17" s="127"/>
      <c r="AC17" s="127"/>
      <c r="AD17" s="127"/>
      <c r="AE17" s="127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7"/>
      <c r="X18" s="127"/>
      <c r="Y18" s="127"/>
      <c r="AC18" s="127"/>
      <c r="AD18" s="127"/>
      <c r="AE18" s="127"/>
    </row>
    <row r="19" spans="1:31" x14ac:dyDescent="0.25">
      <c r="A19" s="18" t="s">
        <v>5</v>
      </c>
      <c r="B19" s="16">
        <v>0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4</v>
      </c>
      <c r="R19" s="22">
        <v>8</v>
      </c>
      <c r="S19" s="22">
        <v>13</v>
      </c>
      <c r="T19" s="22">
        <v>17</v>
      </c>
      <c r="U19" s="22">
        <v>21</v>
      </c>
      <c r="W19" s="127"/>
      <c r="X19" s="127"/>
      <c r="Y19" s="127"/>
      <c r="AC19" s="127"/>
      <c r="AD19" s="127"/>
      <c r="AE19" s="127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7"/>
      <c r="X20" s="127"/>
      <c r="Y20" s="127"/>
      <c r="AC20" s="127"/>
      <c r="AD20" s="127"/>
      <c r="AE20" s="127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202" t="s">
        <v>42</v>
      </c>
      <c r="R21" s="202"/>
      <c r="S21" s="199" t="s">
        <v>15</v>
      </c>
      <c r="T21" s="199"/>
      <c r="U21" s="199" t="s">
        <v>6</v>
      </c>
      <c r="V21" s="199"/>
      <c r="W21" s="127"/>
      <c r="X21" s="127"/>
      <c r="Y21" s="127"/>
      <c r="AC21" s="127"/>
      <c r="AD21" s="127"/>
      <c r="AE21" s="127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202" t="s">
        <v>41</v>
      </c>
      <c r="R22" s="202"/>
      <c r="S22" s="203" t="s">
        <v>126</v>
      </c>
      <c r="T22" s="203"/>
      <c r="U22" s="203" t="s">
        <v>131</v>
      </c>
      <c r="V22" s="203"/>
      <c r="W22" s="127"/>
      <c r="X22" s="127"/>
      <c r="Y22" s="127"/>
      <c r="AC22" s="127"/>
      <c r="AD22" s="127"/>
      <c r="AE22" s="127"/>
    </row>
    <row r="23" spans="1:31" x14ac:dyDescent="0.25">
      <c r="A23" s="18" t="s">
        <v>13</v>
      </c>
      <c r="B23" s="16">
        <v>0</v>
      </c>
      <c r="C23" s="16" t="s">
        <v>53</v>
      </c>
      <c r="D23" s="16">
        <v>1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7"/>
      <c r="X23" s="127"/>
      <c r="Y23" s="127"/>
      <c r="AC23" s="127"/>
      <c r="AD23" s="127"/>
      <c r="AE23" s="127"/>
    </row>
    <row r="24" spans="1:31" x14ac:dyDescent="0.25">
      <c r="A24" s="18" t="s">
        <v>17</v>
      </c>
      <c r="B24" s="16">
        <v>0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7"/>
      <c r="X24" s="127"/>
      <c r="Y24" s="127"/>
      <c r="AC24" s="127"/>
      <c r="AD24" s="127"/>
      <c r="AE24" s="127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7"/>
      <c r="X25" s="127"/>
      <c r="Y25" s="127"/>
      <c r="AC25" s="127"/>
      <c r="AD25" s="127"/>
      <c r="AE25" s="127"/>
    </row>
    <row r="26" spans="1:31" x14ac:dyDescent="0.25">
      <c r="A26" s="18" t="s">
        <v>17</v>
      </c>
      <c r="B26" s="16">
        <v>0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7"/>
      <c r="X26" s="127"/>
      <c r="Y26" s="127"/>
      <c r="AC26" s="127"/>
      <c r="AD26" s="127"/>
      <c r="AE26" s="127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7"/>
      <c r="X27" s="127"/>
      <c r="Y27" s="127"/>
      <c r="AC27" s="127"/>
      <c r="AD27" s="127"/>
      <c r="AE27" s="127"/>
    </row>
    <row r="28" spans="1:31" x14ac:dyDescent="0.25">
      <c r="A28" s="18" t="s">
        <v>6</v>
      </c>
      <c r="B28" s="16">
        <v>0</v>
      </c>
      <c r="C28" s="16" t="s">
        <v>53</v>
      </c>
      <c r="D28" s="16">
        <v>1</v>
      </c>
      <c r="E28" s="19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7"/>
      <c r="X28" s="127"/>
      <c r="Y28" s="127"/>
      <c r="AC28" s="127"/>
      <c r="AD28" s="127"/>
      <c r="AE28" s="127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7"/>
      <c r="X29" s="127"/>
      <c r="Y29" s="127"/>
      <c r="AC29" s="127"/>
      <c r="AD29" s="127"/>
      <c r="AE29" s="127"/>
    </row>
    <row r="30" spans="1:31" x14ac:dyDescent="0.25">
      <c r="A30" s="18" t="s">
        <v>4</v>
      </c>
      <c r="B30" s="16">
        <v>0</v>
      </c>
      <c r="C30" s="16" t="s">
        <v>53</v>
      </c>
      <c r="D30" s="16">
        <v>1</v>
      </c>
      <c r="E30" s="19" t="s">
        <v>22</v>
      </c>
      <c r="H30" s="16">
        <v>10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7"/>
      <c r="X30" s="127"/>
      <c r="Y30" s="127"/>
      <c r="AC30" s="127"/>
      <c r="AD30" s="127"/>
      <c r="AE30" s="127"/>
    </row>
    <row r="31" spans="1:31" x14ac:dyDescent="0.25">
      <c r="A31" s="18" t="s">
        <v>15</v>
      </c>
      <c r="B31" s="16">
        <v>0</v>
      </c>
      <c r="C31" s="16" t="s">
        <v>53</v>
      </c>
      <c r="D31" s="16">
        <v>1</v>
      </c>
      <c r="E31" s="19" t="s">
        <v>56</v>
      </c>
      <c r="H31" s="16">
        <v>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0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1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1</v>
      </c>
      <c r="E38" s="19" t="s">
        <v>10</v>
      </c>
      <c r="H38" s="16">
        <v>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0</v>
      </c>
      <c r="C39" s="16" t="s">
        <v>53</v>
      </c>
      <c r="D39" s="16">
        <v>1</v>
      </c>
      <c r="E39" s="19" t="s">
        <v>23</v>
      </c>
      <c r="H39" s="16">
        <v>15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0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0</v>
      </c>
      <c r="C42" s="16" t="s">
        <v>53</v>
      </c>
      <c r="D42" s="16">
        <v>1</v>
      </c>
      <c r="E42" s="19" t="s">
        <v>23</v>
      </c>
      <c r="H42" s="16">
        <v>10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0</v>
      </c>
      <c r="C44" s="16" t="s">
        <v>53</v>
      </c>
      <c r="D44" s="16">
        <v>1</v>
      </c>
      <c r="E44" s="19" t="s">
        <v>9</v>
      </c>
      <c r="H44" s="16">
        <v>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0</v>
      </c>
      <c r="C45" s="16" t="s">
        <v>53</v>
      </c>
      <c r="D45" s="16">
        <v>1</v>
      </c>
      <c r="E45" s="19" t="s">
        <v>29</v>
      </c>
      <c r="H45" s="16">
        <v>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0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0</v>
      </c>
      <c r="C47" s="16" t="s">
        <v>53</v>
      </c>
      <c r="D47" s="16">
        <v>1</v>
      </c>
      <c r="E47" s="19" t="s">
        <v>30</v>
      </c>
      <c r="H47" s="16">
        <v>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0</v>
      </c>
      <c r="C51" s="16" t="s">
        <v>53</v>
      </c>
      <c r="D51" s="16">
        <v>1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0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0</v>
      </c>
      <c r="C54" s="16" t="s">
        <v>53</v>
      </c>
      <c r="D54" s="16">
        <v>1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172</v>
      </c>
    </row>
    <row r="58" spans="1:15" x14ac:dyDescent="0.25">
      <c r="A58" s="208" t="str">
        <f>_xlfn.CONCAT(W2,A57)</f>
        <v>Joseir_1 - Oitavas de Final</v>
      </c>
      <c r="B58" s="208"/>
      <c r="C58" s="208"/>
      <c r="D58" s="208"/>
      <c r="E58" s="208"/>
      <c r="K58" s="209" t="s">
        <v>170</v>
      </c>
      <c r="L58" s="209"/>
      <c r="M58" s="209"/>
      <c r="N58" s="209"/>
      <c r="O58" s="209"/>
    </row>
    <row r="59" spans="1:15" x14ac:dyDescent="0.25">
      <c r="A59" s="84" t="s">
        <v>19</v>
      </c>
      <c r="B59" s="85">
        <v>1</v>
      </c>
      <c r="C59" s="85" t="s">
        <v>53</v>
      </c>
      <c r="D59" s="85">
        <v>2</v>
      </c>
      <c r="E59" s="86" t="s">
        <v>165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0</v>
      </c>
      <c r="E60" s="8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1</v>
      </c>
      <c r="C62" s="85" t="s">
        <v>53</v>
      </c>
      <c r="D62" s="85">
        <v>0</v>
      </c>
      <c r="E62" s="86" t="s">
        <v>166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0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2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1</v>
      </c>
      <c r="E66" s="8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173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Joseir_1 - Quartas de Final</v>
      </c>
      <c r="B68" s="208"/>
      <c r="C68" s="208"/>
      <c r="D68" s="208"/>
      <c r="E68" s="208"/>
      <c r="J68" s="17" t="str">
        <f>IF(Tabela!F41="","",Tabela!F41)</f>
        <v/>
      </c>
      <c r="K68" s="209" t="s">
        <v>138</v>
      </c>
      <c r="L68" s="209"/>
      <c r="M68" s="209"/>
      <c r="N68" s="209"/>
      <c r="O68" s="209"/>
    </row>
    <row r="69" spans="1:15" x14ac:dyDescent="0.25">
      <c r="A69" s="91" t="str">
        <f>Tabela!A42</f>
        <v>Holanda</v>
      </c>
      <c r="B69" s="92">
        <v>0</v>
      </c>
      <c r="C69" s="92" t="s">
        <v>53</v>
      </c>
      <c r="D69" s="92">
        <v>1</v>
      </c>
      <c r="E69" s="90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1" t="s">
        <v>12</v>
      </c>
      <c r="B70" s="92">
        <v>0</v>
      </c>
      <c r="C70" s="92" t="s">
        <v>53</v>
      </c>
      <c r="D70" s="92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1" t="s">
        <v>20</v>
      </c>
      <c r="B71" s="92">
        <v>0</v>
      </c>
      <c r="C71" s="92" t="s">
        <v>53</v>
      </c>
      <c r="D71" s="92">
        <v>1</v>
      </c>
      <c r="E71" s="90" t="s">
        <v>17</v>
      </c>
      <c r="H71" s="16">
        <v>10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1" t="str">
        <f>Tabela!A45</f>
        <v>Marrocos</v>
      </c>
      <c r="B72" s="92">
        <v>0</v>
      </c>
      <c r="C72" s="92" t="s">
        <v>53</v>
      </c>
      <c r="D72" s="92">
        <v>1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178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10" t="str">
        <f>_xlfn.CONCAT(W$2,A73)</f>
        <v>Joseir_1 - Semi Final</v>
      </c>
      <c r="B74" s="210"/>
      <c r="C74" s="210"/>
      <c r="D74" s="210"/>
      <c r="E74" s="210"/>
      <c r="J74" s="17" t="str">
        <f>IF(Tabela!F47="","",Tabela!F47)</f>
        <v/>
      </c>
      <c r="K74" s="209" t="s">
        <v>139</v>
      </c>
      <c r="L74" s="209"/>
      <c r="M74" s="209"/>
      <c r="N74" s="209"/>
      <c r="O74" s="209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179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10" t="str">
        <f>_xlfn.CONCAT(W$2,A77)</f>
        <v>Joseir_1 - Terceiro Lugar</v>
      </c>
      <c r="B78" s="210"/>
      <c r="C78" s="210"/>
      <c r="D78" s="210"/>
      <c r="E78" s="210"/>
      <c r="J78" s="17" t="str">
        <f>IF(Tabela!F51="","",Tabela!F51)</f>
        <v/>
      </c>
      <c r="K78" s="209" t="s">
        <v>140</v>
      </c>
      <c r="L78" s="209"/>
      <c r="M78" s="209"/>
      <c r="N78" s="209"/>
      <c r="O78" s="209"/>
    </row>
    <row r="79" spans="1:15" x14ac:dyDescent="0.25">
      <c r="A79" s="18" t="str">
        <f>IF(Tabela!A52="","",Tabela!A52)</f>
        <v>Croácia</v>
      </c>
      <c r="B79" s="76">
        <v>2</v>
      </c>
      <c r="C79" s="76" t="s">
        <v>53</v>
      </c>
      <c r="D79" s="76">
        <v>1</v>
      </c>
      <c r="E79" s="19" t="str">
        <f>IF(Tabela!E52="","",Tabela!E52)</f>
        <v>Marrocos</v>
      </c>
      <c r="H79" s="16">
        <v>25</v>
      </c>
      <c r="J79" s="17" t="str">
        <f>IF(Tabela!F52="","",Tabela!F52)</f>
        <v/>
      </c>
      <c r="K79" s="76" t="str">
        <f>IF(Tabela!A52="","",Tabela!A52)</f>
        <v>Croácia</v>
      </c>
      <c r="L79" s="76">
        <f>IF(Tabela!B52="","",Tabela!B52)</f>
        <v>2</v>
      </c>
      <c r="M79" s="76" t="str">
        <f>IF(Tabela!C52="","",Tabela!C52)</f>
        <v>X</v>
      </c>
      <c r="N79" s="76">
        <f>IF(Tabela!D52="","",Tabela!D52)</f>
        <v>1</v>
      </c>
      <c r="O79" s="76" t="str">
        <f>IF(Tabela!E52="","",Tabela!E52)</f>
        <v>Marrocos</v>
      </c>
    </row>
    <row r="80" spans="1:15" x14ac:dyDescent="0.25">
      <c r="A80" s="73" t="s">
        <v>180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10" t="str">
        <f>_xlfn.CONCAT(W$2,A80)</f>
        <v>Joseir_1 - Final</v>
      </c>
      <c r="B81" s="210"/>
      <c r="C81" s="210"/>
      <c r="D81" s="210"/>
      <c r="E81" s="210"/>
      <c r="J81" s="17" t="str">
        <f>IF(Tabela!F54="","",Tabela!F54)</f>
        <v/>
      </c>
      <c r="K81" s="209" t="s">
        <v>141</v>
      </c>
      <c r="L81" s="209"/>
      <c r="M81" s="209"/>
      <c r="N81" s="209"/>
      <c r="O81" s="209"/>
    </row>
    <row r="82" spans="1:15" x14ac:dyDescent="0.25">
      <c r="A82" s="18" t="str">
        <f>IF(Tabela!A55="","",Tabela!A55)</f>
        <v>Argentina</v>
      </c>
      <c r="B82" s="76">
        <v>1</v>
      </c>
      <c r="C82" s="76" t="s">
        <v>53</v>
      </c>
      <c r="D82" s="76">
        <v>0</v>
      </c>
      <c r="E82" s="19" t="str">
        <f>IF(Tabela!E55="","",Tabela!E55)</f>
        <v>França</v>
      </c>
      <c r="H82" s="16">
        <v>0</v>
      </c>
      <c r="J82" s="17" t="str">
        <f>IF(Tabela!F55="","",Tabela!F55)</f>
        <v/>
      </c>
      <c r="K82" s="76" t="str">
        <f>IF(Tabela!A55="","",Tabela!A55)</f>
        <v>Argentina</v>
      </c>
      <c r="L82" s="76">
        <f>IF(Tabela!B55="","",Tabela!B55)</f>
        <v>3</v>
      </c>
      <c r="M82" s="76" t="str">
        <f>IF(Tabela!C55="","",Tabela!C55)</f>
        <v>X</v>
      </c>
      <c r="N82" s="76">
        <f>IF(Tabela!D55="","",Tabela!D55)</f>
        <v>3</v>
      </c>
      <c r="O82" s="76" t="str">
        <f>IF(Tabela!E55="","",Tabela!E55)</f>
        <v>França</v>
      </c>
    </row>
    <row r="84" spans="1:15" x14ac:dyDescent="0.25">
      <c r="E84" s="19" t="s">
        <v>174</v>
      </c>
      <c r="H84" s="16">
        <v>0</v>
      </c>
    </row>
    <row r="85" spans="1:15" x14ac:dyDescent="0.25">
      <c r="E85" s="19" t="s">
        <v>125</v>
      </c>
      <c r="H85" s="16">
        <v>0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2" t="s">
        <v>43</v>
      </c>
      <c r="B2" s="212"/>
      <c r="C2" s="212"/>
      <c r="D2" s="212"/>
      <c r="E2" s="212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0" t="s">
        <v>83</v>
      </c>
      <c r="X2" s="200"/>
      <c r="Y2" s="200"/>
      <c r="Z2" s="200"/>
      <c r="AA2" s="200"/>
      <c r="AB2" s="200"/>
      <c r="AC2" s="200"/>
      <c r="AD2" s="200"/>
      <c r="AE2" s="200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0"/>
      <c r="X3" s="200"/>
      <c r="Y3" s="200"/>
      <c r="Z3" s="200"/>
      <c r="AA3" s="200"/>
      <c r="AB3" s="200"/>
      <c r="AC3" s="200"/>
      <c r="AD3" s="200"/>
      <c r="AE3" s="200"/>
    </row>
    <row r="4" spans="1:31" x14ac:dyDescent="0.25">
      <c r="A4" s="18" t="s">
        <v>11</v>
      </c>
      <c r="B4" s="16">
        <v>1</v>
      </c>
      <c r="C4" s="16" t="s">
        <v>53</v>
      </c>
      <c r="D4" s="16">
        <v>0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0"/>
      <c r="X4" s="200"/>
      <c r="Y4" s="200"/>
      <c r="Z4" s="200"/>
      <c r="AA4" s="200"/>
      <c r="AB4" s="200"/>
      <c r="AC4" s="200"/>
      <c r="AD4" s="200"/>
      <c r="AE4" s="200"/>
    </row>
    <row r="5" spans="1:31" x14ac:dyDescent="0.25">
      <c r="A5" s="18" t="s">
        <v>19</v>
      </c>
      <c r="B5" s="16">
        <v>1</v>
      </c>
      <c r="C5" s="16" t="s">
        <v>53</v>
      </c>
      <c r="D5" s="16">
        <v>0</v>
      </c>
      <c r="E5" s="19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0"/>
      <c r="X5" s="200"/>
      <c r="Y5" s="200"/>
      <c r="Z5" s="200"/>
      <c r="AA5" s="200"/>
      <c r="AB5" s="200"/>
      <c r="AC5" s="200"/>
      <c r="AD5" s="200"/>
      <c r="AE5" s="200"/>
    </row>
    <row r="6" spans="1:31" x14ac:dyDescent="0.25">
      <c r="A6" s="18" t="s">
        <v>19</v>
      </c>
      <c r="B6" s="16">
        <v>1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0"/>
      <c r="X6" s="200"/>
      <c r="Y6" s="200"/>
      <c r="Z6" s="200"/>
      <c r="AA6" s="200"/>
      <c r="AB6" s="200"/>
      <c r="AC6" s="200"/>
      <c r="AD6" s="200"/>
      <c r="AE6" s="200"/>
    </row>
    <row r="7" spans="1:31" x14ac:dyDescent="0.25">
      <c r="A7" s="18" t="s">
        <v>14</v>
      </c>
      <c r="B7" s="16">
        <v>1</v>
      </c>
      <c r="C7" s="16" t="s">
        <v>53</v>
      </c>
      <c r="D7" s="16">
        <v>0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7" t="s">
        <v>66</v>
      </c>
      <c r="R9" s="197"/>
      <c r="S9" s="197"/>
      <c r="T9" s="197"/>
      <c r="U9" s="197"/>
      <c r="W9" s="127" t="s">
        <v>123</v>
      </c>
      <c r="X9" s="127"/>
      <c r="Y9" s="127"/>
      <c r="Z9" s="127"/>
      <c r="AA9" s="127"/>
      <c r="AB9" s="127"/>
      <c r="AC9" s="127"/>
      <c r="AD9" s="127"/>
      <c r="AE9" s="127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7"/>
      <c r="R10" s="197"/>
      <c r="S10" s="197"/>
      <c r="T10" s="197"/>
      <c r="U10" s="197"/>
      <c r="W10" s="127" t="s">
        <v>31</v>
      </c>
      <c r="X10" s="127"/>
      <c r="Y10" s="127"/>
      <c r="Z10" s="51">
        <v>1</v>
      </c>
      <c r="AB10" s="51">
        <v>0</v>
      </c>
      <c r="AC10" s="127" t="s">
        <v>17</v>
      </c>
      <c r="AD10" s="127"/>
      <c r="AE10" s="127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8">
        <f>SUM(H2:H85)</f>
        <v>545</v>
      </c>
      <c r="R11" s="198"/>
      <c r="S11" s="198"/>
      <c r="T11" s="198"/>
      <c r="U11" s="198"/>
      <c r="W11" s="127" t="s">
        <v>6</v>
      </c>
      <c r="X11" s="127"/>
      <c r="Y11" s="127"/>
      <c r="Z11" s="51">
        <v>1</v>
      </c>
      <c r="AB11" s="51">
        <v>0</v>
      </c>
      <c r="AC11" s="127" t="s">
        <v>13</v>
      </c>
      <c r="AD11" s="127"/>
      <c r="AE11" s="127"/>
    </row>
    <row r="12" spans="1:31" x14ac:dyDescent="0.25">
      <c r="A12" s="18" t="s">
        <v>20</v>
      </c>
      <c r="B12" s="16">
        <v>1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8"/>
      <c r="R12" s="198"/>
      <c r="S12" s="198"/>
      <c r="T12" s="198"/>
      <c r="U12" s="198"/>
      <c r="W12" s="127" t="s">
        <v>7</v>
      </c>
      <c r="X12" s="127"/>
      <c r="Y12" s="127"/>
      <c r="Z12" s="51">
        <v>1</v>
      </c>
      <c r="AB12" s="51">
        <v>0</v>
      </c>
      <c r="AC12" s="127" t="s">
        <v>10</v>
      </c>
      <c r="AD12" s="127"/>
      <c r="AE12" s="127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8"/>
      <c r="R13" s="198"/>
      <c r="S13" s="198"/>
      <c r="T13" s="198"/>
      <c r="U13" s="198"/>
      <c r="W13" s="127" t="s">
        <v>30</v>
      </c>
      <c r="X13" s="127"/>
      <c r="Y13" s="127"/>
      <c r="Z13" s="51">
        <v>1</v>
      </c>
      <c r="AB13" s="51">
        <v>0</v>
      </c>
      <c r="AC13" s="127" t="s">
        <v>9</v>
      </c>
      <c r="AD13" s="127"/>
      <c r="AE13" s="127"/>
    </row>
    <row r="14" spans="1:31" x14ac:dyDescent="0.25">
      <c r="A14" s="18" t="s">
        <v>34</v>
      </c>
      <c r="B14" s="16">
        <v>1</v>
      </c>
      <c r="C14" s="16" t="s">
        <v>53</v>
      </c>
      <c r="D14" s="16">
        <v>0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8"/>
      <c r="R14" s="198"/>
      <c r="S14" s="198"/>
      <c r="T14" s="198"/>
      <c r="U14" s="198"/>
      <c r="W14" s="127" t="s">
        <v>8</v>
      </c>
      <c r="X14" s="127"/>
      <c r="Y14" s="127"/>
      <c r="Z14" s="51">
        <v>1</v>
      </c>
      <c r="AB14" s="51">
        <v>0</v>
      </c>
      <c r="AC14" s="127" t="s">
        <v>30</v>
      </c>
      <c r="AD14" s="127"/>
      <c r="AE14" s="127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198"/>
      <c r="R15" s="198"/>
      <c r="S15" s="198"/>
      <c r="T15" s="198"/>
      <c r="U15" s="198"/>
      <c r="W15" s="127" t="s">
        <v>9</v>
      </c>
      <c r="X15" s="127"/>
      <c r="Y15" s="127"/>
      <c r="Z15" s="51">
        <v>1</v>
      </c>
      <c r="AB15" s="51">
        <v>0</v>
      </c>
      <c r="AC15" s="127" t="s">
        <v>8</v>
      </c>
      <c r="AD15" s="127"/>
      <c r="AE15" s="127"/>
    </row>
    <row r="16" spans="1:31" x14ac:dyDescent="0.25">
      <c r="A16" s="18" t="s">
        <v>5</v>
      </c>
      <c r="B16" s="16">
        <v>1</v>
      </c>
      <c r="C16" s="16" t="s">
        <v>53</v>
      </c>
      <c r="D16" s="16">
        <v>0</v>
      </c>
      <c r="E16" s="19" t="s">
        <v>55</v>
      </c>
      <c r="H16" s="16">
        <v>5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7" t="s">
        <v>12</v>
      </c>
      <c r="X16" s="127"/>
      <c r="Y16" s="127"/>
      <c r="Z16" s="51">
        <v>1</v>
      </c>
      <c r="AB16" s="51">
        <v>1</v>
      </c>
      <c r="AC16" s="127" t="s">
        <v>8</v>
      </c>
      <c r="AD16" s="127"/>
      <c r="AE16" s="127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7"/>
      <c r="X17" s="127"/>
      <c r="Y17" s="127"/>
      <c r="AC17" s="127"/>
      <c r="AD17" s="127"/>
      <c r="AE17" s="127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7"/>
      <c r="X18" s="127"/>
      <c r="Y18" s="127"/>
      <c r="AC18" s="127"/>
      <c r="AD18" s="127"/>
      <c r="AE18" s="127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7</v>
      </c>
      <c r="R19" s="22">
        <v>10</v>
      </c>
      <c r="S19" s="22">
        <v>12</v>
      </c>
      <c r="T19" s="22">
        <v>20</v>
      </c>
      <c r="U19" s="22">
        <v>14</v>
      </c>
      <c r="W19" s="127"/>
      <c r="X19" s="127"/>
      <c r="Y19" s="127"/>
      <c r="AC19" s="127"/>
      <c r="AD19" s="127"/>
      <c r="AE19" s="127"/>
    </row>
    <row r="20" spans="1:31" x14ac:dyDescent="0.25">
      <c r="A20" s="18" t="s">
        <v>26</v>
      </c>
      <c r="B20" s="16">
        <v>1</v>
      </c>
      <c r="C20" s="16" t="s">
        <v>53</v>
      </c>
      <c r="D20" s="16">
        <v>0</v>
      </c>
      <c r="E20" s="19" t="s">
        <v>5</v>
      </c>
      <c r="H20" s="16">
        <v>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7"/>
      <c r="X20" s="127"/>
      <c r="Y20" s="127"/>
      <c r="AC20" s="127"/>
      <c r="AD20" s="127"/>
      <c r="AE20" s="127"/>
    </row>
    <row r="21" spans="1:31" x14ac:dyDescent="0.25">
      <c r="A21" s="18" t="s">
        <v>55</v>
      </c>
      <c r="B21" s="16">
        <v>1</v>
      </c>
      <c r="C21" s="16" t="s">
        <v>53</v>
      </c>
      <c r="D21" s="16">
        <v>0</v>
      </c>
      <c r="E21" s="19" t="s">
        <v>24</v>
      </c>
      <c r="H21" s="16">
        <v>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202" t="s">
        <v>42</v>
      </c>
      <c r="R21" s="202"/>
      <c r="S21" s="199" t="s">
        <v>8</v>
      </c>
      <c r="T21" s="199"/>
      <c r="U21" s="199" t="s">
        <v>19</v>
      </c>
      <c r="V21" s="199"/>
      <c r="W21" s="127"/>
      <c r="X21" s="127"/>
      <c r="Y21" s="127"/>
      <c r="AC21" s="127"/>
      <c r="AD21" s="127"/>
      <c r="AE21" s="127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202" t="s">
        <v>41</v>
      </c>
      <c r="R22" s="202"/>
      <c r="S22" s="203" t="s">
        <v>132</v>
      </c>
      <c r="T22" s="203"/>
      <c r="U22" s="203" t="s">
        <v>129</v>
      </c>
      <c r="V22" s="203"/>
      <c r="W22" s="127"/>
      <c r="X22" s="127"/>
      <c r="Y22" s="127"/>
      <c r="AC22" s="127"/>
      <c r="AD22" s="127"/>
      <c r="AE22" s="127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7"/>
      <c r="X23" s="127"/>
      <c r="Y23" s="127"/>
      <c r="AC23" s="127"/>
      <c r="AD23" s="127"/>
      <c r="AE23" s="127"/>
    </row>
    <row r="24" spans="1:31" x14ac:dyDescent="0.25">
      <c r="A24" s="18" t="s">
        <v>17</v>
      </c>
      <c r="B24" s="16">
        <v>1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7"/>
      <c r="X24" s="127"/>
      <c r="Y24" s="127"/>
      <c r="AC24" s="127"/>
      <c r="AD24" s="127"/>
      <c r="AE24" s="127"/>
    </row>
    <row r="25" spans="1:31" x14ac:dyDescent="0.25">
      <c r="A25" s="18" t="s">
        <v>31</v>
      </c>
      <c r="B25" s="16">
        <v>1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7"/>
      <c r="X25" s="127"/>
      <c r="Y25" s="127"/>
      <c r="AC25" s="127"/>
      <c r="AD25" s="127"/>
      <c r="AE25" s="127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7"/>
      <c r="X26" s="127"/>
      <c r="Y26" s="127"/>
      <c r="AC26" s="127"/>
      <c r="AD26" s="127"/>
      <c r="AE26" s="127"/>
    </row>
    <row r="27" spans="1:31" x14ac:dyDescent="0.25">
      <c r="A27" s="18" t="s">
        <v>31</v>
      </c>
      <c r="B27" s="16">
        <v>1</v>
      </c>
      <c r="C27" s="16" t="s">
        <v>53</v>
      </c>
      <c r="D27" s="16">
        <v>0</v>
      </c>
      <c r="E27" s="19" t="s">
        <v>17</v>
      </c>
      <c r="H27" s="16">
        <v>25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7"/>
      <c r="X27" s="127"/>
      <c r="Y27" s="127"/>
      <c r="AC27" s="127"/>
      <c r="AD27" s="127"/>
      <c r="AE27" s="127"/>
    </row>
    <row r="28" spans="1:31" x14ac:dyDescent="0.25">
      <c r="A28" s="18" t="s">
        <v>6</v>
      </c>
      <c r="B28" s="16">
        <v>1</v>
      </c>
      <c r="C28" s="16" t="s">
        <v>53</v>
      </c>
      <c r="D28" s="16">
        <v>0</v>
      </c>
      <c r="E28" s="19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7"/>
      <c r="X28" s="127"/>
      <c r="Y28" s="127"/>
      <c r="AC28" s="127"/>
      <c r="AD28" s="127"/>
      <c r="AE28" s="127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7"/>
      <c r="X29" s="127"/>
      <c r="Y29" s="127"/>
      <c r="AC29" s="127"/>
      <c r="AD29" s="127"/>
      <c r="AE29" s="127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7"/>
      <c r="X30" s="127"/>
      <c r="Y30" s="127"/>
      <c r="AC30" s="127"/>
      <c r="AD30" s="127"/>
      <c r="AE30" s="127"/>
    </row>
    <row r="31" spans="1:31" x14ac:dyDescent="0.25">
      <c r="A31" s="18" t="s">
        <v>15</v>
      </c>
      <c r="B31" s="16">
        <v>1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0</v>
      </c>
      <c r="E33" s="19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0</v>
      </c>
      <c r="E34" s="19" t="s">
        <v>15</v>
      </c>
      <c r="H34" s="16">
        <v>10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0</v>
      </c>
      <c r="E35" s="19" t="s">
        <v>4</v>
      </c>
      <c r="H35" s="16">
        <v>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1</v>
      </c>
      <c r="C37" s="16" t="s">
        <v>53</v>
      </c>
      <c r="D37" s="16">
        <v>0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0</v>
      </c>
      <c r="E41" s="19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1</v>
      </c>
      <c r="C47" s="16" t="s">
        <v>53</v>
      </c>
      <c r="D47" s="16">
        <v>0</v>
      </c>
      <c r="E47" s="19" t="s">
        <v>30</v>
      </c>
      <c r="H47" s="16">
        <v>25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0</v>
      </c>
      <c r="E48" s="19" t="s">
        <v>8</v>
      </c>
      <c r="H48" s="16">
        <v>25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0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0</v>
      </c>
      <c r="E55" s="19" t="s">
        <v>27</v>
      </c>
      <c r="H55" s="16">
        <v>10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172</v>
      </c>
    </row>
    <row r="58" spans="1:15" x14ac:dyDescent="0.25">
      <c r="A58" s="208" t="str">
        <f>_xlfn.CONCAT(W2,A57)</f>
        <v>Joseir_2 - Oitavas de Final</v>
      </c>
      <c r="B58" s="208"/>
      <c r="C58" s="208"/>
      <c r="D58" s="208"/>
      <c r="E58" s="208"/>
      <c r="K58" s="205" t="s">
        <v>170</v>
      </c>
      <c r="L58" s="205"/>
      <c r="M58" s="205"/>
      <c r="N58" s="205"/>
      <c r="O58" s="205"/>
    </row>
    <row r="59" spans="1:15" x14ac:dyDescent="0.25">
      <c r="A59" s="84" t="s">
        <v>19</v>
      </c>
      <c r="B59" s="85">
        <v>2</v>
      </c>
      <c r="C59" s="85" t="s">
        <v>53</v>
      </c>
      <c r="D59" s="85">
        <v>1</v>
      </c>
      <c r="E59" s="86" t="s">
        <v>165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0</v>
      </c>
      <c r="E60" s="8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166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1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173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Joseir_2 - Quartas de Final</v>
      </c>
      <c r="B68" s="208"/>
      <c r="C68" s="208"/>
      <c r="D68" s="208"/>
      <c r="E68" s="208"/>
      <c r="J68" s="17" t="str">
        <f>IF(Tabela!F41="","",Tabela!F41)</f>
        <v/>
      </c>
      <c r="K68" s="205" t="s">
        <v>138</v>
      </c>
      <c r="L68" s="205"/>
      <c r="M68" s="205"/>
      <c r="N68" s="205"/>
      <c r="O68" s="205"/>
    </row>
    <row r="69" spans="1:15" x14ac:dyDescent="0.25">
      <c r="A69" s="91" t="str">
        <f>Tabela!A42</f>
        <v>Holanda</v>
      </c>
      <c r="B69" s="92">
        <v>1</v>
      </c>
      <c r="C69" s="92" t="s">
        <v>53</v>
      </c>
      <c r="D69" s="92">
        <v>1</v>
      </c>
      <c r="E69" s="90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1" t="s">
        <v>12</v>
      </c>
      <c r="B70" s="92">
        <v>1</v>
      </c>
      <c r="C70" s="92" t="s">
        <v>53</v>
      </c>
      <c r="D70" s="92">
        <v>1</v>
      </c>
      <c r="E70" s="90" t="s">
        <v>8</v>
      </c>
      <c r="H70" s="16">
        <v>25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1" t="s">
        <v>20</v>
      </c>
      <c r="B71" s="92">
        <v>1</v>
      </c>
      <c r="C71" s="92" t="s">
        <v>53</v>
      </c>
      <c r="D71" s="92">
        <v>1</v>
      </c>
      <c r="E71" s="90" t="s">
        <v>17</v>
      </c>
      <c r="H71" s="16">
        <v>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1" t="str">
        <f>Tabela!A45</f>
        <v>Marrocos</v>
      </c>
      <c r="B72" s="92">
        <v>1</v>
      </c>
      <c r="C72" s="92" t="s">
        <v>53</v>
      </c>
      <c r="D72" s="92">
        <v>1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178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6" t="str">
        <f>_xlfn.CONCAT(W$2,A73)</f>
        <v>Joseir_2 - Semi Final</v>
      </c>
      <c r="B74" s="206"/>
      <c r="C74" s="206"/>
      <c r="D74" s="206"/>
      <c r="E74" s="206"/>
      <c r="J74" s="17" t="str">
        <f>IF(Tabela!F47="","",Tabela!F47)</f>
        <v/>
      </c>
      <c r="K74" s="205" t="s">
        <v>139</v>
      </c>
      <c r="L74" s="205"/>
      <c r="M74" s="205"/>
      <c r="N74" s="205"/>
      <c r="O74" s="205"/>
    </row>
    <row r="75" spans="1:15" x14ac:dyDescent="0.25">
      <c r="A75" s="18" t="str">
        <f>IF(Tabela!A48="","",Tabela!A48)</f>
        <v>Argentina</v>
      </c>
      <c r="B75" s="76">
        <v>0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0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0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179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6" t="str">
        <f>_xlfn.CONCAT(W$2,A77)</f>
        <v>Joseir_2 - Terceiro Lugar</v>
      </c>
      <c r="B78" s="206"/>
      <c r="C78" s="206"/>
      <c r="D78" s="206"/>
      <c r="E78" s="206"/>
      <c r="J78" s="17" t="str">
        <f>IF(Tabela!F51="","",Tabela!F51)</f>
        <v/>
      </c>
      <c r="K78" s="205" t="s">
        <v>140</v>
      </c>
      <c r="L78" s="205"/>
      <c r="M78" s="205"/>
      <c r="N78" s="205"/>
      <c r="O78" s="205"/>
    </row>
    <row r="79" spans="1:15" x14ac:dyDescent="0.25">
      <c r="A79" s="18" t="str">
        <f>IF(Tabela!A52="","",Tabela!A52)</f>
        <v>Croácia</v>
      </c>
      <c r="B79" s="76">
        <v>1</v>
      </c>
      <c r="C79" s="76" t="s">
        <v>53</v>
      </c>
      <c r="D79" s="76">
        <v>1</v>
      </c>
      <c r="E79" s="19" t="str">
        <f>IF(Tabela!E52="","",Tabela!E52)</f>
        <v>Marrocos</v>
      </c>
      <c r="H79" s="16">
        <v>5</v>
      </c>
      <c r="J79" s="17" t="str">
        <f>IF(Tabela!F52="","",Tabela!F52)</f>
        <v/>
      </c>
      <c r="K79" s="76" t="str">
        <f>IF(Tabela!A52="","",Tabela!A52)</f>
        <v>Croácia</v>
      </c>
      <c r="L79" s="76">
        <f>IF(Tabela!B52="","",Tabela!B52)</f>
        <v>2</v>
      </c>
      <c r="M79" s="76" t="str">
        <f>IF(Tabela!C52="","",Tabela!C52)</f>
        <v>X</v>
      </c>
      <c r="N79" s="76">
        <f>IF(Tabela!D52="","",Tabela!D52)</f>
        <v>1</v>
      </c>
      <c r="O79" s="76" t="str">
        <f>IF(Tabela!E52="","",Tabela!E52)</f>
        <v>Marrocos</v>
      </c>
    </row>
    <row r="80" spans="1:15" x14ac:dyDescent="0.25">
      <c r="A80" s="73" t="s">
        <v>180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6" t="str">
        <f>_xlfn.CONCAT(W$2,A80)</f>
        <v>Joseir_2 - Final</v>
      </c>
      <c r="B81" s="206"/>
      <c r="C81" s="206"/>
      <c r="D81" s="206"/>
      <c r="E81" s="206"/>
      <c r="J81" s="17" t="str">
        <f>IF(Tabela!F54="","",Tabela!F54)</f>
        <v/>
      </c>
      <c r="K81" s="205" t="s">
        <v>141</v>
      </c>
      <c r="L81" s="205"/>
      <c r="M81" s="205"/>
      <c r="N81" s="205"/>
      <c r="O81" s="205"/>
    </row>
    <row r="82" spans="1:15" x14ac:dyDescent="0.25">
      <c r="A82" s="18" t="str">
        <f>IF(Tabela!A55="","",Tabela!A55)</f>
        <v>Argentina</v>
      </c>
      <c r="B82" s="76">
        <v>1</v>
      </c>
      <c r="C82" s="76" t="s">
        <v>53</v>
      </c>
      <c r="D82" s="76">
        <v>1</v>
      </c>
      <c r="E82" s="19" t="str">
        <f>IF(Tabela!E55="","",Tabela!E55)</f>
        <v>França</v>
      </c>
      <c r="H82" s="16">
        <v>10</v>
      </c>
      <c r="J82" s="17" t="str">
        <f>IF(Tabela!F55="","",Tabela!F55)</f>
        <v/>
      </c>
      <c r="K82" s="76" t="str">
        <f>IF(Tabela!A55="","",Tabela!A55)</f>
        <v>Argentina</v>
      </c>
      <c r="L82" s="76">
        <f>IF(Tabela!B55="","",Tabela!B55)</f>
        <v>3</v>
      </c>
      <c r="M82" s="76" t="str">
        <f>IF(Tabela!C55="","",Tabela!C55)</f>
        <v>X</v>
      </c>
      <c r="N82" s="76">
        <f>IF(Tabela!D55="","",Tabela!D55)</f>
        <v>3</v>
      </c>
      <c r="O82" s="76" t="str">
        <f>IF(Tabela!E55="","",Tabela!E55)</f>
        <v>França</v>
      </c>
    </row>
    <row r="84" spans="1:15" x14ac:dyDescent="0.25">
      <c r="E84" s="19" t="s">
        <v>174</v>
      </c>
      <c r="H84" s="16">
        <v>0</v>
      </c>
    </row>
    <row r="85" spans="1:15" x14ac:dyDescent="0.25">
      <c r="E85" s="19" t="s">
        <v>125</v>
      </c>
      <c r="H85" s="16">
        <v>0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7" width="5.7109375" style="17" customWidth="1"/>
    <col min="38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18" t="s">
        <v>11</v>
      </c>
      <c r="B2" s="16">
        <v>1</v>
      </c>
      <c r="C2" s="16" t="s">
        <v>53</v>
      </c>
      <c r="D2" s="16">
        <v>2</v>
      </c>
      <c r="E2" s="19" t="s">
        <v>14</v>
      </c>
      <c r="H2" s="16">
        <v>15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0" t="s">
        <v>84</v>
      </c>
      <c r="X2" s="200"/>
      <c r="Y2" s="200"/>
      <c r="Z2" s="200"/>
      <c r="AA2" s="200"/>
      <c r="AB2" s="200"/>
      <c r="AC2" s="200"/>
      <c r="AD2" s="200"/>
      <c r="AE2" s="200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0"/>
      <c r="X3" s="200"/>
      <c r="Y3" s="200"/>
      <c r="Z3" s="200"/>
      <c r="AA3" s="200"/>
      <c r="AB3" s="200"/>
      <c r="AC3" s="200"/>
      <c r="AD3" s="200"/>
      <c r="AE3" s="200"/>
    </row>
    <row r="4" spans="1:31" x14ac:dyDescent="0.25">
      <c r="A4" s="18" t="s">
        <v>11</v>
      </c>
      <c r="B4" s="16">
        <v>0</v>
      </c>
      <c r="C4" s="16" t="s">
        <v>53</v>
      </c>
      <c r="D4" s="16">
        <v>13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0"/>
      <c r="X4" s="200"/>
      <c r="Y4" s="200"/>
      <c r="Z4" s="200"/>
      <c r="AA4" s="200"/>
      <c r="AB4" s="200"/>
      <c r="AC4" s="200"/>
      <c r="AD4" s="200"/>
      <c r="AE4" s="200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0"/>
      <c r="X5" s="200"/>
      <c r="Y5" s="200"/>
      <c r="Z5" s="200"/>
      <c r="AA5" s="200"/>
      <c r="AB5" s="200"/>
      <c r="AC5" s="200"/>
      <c r="AD5" s="200"/>
      <c r="AE5" s="200"/>
    </row>
    <row r="6" spans="1:31" x14ac:dyDescent="0.25">
      <c r="A6" s="18" t="s">
        <v>19</v>
      </c>
      <c r="B6" s="16">
        <v>1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0"/>
      <c r="X6" s="200"/>
      <c r="Y6" s="200"/>
      <c r="Z6" s="200"/>
      <c r="AA6" s="200"/>
      <c r="AB6" s="200"/>
      <c r="AC6" s="200"/>
      <c r="AD6" s="200"/>
      <c r="AE6" s="200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7" t="s">
        <v>66</v>
      </c>
      <c r="R9" s="197"/>
      <c r="S9" s="197"/>
      <c r="T9" s="197"/>
      <c r="U9" s="197"/>
      <c r="W9" s="127" t="s">
        <v>123</v>
      </c>
      <c r="X9" s="127"/>
      <c r="Y9" s="127"/>
      <c r="Z9" s="127"/>
      <c r="AA9" s="127"/>
      <c r="AB9" s="127"/>
      <c r="AC9" s="127"/>
      <c r="AD9" s="127"/>
      <c r="AE9" s="127"/>
    </row>
    <row r="10" spans="1:31" x14ac:dyDescent="0.25">
      <c r="A10" s="18" t="s">
        <v>54</v>
      </c>
      <c r="B10" s="16">
        <v>3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7"/>
      <c r="R10" s="197"/>
      <c r="S10" s="197"/>
      <c r="T10" s="197"/>
      <c r="U10" s="197"/>
      <c r="W10" s="127" t="s">
        <v>4</v>
      </c>
      <c r="X10" s="127"/>
      <c r="Y10" s="127"/>
      <c r="Z10" s="51">
        <v>1</v>
      </c>
      <c r="AB10" s="51">
        <v>2</v>
      </c>
      <c r="AC10" s="127" t="s">
        <v>22</v>
      </c>
      <c r="AD10" s="127"/>
      <c r="AE10" s="127"/>
    </row>
    <row r="11" spans="1:31" ht="15" customHeight="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8">
        <f>SUM(H2:H85)</f>
        <v>475</v>
      </c>
      <c r="R11" s="198"/>
      <c r="S11" s="198"/>
      <c r="T11" s="198"/>
      <c r="U11" s="198"/>
      <c r="W11" s="127" t="s">
        <v>15</v>
      </c>
      <c r="X11" s="127"/>
      <c r="Y11" s="127"/>
      <c r="Z11" s="51">
        <v>1</v>
      </c>
      <c r="AB11" s="51">
        <v>1</v>
      </c>
      <c r="AC11" s="127" t="s">
        <v>4</v>
      </c>
      <c r="AD11" s="127"/>
      <c r="AE11" s="127"/>
    </row>
    <row r="12" spans="1:31" ht="15" customHeight="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8"/>
      <c r="R12" s="198"/>
      <c r="S12" s="198"/>
      <c r="T12" s="198"/>
      <c r="U12" s="198"/>
      <c r="W12" s="127" t="s">
        <v>22</v>
      </c>
      <c r="X12" s="127"/>
      <c r="Y12" s="127"/>
      <c r="Z12" s="51">
        <v>2</v>
      </c>
      <c r="AB12" s="51">
        <v>1</v>
      </c>
      <c r="AC12" s="127" t="s">
        <v>15</v>
      </c>
      <c r="AD12" s="127"/>
      <c r="AE12" s="127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8"/>
      <c r="R13" s="198"/>
      <c r="S13" s="198"/>
      <c r="T13" s="198"/>
      <c r="U13" s="198"/>
      <c r="W13" s="127" t="s">
        <v>7</v>
      </c>
      <c r="X13" s="127"/>
      <c r="Y13" s="127"/>
      <c r="Z13" s="51">
        <v>1</v>
      </c>
      <c r="AB13" s="51">
        <v>0</v>
      </c>
      <c r="AC13" s="127" t="s">
        <v>10</v>
      </c>
      <c r="AD13" s="127"/>
      <c r="AE13" s="127"/>
    </row>
    <row r="14" spans="1:31" ht="15" customHeight="1" x14ac:dyDescent="0.25">
      <c r="A14" s="18" t="s">
        <v>34</v>
      </c>
      <c r="B14" s="16">
        <v>2</v>
      </c>
      <c r="C14" s="16" t="s">
        <v>53</v>
      </c>
      <c r="D14" s="16">
        <v>2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8"/>
      <c r="R14" s="198"/>
      <c r="S14" s="198"/>
      <c r="T14" s="198"/>
      <c r="U14" s="198"/>
      <c r="W14" s="127" t="s">
        <v>17</v>
      </c>
      <c r="X14" s="127"/>
      <c r="Y14" s="127"/>
      <c r="Z14" s="51">
        <v>3</v>
      </c>
      <c r="AB14" s="51">
        <v>1</v>
      </c>
      <c r="AC14" s="127" t="s">
        <v>26</v>
      </c>
      <c r="AD14" s="127"/>
      <c r="AE14" s="127"/>
    </row>
    <row r="15" spans="1:31" ht="15" customHeight="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198"/>
      <c r="R15" s="198"/>
      <c r="S15" s="198"/>
      <c r="T15" s="198"/>
      <c r="U15" s="198"/>
      <c r="W15" s="127" t="s">
        <v>12</v>
      </c>
      <c r="X15" s="127"/>
      <c r="Y15" s="127"/>
      <c r="Z15" s="51">
        <v>2</v>
      </c>
      <c r="AB15" s="51">
        <v>1</v>
      </c>
      <c r="AC15" s="127" t="s">
        <v>23</v>
      </c>
      <c r="AD15" s="127"/>
      <c r="AE15" s="127"/>
    </row>
    <row r="16" spans="1:31" x14ac:dyDescent="0.25">
      <c r="A16" s="18" t="s">
        <v>5</v>
      </c>
      <c r="B16" s="16">
        <v>2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7"/>
      <c r="X16" s="127"/>
      <c r="Y16" s="127"/>
      <c r="AC16" s="127"/>
      <c r="AD16" s="127"/>
      <c r="AE16" s="127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7"/>
      <c r="X17" s="127"/>
      <c r="Y17" s="127"/>
      <c r="AC17" s="127"/>
      <c r="AD17" s="127"/>
      <c r="AE17" s="127"/>
    </row>
    <row r="18" spans="1:31" x14ac:dyDescent="0.25">
      <c r="A18" s="18" t="s">
        <v>26</v>
      </c>
      <c r="B18" s="16">
        <v>0</v>
      </c>
      <c r="C18" s="16" t="s">
        <v>53</v>
      </c>
      <c r="D18" s="16">
        <v>0</v>
      </c>
      <c r="E18" s="19" t="s">
        <v>55</v>
      </c>
      <c r="H18" s="16">
        <v>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7"/>
      <c r="X18" s="127"/>
      <c r="Y18" s="127"/>
      <c r="AC18" s="127"/>
      <c r="AD18" s="127"/>
      <c r="AE18" s="127"/>
    </row>
    <row r="19" spans="1:31" x14ac:dyDescent="0.25">
      <c r="A19" s="18" t="s">
        <v>5</v>
      </c>
      <c r="B19" s="16">
        <v>1</v>
      </c>
      <c r="C19" s="16" t="s">
        <v>53</v>
      </c>
      <c r="D19" s="16">
        <v>2</v>
      </c>
      <c r="E19" s="19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9</v>
      </c>
      <c r="S19" s="22">
        <v>13</v>
      </c>
      <c r="T19" s="22">
        <v>12</v>
      </c>
      <c r="U19" s="22">
        <v>24</v>
      </c>
      <c r="W19" s="127"/>
      <c r="X19" s="127"/>
      <c r="Y19" s="127"/>
      <c r="AC19" s="127"/>
      <c r="AD19" s="127"/>
      <c r="AE19" s="127"/>
    </row>
    <row r="20" spans="1:31" x14ac:dyDescent="0.25">
      <c r="A20" s="18" t="s">
        <v>26</v>
      </c>
      <c r="B20" s="16">
        <v>2</v>
      </c>
      <c r="C20" s="16" t="s">
        <v>53</v>
      </c>
      <c r="D20" s="16">
        <v>1</v>
      </c>
      <c r="E20" s="19" t="s">
        <v>5</v>
      </c>
      <c r="H20" s="16">
        <v>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7"/>
      <c r="X20" s="127"/>
      <c r="Y20" s="127"/>
      <c r="AC20" s="127"/>
      <c r="AD20" s="127"/>
      <c r="AE20" s="127"/>
    </row>
    <row r="21" spans="1:31" x14ac:dyDescent="0.25">
      <c r="A21" s="18" t="s">
        <v>55</v>
      </c>
      <c r="B21" s="16">
        <v>2</v>
      </c>
      <c r="C21" s="16" t="s">
        <v>53</v>
      </c>
      <c r="D21" s="16">
        <v>3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202" t="s">
        <v>42</v>
      </c>
      <c r="R21" s="202"/>
      <c r="S21" s="199" t="s">
        <v>8</v>
      </c>
      <c r="T21" s="199"/>
      <c r="U21" s="199" t="s">
        <v>54</v>
      </c>
      <c r="V21" s="199"/>
      <c r="W21" s="127"/>
      <c r="X21" s="127"/>
      <c r="Y21" s="127"/>
      <c r="AC21" s="127"/>
      <c r="AD21" s="127"/>
      <c r="AE21" s="127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202" t="s">
        <v>41</v>
      </c>
      <c r="R22" s="202"/>
      <c r="S22" s="203" t="s">
        <v>126</v>
      </c>
      <c r="T22" s="203"/>
      <c r="U22" s="203" t="s">
        <v>134</v>
      </c>
      <c r="V22" s="203"/>
      <c r="W22" s="127"/>
      <c r="X22" s="127"/>
      <c r="Y22" s="127"/>
      <c r="AC22" s="127"/>
      <c r="AD22" s="127"/>
      <c r="AE22" s="127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7"/>
      <c r="X23" s="127"/>
      <c r="Y23" s="127"/>
      <c r="AC23" s="127"/>
      <c r="AD23" s="127"/>
      <c r="AE23" s="127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7"/>
      <c r="X24" s="127"/>
      <c r="Y24" s="127"/>
      <c r="AC24" s="127"/>
      <c r="AD24" s="127"/>
      <c r="AE24" s="127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7"/>
      <c r="X25" s="127"/>
      <c r="Y25" s="127"/>
      <c r="AC25" s="127"/>
      <c r="AD25" s="127"/>
      <c r="AE25" s="127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7"/>
      <c r="X26" s="127"/>
      <c r="Y26" s="127"/>
      <c r="AC26" s="127"/>
      <c r="AD26" s="127"/>
      <c r="AE26" s="127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7"/>
      <c r="X27" s="127"/>
      <c r="Y27" s="127"/>
      <c r="AC27" s="127"/>
      <c r="AD27" s="127"/>
      <c r="AE27" s="127"/>
    </row>
    <row r="28" spans="1:31" x14ac:dyDescent="0.25">
      <c r="A28" s="18" t="s">
        <v>6</v>
      </c>
      <c r="B28" s="16">
        <v>2</v>
      </c>
      <c r="C28" s="16" t="s">
        <v>53</v>
      </c>
      <c r="D28" s="16">
        <v>0</v>
      </c>
      <c r="E28" s="19" t="s">
        <v>13</v>
      </c>
      <c r="H28" s="16">
        <v>15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7"/>
      <c r="X28" s="127"/>
      <c r="Y28" s="127"/>
      <c r="AC28" s="127"/>
      <c r="AD28" s="127"/>
      <c r="AE28" s="127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7"/>
      <c r="X29" s="127"/>
      <c r="Y29" s="127"/>
      <c r="AC29" s="127"/>
      <c r="AD29" s="127"/>
      <c r="AE29" s="127"/>
    </row>
    <row r="30" spans="1:31" x14ac:dyDescent="0.25">
      <c r="A30" s="18" t="s">
        <v>4</v>
      </c>
      <c r="B30" s="16">
        <v>1</v>
      </c>
      <c r="C30" s="16" t="s">
        <v>53</v>
      </c>
      <c r="D30" s="16">
        <v>2</v>
      </c>
      <c r="E30" s="19" t="s">
        <v>22</v>
      </c>
      <c r="H30" s="16">
        <v>25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7"/>
      <c r="X30" s="127"/>
      <c r="Y30" s="127"/>
      <c r="AC30" s="127"/>
      <c r="AD30" s="127"/>
      <c r="AE30" s="127"/>
    </row>
    <row r="31" spans="1:31" x14ac:dyDescent="0.25">
      <c r="A31" s="18" t="s">
        <v>15</v>
      </c>
      <c r="B31" s="16">
        <v>2</v>
      </c>
      <c r="C31" s="16" t="s">
        <v>53</v>
      </c>
      <c r="D31" s="16">
        <v>3</v>
      </c>
      <c r="E31" s="19" t="s">
        <v>56</v>
      </c>
      <c r="H31" s="16">
        <v>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2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1</v>
      </c>
      <c r="E34" s="19" t="s">
        <v>15</v>
      </c>
      <c r="H34" s="16">
        <v>25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2</v>
      </c>
      <c r="E35" s="19" t="s">
        <v>4</v>
      </c>
      <c r="H35" s="16">
        <v>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2</v>
      </c>
      <c r="C37" s="16" t="s">
        <v>53</v>
      </c>
      <c r="D37" s="16">
        <v>1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2</v>
      </c>
      <c r="E39" s="19" t="s">
        <v>23</v>
      </c>
      <c r="H39" s="16">
        <v>5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3</v>
      </c>
      <c r="E40" s="19" t="s">
        <v>10</v>
      </c>
      <c r="H40" s="16">
        <v>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4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3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2</v>
      </c>
      <c r="E48" s="19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1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172</v>
      </c>
    </row>
    <row r="58" spans="1:15" x14ac:dyDescent="0.25">
      <c r="A58" s="208" t="str">
        <f>_xlfn.CONCAT(W2,A57)</f>
        <v>Ivani - Oitavas de Final</v>
      </c>
      <c r="B58" s="208"/>
      <c r="C58" s="208"/>
      <c r="D58" s="208"/>
      <c r="E58" s="208"/>
      <c r="K58" s="205" t="s">
        <v>170</v>
      </c>
      <c r="L58" s="205"/>
      <c r="M58" s="205"/>
      <c r="N58" s="205"/>
      <c r="O58" s="205"/>
    </row>
    <row r="59" spans="1:15" x14ac:dyDescent="0.25">
      <c r="A59" s="84" t="s">
        <v>19</v>
      </c>
      <c r="B59" s="85">
        <v>1</v>
      </c>
      <c r="C59" s="85" t="s">
        <v>53</v>
      </c>
      <c r="D59" s="85">
        <v>2</v>
      </c>
      <c r="E59" s="86" t="s">
        <v>165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0</v>
      </c>
      <c r="E60" s="8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166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3</v>
      </c>
      <c r="C64" s="85" t="s">
        <v>53</v>
      </c>
      <c r="D64" s="85">
        <v>1</v>
      </c>
      <c r="E64" s="86" t="s">
        <v>26</v>
      </c>
      <c r="H64" s="16">
        <v>25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1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2</v>
      </c>
      <c r="E66" s="8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173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Ivani - Quartas de Final</v>
      </c>
      <c r="B68" s="208"/>
      <c r="C68" s="208"/>
      <c r="D68" s="208"/>
      <c r="E68" s="208"/>
      <c r="J68" s="17" t="str">
        <f>IF(Tabela!F41="","",Tabela!F41)</f>
        <v/>
      </c>
      <c r="K68" s="205" t="s">
        <v>138</v>
      </c>
      <c r="L68" s="205"/>
      <c r="M68" s="205"/>
      <c r="N68" s="205"/>
      <c r="O68" s="205"/>
    </row>
    <row r="69" spans="1:15" x14ac:dyDescent="0.25">
      <c r="A69" s="91" t="str">
        <f>Tabela!A42</f>
        <v>Holanda</v>
      </c>
      <c r="B69" s="92">
        <v>2</v>
      </c>
      <c r="C69" s="92" t="s">
        <v>53</v>
      </c>
      <c r="D69" s="92">
        <v>3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1" t="s">
        <v>12</v>
      </c>
      <c r="B70" s="92">
        <v>1</v>
      </c>
      <c r="C70" s="92" t="s">
        <v>53</v>
      </c>
      <c r="D70" s="92">
        <v>3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1" t="s">
        <v>20</v>
      </c>
      <c r="B71" s="92">
        <v>2</v>
      </c>
      <c r="C71" s="92" t="s">
        <v>53</v>
      </c>
      <c r="D71" s="92">
        <v>3</v>
      </c>
      <c r="E71" s="90" t="s">
        <v>17</v>
      </c>
      <c r="H71" s="16">
        <v>10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1" t="str">
        <f>Tabela!A45</f>
        <v>Marrocos</v>
      </c>
      <c r="B72" s="92">
        <v>0</v>
      </c>
      <c r="C72" s="92" t="s">
        <v>53</v>
      </c>
      <c r="D72" s="92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178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6" t="str">
        <f>_xlfn.CONCAT(W$2,A73)</f>
        <v>Ivani - Semi Final</v>
      </c>
      <c r="B74" s="206"/>
      <c r="C74" s="206"/>
      <c r="D74" s="206"/>
      <c r="E74" s="206"/>
      <c r="J74" s="17" t="str">
        <f>IF(Tabela!F47="","",Tabela!F47)</f>
        <v/>
      </c>
      <c r="K74" s="205" t="s">
        <v>139</v>
      </c>
      <c r="L74" s="205"/>
      <c r="M74" s="205"/>
      <c r="N74" s="205"/>
      <c r="O74" s="205"/>
    </row>
    <row r="75" spans="1:15" x14ac:dyDescent="0.25">
      <c r="A75" s="18" t="str">
        <f>IF(Tabela!A48="","",Tabela!A48)</f>
        <v>Argentina</v>
      </c>
      <c r="B75" s="76">
        <v>2</v>
      </c>
      <c r="C75" s="76"/>
      <c r="D75" s="76">
        <v>2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/>
      <c r="D76" s="76">
        <v>1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179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6" t="str">
        <f>_xlfn.CONCAT(W$2,A77)</f>
        <v>Ivani - Terceiro Lugar</v>
      </c>
      <c r="B78" s="206"/>
      <c r="C78" s="206"/>
      <c r="D78" s="206"/>
      <c r="E78" s="206"/>
      <c r="J78" s="17" t="str">
        <f>IF(Tabela!F51="","",Tabela!F51)</f>
        <v/>
      </c>
      <c r="K78" s="205" t="s">
        <v>140</v>
      </c>
      <c r="L78" s="205"/>
      <c r="M78" s="205"/>
      <c r="N78" s="205"/>
      <c r="O78" s="205"/>
    </row>
    <row r="79" spans="1:15" x14ac:dyDescent="0.25">
      <c r="A79" s="18" t="str">
        <f>IF(Tabela!A52="","",Tabela!A52)</f>
        <v>Croácia</v>
      </c>
      <c r="B79" s="76">
        <v>2</v>
      </c>
      <c r="C79" s="76" t="s">
        <v>53</v>
      </c>
      <c r="D79" s="76">
        <v>1</v>
      </c>
      <c r="E79" s="19" t="str">
        <f>IF(Tabela!E52="","",Tabela!E52)</f>
        <v>Marrocos</v>
      </c>
      <c r="H79" s="16">
        <v>25</v>
      </c>
      <c r="J79" s="17" t="str">
        <f>IF(Tabela!F52="","",Tabela!F52)</f>
        <v/>
      </c>
      <c r="K79" s="76" t="str">
        <f>IF(Tabela!A52="","",Tabela!A52)</f>
        <v>Croácia</v>
      </c>
      <c r="L79" s="76">
        <f>IF(Tabela!B52="","",Tabela!B52)</f>
        <v>2</v>
      </c>
      <c r="M79" s="76" t="str">
        <f>IF(Tabela!C52="","",Tabela!C52)</f>
        <v>X</v>
      </c>
      <c r="N79" s="76">
        <f>IF(Tabela!D52="","",Tabela!D52)</f>
        <v>1</v>
      </c>
      <c r="O79" s="76" t="str">
        <f>IF(Tabela!E52="","",Tabela!E52)</f>
        <v>Marrocos</v>
      </c>
    </row>
    <row r="80" spans="1:15" x14ac:dyDescent="0.25">
      <c r="A80" s="73" t="s">
        <v>180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6" t="str">
        <f>_xlfn.CONCAT(W$2,A80)</f>
        <v>Ivani - Final</v>
      </c>
      <c r="B81" s="206"/>
      <c r="C81" s="206"/>
      <c r="D81" s="206"/>
      <c r="E81" s="206"/>
      <c r="J81" s="17" t="str">
        <f>IF(Tabela!F54="","",Tabela!F54)</f>
        <v/>
      </c>
      <c r="K81" s="205" t="s">
        <v>141</v>
      </c>
      <c r="L81" s="205"/>
      <c r="M81" s="205"/>
      <c r="N81" s="205"/>
      <c r="O81" s="205"/>
    </row>
    <row r="82" spans="1:15" x14ac:dyDescent="0.25">
      <c r="A82" s="18" t="str">
        <f>IF(Tabela!A55="","",Tabela!A55)</f>
        <v>Argentina</v>
      </c>
      <c r="B82" s="76">
        <v>3</v>
      </c>
      <c r="C82" s="76" t="s">
        <v>53</v>
      </c>
      <c r="D82" s="76">
        <v>1</v>
      </c>
      <c r="E82" s="19" t="str">
        <f>IF(Tabela!E55="","",Tabela!E55)</f>
        <v>França</v>
      </c>
      <c r="H82" s="16">
        <v>5</v>
      </c>
      <c r="J82" s="17" t="str">
        <f>IF(Tabela!F55="","",Tabela!F55)</f>
        <v/>
      </c>
      <c r="K82" s="76" t="str">
        <f>IF(Tabela!A55="","",Tabela!A55)</f>
        <v>Argentina</v>
      </c>
      <c r="L82" s="76">
        <f>IF(Tabela!B55="","",Tabela!B55)</f>
        <v>3</v>
      </c>
      <c r="M82" s="76" t="str">
        <f>IF(Tabela!C55="","",Tabela!C55)</f>
        <v>X</v>
      </c>
      <c r="N82" s="76">
        <f>IF(Tabela!D55="","",Tabela!D55)</f>
        <v>3</v>
      </c>
      <c r="O82" s="76" t="str">
        <f>IF(Tabela!E55="","",Tabela!E55)</f>
        <v>França</v>
      </c>
    </row>
    <row r="84" spans="1:15" x14ac:dyDescent="0.25">
      <c r="E84" s="19" t="s">
        <v>174</v>
      </c>
      <c r="H84" s="16">
        <v>0</v>
      </c>
    </row>
    <row r="85" spans="1:15" x14ac:dyDescent="0.25">
      <c r="E85" s="19" t="s">
        <v>125</v>
      </c>
      <c r="H85" s="16">
        <v>0</v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9" width="5.7109375" style="17" customWidth="1"/>
    <col min="40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2" t="s">
        <v>43</v>
      </c>
      <c r="B2" s="212"/>
      <c r="C2" s="212"/>
      <c r="D2" s="212"/>
      <c r="E2" s="212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0" t="s">
        <v>93</v>
      </c>
      <c r="X2" s="200"/>
      <c r="Y2" s="200"/>
      <c r="Z2" s="200"/>
      <c r="AA2" s="200"/>
      <c r="AB2" s="200"/>
      <c r="AC2" s="200"/>
      <c r="AD2" s="200"/>
      <c r="AE2" s="200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0"/>
      <c r="X3" s="200"/>
      <c r="Y3" s="200"/>
      <c r="Z3" s="200"/>
      <c r="AA3" s="200"/>
      <c r="AB3" s="200"/>
      <c r="AC3" s="200"/>
      <c r="AD3" s="200"/>
      <c r="AE3" s="200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0"/>
      <c r="X4" s="200"/>
      <c r="Y4" s="200"/>
      <c r="Z4" s="200"/>
      <c r="AA4" s="200"/>
      <c r="AB4" s="200"/>
      <c r="AC4" s="200"/>
      <c r="AD4" s="200"/>
      <c r="AE4" s="200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0"/>
      <c r="X5" s="200"/>
      <c r="Y5" s="200"/>
      <c r="Z5" s="200"/>
      <c r="AA5" s="200"/>
      <c r="AB5" s="200"/>
      <c r="AC5" s="200"/>
      <c r="AD5" s="200"/>
      <c r="AE5" s="200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0"/>
      <c r="X6" s="200"/>
      <c r="Y6" s="200"/>
      <c r="Z6" s="200"/>
      <c r="AA6" s="200"/>
      <c r="AB6" s="200"/>
      <c r="AC6" s="200"/>
      <c r="AD6" s="200"/>
      <c r="AE6" s="200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1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7" t="s">
        <v>66</v>
      </c>
      <c r="R9" s="197"/>
      <c r="S9" s="197"/>
      <c r="T9" s="197"/>
      <c r="U9" s="197"/>
      <c r="W9" s="127" t="s">
        <v>123</v>
      </c>
      <c r="X9" s="127"/>
      <c r="Y9" s="127"/>
      <c r="Z9" s="127"/>
      <c r="AA9" s="127"/>
      <c r="AB9" s="127"/>
      <c r="AC9" s="127"/>
      <c r="AD9" s="127"/>
      <c r="AE9" s="127"/>
    </row>
    <row r="10" spans="1:31" x14ac:dyDescent="0.25">
      <c r="A10" s="18" t="s">
        <v>54</v>
      </c>
      <c r="B10" s="16">
        <v>2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7"/>
      <c r="R10" s="197"/>
      <c r="S10" s="197"/>
      <c r="T10" s="197"/>
      <c r="U10" s="197"/>
      <c r="W10" s="127" t="s">
        <v>31</v>
      </c>
      <c r="X10" s="127"/>
      <c r="Y10" s="127"/>
      <c r="Z10" s="51">
        <v>0</v>
      </c>
      <c r="AB10" s="51">
        <v>1</v>
      </c>
      <c r="AC10" s="127" t="s">
        <v>6</v>
      </c>
      <c r="AD10" s="127"/>
      <c r="AE10" s="127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8">
        <f>SUM(H2:H85)</f>
        <v>415</v>
      </c>
      <c r="R11" s="198"/>
      <c r="S11" s="198"/>
      <c r="T11" s="198"/>
      <c r="U11" s="198"/>
      <c r="W11" s="127" t="s">
        <v>15</v>
      </c>
      <c r="X11" s="127"/>
      <c r="Y11" s="127"/>
      <c r="Z11" s="51">
        <v>1</v>
      </c>
      <c r="AB11" s="51">
        <v>1</v>
      </c>
      <c r="AC11" s="127" t="s">
        <v>4</v>
      </c>
      <c r="AD11" s="127"/>
      <c r="AE11" s="127"/>
    </row>
    <row r="12" spans="1:31" x14ac:dyDescent="0.25">
      <c r="A12" s="18" t="s">
        <v>20</v>
      </c>
      <c r="B12" s="16">
        <v>1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8"/>
      <c r="R12" s="198"/>
      <c r="S12" s="198"/>
      <c r="T12" s="198"/>
      <c r="U12" s="198"/>
      <c r="W12" s="127" t="s">
        <v>5</v>
      </c>
      <c r="X12" s="127"/>
      <c r="Y12" s="127"/>
      <c r="Z12" s="51">
        <v>2</v>
      </c>
      <c r="AB12" s="51">
        <v>1</v>
      </c>
      <c r="AC12" s="127" t="s">
        <v>6</v>
      </c>
      <c r="AD12" s="127"/>
      <c r="AE12" s="127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8"/>
      <c r="R13" s="198"/>
      <c r="S13" s="198"/>
      <c r="T13" s="198"/>
      <c r="U13" s="198"/>
      <c r="W13" s="127"/>
      <c r="X13" s="127"/>
      <c r="Y13" s="127"/>
      <c r="AC13" s="127"/>
      <c r="AD13" s="127"/>
      <c r="AE13" s="127"/>
    </row>
    <row r="14" spans="1:31" x14ac:dyDescent="0.25">
      <c r="A14" s="18" t="s">
        <v>34</v>
      </c>
      <c r="B14" s="16">
        <v>2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8"/>
      <c r="R14" s="198"/>
      <c r="S14" s="198"/>
      <c r="T14" s="198"/>
      <c r="U14" s="198"/>
      <c r="W14" s="127"/>
      <c r="X14" s="127"/>
      <c r="Y14" s="127"/>
      <c r="AC14" s="127"/>
      <c r="AD14" s="127"/>
      <c r="AE14" s="127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198"/>
      <c r="R15" s="198"/>
      <c r="S15" s="198"/>
      <c r="T15" s="198"/>
      <c r="U15" s="198"/>
      <c r="W15" s="127"/>
      <c r="X15" s="127"/>
      <c r="Y15" s="127"/>
      <c r="AC15" s="127"/>
      <c r="AD15" s="127"/>
      <c r="AE15" s="127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7"/>
      <c r="X16" s="127"/>
      <c r="Y16" s="127"/>
      <c r="AC16" s="127"/>
      <c r="AD16" s="127"/>
      <c r="AE16" s="127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7"/>
      <c r="X17" s="127"/>
      <c r="Y17" s="127"/>
      <c r="AC17" s="127"/>
      <c r="AD17" s="127"/>
      <c r="AE17" s="127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21">
        <v>25</v>
      </c>
      <c r="R18" s="21">
        <v>15</v>
      </c>
      <c r="S18" s="21">
        <v>10</v>
      </c>
      <c r="T18" s="21">
        <v>5</v>
      </c>
      <c r="U18" s="21">
        <v>0</v>
      </c>
      <c r="W18" s="127"/>
      <c r="X18" s="127"/>
      <c r="Y18" s="127"/>
      <c r="AC18" s="127"/>
      <c r="AD18" s="127"/>
      <c r="AE18" s="127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11</v>
      </c>
      <c r="S19" s="22">
        <v>10</v>
      </c>
      <c r="T19" s="22">
        <v>15</v>
      </c>
      <c r="U19" s="22">
        <v>24</v>
      </c>
      <c r="W19" s="127"/>
      <c r="X19" s="127"/>
      <c r="Y19" s="127"/>
      <c r="AC19" s="127"/>
      <c r="AD19" s="127"/>
      <c r="AE19" s="127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7"/>
      <c r="X20" s="127"/>
      <c r="Y20" s="127"/>
      <c r="AC20" s="127"/>
      <c r="AD20" s="127"/>
      <c r="AE20" s="127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202" t="s">
        <v>42</v>
      </c>
      <c r="R21" s="202"/>
      <c r="S21" s="199" t="s">
        <v>8</v>
      </c>
      <c r="T21" s="199"/>
      <c r="U21" s="199" t="s">
        <v>19</v>
      </c>
      <c r="V21" s="199"/>
      <c r="W21" s="127"/>
      <c r="X21" s="127"/>
      <c r="Y21" s="127"/>
      <c r="AC21" s="127"/>
      <c r="AD21" s="127"/>
      <c r="AE21" s="127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202" t="s">
        <v>41</v>
      </c>
      <c r="R22" s="202"/>
      <c r="S22" s="203" t="s">
        <v>126</v>
      </c>
      <c r="T22" s="203"/>
      <c r="U22" s="203" t="s">
        <v>129</v>
      </c>
      <c r="V22" s="203"/>
      <c r="W22" s="127"/>
      <c r="X22" s="127"/>
      <c r="Y22" s="127"/>
      <c r="AC22" s="127"/>
      <c r="AD22" s="127"/>
      <c r="AE22" s="127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7"/>
      <c r="X23" s="127"/>
      <c r="Y23" s="127"/>
      <c r="AC23" s="127"/>
      <c r="AD23" s="127"/>
      <c r="AE23" s="127"/>
    </row>
    <row r="24" spans="1:31" x14ac:dyDescent="0.25">
      <c r="A24" s="18" t="s">
        <v>17</v>
      </c>
      <c r="B24" s="16">
        <v>1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V24" s="21"/>
      <c r="W24" s="127"/>
      <c r="X24" s="127"/>
      <c r="Y24" s="127"/>
      <c r="AC24" s="127"/>
      <c r="AD24" s="127"/>
      <c r="AE24" s="127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V25" s="21"/>
      <c r="W25" s="127"/>
      <c r="X25" s="127"/>
      <c r="Y25" s="127"/>
      <c r="AC25" s="127"/>
      <c r="AD25" s="127"/>
      <c r="AE25" s="127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Q26" s="21"/>
      <c r="R26" s="21"/>
      <c r="S26" s="21"/>
      <c r="T26" s="21"/>
      <c r="U26" s="21"/>
      <c r="V26" s="21"/>
      <c r="W26" s="127"/>
      <c r="X26" s="127"/>
      <c r="Y26" s="127"/>
      <c r="AC26" s="127"/>
      <c r="AD26" s="127"/>
      <c r="AE26" s="127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7"/>
      <c r="X27" s="127"/>
      <c r="Y27" s="127"/>
      <c r="AC27" s="127"/>
      <c r="AD27" s="127"/>
      <c r="AE27" s="127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7"/>
      <c r="X28" s="127"/>
      <c r="Y28" s="127"/>
      <c r="AC28" s="127"/>
      <c r="AD28" s="127"/>
      <c r="AE28" s="127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Q29" s="21"/>
      <c r="R29" s="21"/>
      <c r="S29" s="21"/>
      <c r="T29" s="21"/>
      <c r="U29" s="21"/>
      <c r="V29" s="21"/>
      <c r="W29" s="127"/>
      <c r="X29" s="127"/>
      <c r="Y29" s="127"/>
      <c r="AC29" s="127"/>
      <c r="AD29" s="127"/>
      <c r="AE29" s="127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Q30" s="21"/>
      <c r="R30" s="21"/>
      <c r="S30" s="21"/>
      <c r="T30" s="21"/>
      <c r="U30" s="21"/>
      <c r="V30" s="21"/>
      <c r="W30" s="127"/>
      <c r="X30" s="127"/>
      <c r="Y30" s="127"/>
      <c r="AC30" s="127"/>
      <c r="AD30" s="127"/>
      <c r="AE30" s="127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3</v>
      </c>
      <c r="E35" s="19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1</v>
      </c>
      <c r="E38" s="19" t="s">
        <v>10</v>
      </c>
      <c r="H38" s="16">
        <v>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1</v>
      </c>
      <c r="E56" s="19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172</v>
      </c>
    </row>
    <row r="58" spans="1:15" x14ac:dyDescent="0.25">
      <c r="A58" s="208" t="str">
        <f>_xlfn.CONCAT(W2,A57)</f>
        <v>Josimar  - Oitavas de Final</v>
      </c>
      <c r="B58" s="208"/>
      <c r="C58" s="208"/>
      <c r="D58" s="208"/>
      <c r="E58" s="208"/>
      <c r="K58" s="209" t="s">
        <v>170</v>
      </c>
      <c r="L58" s="209"/>
      <c r="M58" s="209"/>
      <c r="N58" s="209"/>
      <c r="O58" s="209"/>
    </row>
    <row r="59" spans="1:15" x14ac:dyDescent="0.25">
      <c r="A59" s="84" t="s">
        <v>19</v>
      </c>
      <c r="B59" s="85">
        <v>3</v>
      </c>
      <c r="C59" s="85" t="s">
        <v>53</v>
      </c>
      <c r="D59" s="85">
        <v>0</v>
      </c>
      <c r="E59" s="86" t="s">
        <v>165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3</v>
      </c>
      <c r="C61" s="85" t="s">
        <v>53</v>
      </c>
      <c r="D61" s="85">
        <v>2</v>
      </c>
      <c r="E61" s="8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3</v>
      </c>
      <c r="C62" s="85" t="s">
        <v>53</v>
      </c>
      <c r="D62" s="85">
        <v>0</v>
      </c>
      <c r="E62" s="86" t="s">
        <v>166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1</v>
      </c>
      <c r="E63" s="86" t="s">
        <v>28</v>
      </c>
      <c r="H63" s="16">
        <v>10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4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3</v>
      </c>
      <c r="C66" s="85" t="s">
        <v>53</v>
      </c>
      <c r="D66" s="85">
        <v>2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173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Josimar  - Quartas de Final</v>
      </c>
      <c r="B68" s="208"/>
      <c r="C68" s="208"/>
      <c r="D68" s="208"/>
      <c r="E68" s="208"/>
      <c r="J68" s="17" t="str">
        <f>IF(Tabela!F41="","",Tabela!F41)</f>
        <v/>
      </c>
      <c r="K68" s="209" t="s">
        <v>138</v>
      </c>
      <c r="L68" s="209"/>
      <c r="M68" s="209"/>
      <c r="N68" s="209"/>
      <c r="O68" s="209"/>
    </row>
    <row r="69" spans="1:15" x14ac:dyDescent="0.25">
      <c r="A69" s="91" t="str">
        <f>Tabela!A42</f>
        <v>Holanda</v>
      </c>
      <c r="B69" s="92">
        <v>0</v>
      </c>
      <c r="C69" s="92" t="s">
        <v>53</v>
      </c>
      <c r="D69" s="92">
        <v>2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1" t="s">
        <v>12</v>
      </c>
      <c r="B70" s="92">
        <v>0</v>
      </c>
      <c r="C70" s="92" t="s">
        <v>53</v>
      </c>
      <c r="D70" s="92">
        <v>1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1" t="s">
        <v>20</v>
      </c>
      <c r="B71" s="92">
        <v>0</v>
      </c>
      <c r="C71" s="92" t="s">
        <v>53</v>
      </c>
      <c r="D71" s="92">
        <v>2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1" t="str">
        <f>Tabela!A45</f>
        <v>Marrocos</v>
      </c>
      <c r="B72" s="92">
        <v>1</v>
      </c>
      <c r="C72" s="92" t="s">
        <v>53</v>
      </c>
      <c r="D72" s="92">
        <v>3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178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10" t="str">
        <f>_xlfn.CONCAT(W$2,A73)</f>
        <v>Josimar  - Semi Final</v>
      </c>
      <c r="B74" s="210"/>
      <c r="C74" s="210"/>
      <c r="D74" s="210"/>
      <c r="E74" s="210"/>
      <c r="J74" s="17" t="str">
        <f>IF(Tabela!F47="","",Tabela!F47)</f>
        <v/>
      </c>
      <c r="K74" s="209" t="s">
        <v>139</v>
      </c>
      <c r="L74" s="209"/>
      <c r="M74" s="209"/>
      <c r="N74" s="209"/>
      <c r="O74" s="209"/>
    </row>
    <row r="75" spans="1:15" x14ac:dyDescent="0.25">
      <c r="A75" s="18" t="str">
        <f>IF(Tabela!A48="","",Tabela!A48)</f>
        <v>Argentina</v>
      </c>
      <c r="B75" s="76">
        <v>2</v>
      </c>
      <c r="C75" s="76" t="s">
        <v>53</v>
      </c>
      <c r="D75" s="76">
        <v>2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2</v>
      </c>
      <c r="E76" s="19" t="str">
        <f>IF(Tabela!E49="","",Tabela!E49)</f>
        <v>Marrocos</v>
      </c>
      <c r="H76" s="16">
        <v>0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179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10" t="str">
        <f>_xlfn.CONCAT(W$2,A77)</f>
        <v>Josimar  - Terceiro Lugar</v>
      </c>
      <c r="B78" s="210"/>
      <c r="C78" s="210"/>
      <c r="D78" s="210"/>
      <c r="E78" s="210"/>
      <c r="J78" s="17" t="str">
        <f>IF(Tabela!F51="","",Tabela!F51)</f>
        <v/>
      </c>
      <c r="K78" s="209" t="s">
        <v>140</v>
      </c>
      <c r="L78" s="209"/>
      <c r="M78" s="209"/>
      <c r="N78" s="209"/>
      <c r="O78" s="209"/>
    </row>
    <row r="79" spans="1:15" x14ac:dyDescent="0.25">
      <c r="A79" s="18" t="str">
        <f>IF(Tabela!A52="","",Tabela!A52)</f>
        <v>Croácia</v>
      </c>
      <c r="B79" s="76">
        <v>0</v>
      </c>
      <c r="C79" s="76" t="s">
        <v>53</v>
      </c>
      <c r="D79" s="76">
        <v>2</v>
      </c>
      <c r="E79" s="19" t="str">
        <f>IF(Tabela!E52="","",Tabela!E52)</f>
        <v>Marrocos</v>
      </c>
      <c r="H79" s="16">
        <v>0</v>
      </c>
      <c r="J79" s="17" t="str">
        <f>IF(Tabela!F52="","",Tabela!F52)</f>
        <v/>
      </c>
      <c r="K79" s="76" t="str">
        <f>IF(Tabela!A52="","",Tabela!A52)</f>
        <v>Croácia</v>
      </c>
      <c r="L79" s="76">
        <f>IF(Tabela!B52="","",Tabela!B52)</f>
        <v>2</v>
      </c>
      <c r="M79" s="76" t="str">
        <f>IF(Tabela!C52="","",Tabela!C52)</f>
        <v>X</v>
      </c>
      <c r="N79" s="76">
        <f>IF(Tabela!D52="","",Tabela!D52)</f>
        <v>1</v>
      </c>
      <c r="O79" s="76" t="str">
        <f>IF(Tabela!E52="","",Tabela!E52)</f>
        <v>Marrocos</v>
      </c>
    </row>
    <row r="80" spans="1:15" x14ac:dyDescent="0.25">
      <c r="A80" s="73" t="s">
        <v>180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10" t="str">
        <f>_xlfn.CONCAT(W$2,A80)</f>
        <v>Josimar  - Final</v>
      </c>
      <c r="B81" s="210"/>
      <c r="C81" s="210"/>
      <c r="D81" s="210"/>
      <c r="E81" s="210"/>
      <c r="J81" s="17" t="str">
        <f>IF(Tabela!F54="","",Tabela!F54)</f>
        <v/>
      </c>
      <c r="K81" s="209" t="s">
        <v>141</v>
      </c>
      <c r="L81" s="209"/>
      <c r="M81" s="209"/>
      <c r="N81" s="209"/>
      <c r="O81" s="209"/>
    </row>
    <row r="82" spans="1:15" x14ac:dyDescent="0.25">
      <c r="A82" s="18" t="str">
        <f>IF(Tabela!A55="","",Tabela!A55)</f>
        <v>Argentina</v>
      </c>
      <c r="B82" s="76">
        <v>2</v>
      </c>
      <c r="C82" s="76" t="s">
        <v>53</v>
      </c>
      <c r="D82" s="76">
        <v>2</v>
      </c>
      <c r="E82" s="19" t="str">
        <f>IF(Tabela!E55="","",Tabela!E55)</f>
        <v>França</v>
      </c>
      <c r="H82" s="16">
        <v>10</v>
      </c>
      <c r="J82" s="17" t="str">
        <f>IF(Tabela!F55="","",Tabela!F55)</f>
        <v/>
      </c>
      <c r="K82" s="76" t="str">
        <f>IF(Tabela!A55="","",Tabela!A55)</f>
        <v>Argentina</v>
      </c>
      <c r="L82" s="76">
        <f>IF(Tabela!B55="","",Tabela!B55)</f>
        <v>3</v>
      </c>
      <c r="M82" s="76" t="str">
        <f>IF(Tabela!C55="","",Tabela!C55)</f>
        <v>X</v>
      </c>
      <c r="N82" s="76">
        <f>IF(Tabela!D55="","",Tabela!D55)</f>
        <v>3</v>
      </c>
      <c r="O82" s="76" t="str">
        <f>IF(Tabela!E55="","",Tabela!E55)</f>
        <v>França</v>
      </c>
    </row>
    <row r="84" spans="1:15" x14ac:dyDescent="0.25">
      <c r="E84" s="19" t="s">
        <v>174</v>
      </c>
      <c r="H84" s="16">
        <v>0</v>
      </c>
    </row>
    <row r="85" spans="1:15" x14ac:dyDescent="0.25">
      <c r="E85" s="19" t="s">
        <v>125</v>
      </c>
      <c r="H85" s="16">
        <v>0</v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0" width="5.7109375" style="51" customWidth="1"/>
    <col min="31" max="31" width="9.140625" style="51"/>
    <col min="32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2" t="s">
        <v>43</v>
      </c>
      <c r="B2" s="212"/>
      <c r="C2" s="212"/>
      <c r="D2" s="212"/>
      <c r="E2" s="212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0" t="s">
        <v>86</v>
      </c>
      <c r="X2" s="200"/>
      <c r="Y2" s="200"/>
      <c r="Z2" s="200"/>
      <c r="AA2" s="200"/>
      <c r="AB2" s="200"/>
      <c r="AC2" s="200"/>
      <c r="AD2" s="200"/>
      <c r="AE2" s="200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0"/>
      <c r="X3" s="200"/>
      <c r="Y3" s="200"/>
      <c r="Z3" s="200"/>
      <c r="AA3" s="200"/>
      <c r="AB3" s="200"/>
      <c r="AC3" s="200"/>
      <c r="AD3" s="200"/>
      <c r="AE3" s="200"/>
    </row>
    <row r="4" spans="1:31" x14ac:dyDescent="0.25">
      <c r="A4" s="18" t="s">
        <v>11</v>
      </c>
      <c r="B4" s="16">
        <v>0</v>
      </c>
      <c r="C4" s="16" t="s">
        <v>53</v>
      </c>
      <c r="D4" s="16">
        <v>2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0"/>
      <c r="X4" s="200"/>
      <c r="Y4" s="200"/>
      <c r="Z4" s="200"/>
      <c r="AA4" s="200"/>
      <c r="AB4" s="200"/>
      <c r="AC4" s="200"/>
      <c r="AD4" s="200"/>
      <c r="AE4" s="200"/>
    </row>
    <row r="5" spans="1:31" x14ac:dyDescent="0.25">
      <c r="A5" s="18" t="s">
        <v>19</v>
      </c>
      <c r="B5" s="16">
        <v>3</v>
      </c>
      <c r="C5" s="16" t="s">
        <v>53</v>
      </c>
      <c r="D5" s="16">
        <v>2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0"/>
      <c r="X5" s="200"/>
      <c r="Y5" s="200"/>
      <c r="Z5" s="200"/>
      <c r="AA5" s="200"/>
      <c r="AB5" s="200"/>
      <c r="AC5" s="200"/>
      <c r="AD5" s="200"/>
      <c r="AE5" s="200"/>
    </row>
    <row r="6" spans="1:31" x14ac:dyDescent="0.25">
      <c r="A6" s="18" t="s">
        <v>19</v>
      </c>
      <c r="B6" s="16">
        <v>5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0"/>
      <c r="X6" s="200"/>
      <c r="Y6" s="200"/>
      <c r="Z6" s="200"/>
      <c r="AA6" s="200"/>
      <c r="AB6" s="200"/>
      <c r="AC6" s="200"/>
      <c r="AD6" s="200"/>
      <c r="AE6" s="200"/>
    </row>
    <row r="7" spans="1:31" x14ac:dyDescent="0.25">
      <c r="A7" s="18" t="s">
        <v>14</v>
      </c>
      <c r="B7" s="16">
        <v>2</v>
      </c>
      <c r="C7" s="16" t="s">
        <v>53</v>
      </c>
      <c r="D7" s="16">
        <v>2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7" t="s">
        <v>66</v>
      </c>
      <c r="R9" s="197"/>
      <c r="S9" s="197"/>
      <c r="T9" s="197"/>
      <c r="U9" s="197"/>
      <c r="W9" s="127" t="s">
        <v>123</v>
      </c>
      <c r="X9" s="127"/>
      <c r="Y9" s="127"/>
      <c r="Z9" s="127"/>
      <c r="AA9" s="127"/>
      <c r="AB9" s="127"/>
      <c r="AC9" s="127"/>
      <c r="AD9" s="127"/>
      <c r="AE9" s="127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7"/>
      <c r="R10" s="197"/>
      <c r="S10" s="197"/>
      <c r="T10" s="197"/>
      <c r="U10" s="197"/>
      <c r="W10" s="127" t="s">
        <v>16</v>
      </c>
      <c r="X10" s="127"/>
      <c r="Y10" s="127"/>
      <c r="Z10" s="51">
        <v>1</v>
      </c>
      <c r="AB10" s="51">
        <v>1</v>
      </c>
      <c r="AC10" s="127" t="s">
        <v>34</v>
      </c>
      <c r="AD10" s="127"/>
      <c r="AE10" s="127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8">
        <f>SUM(H2:H85)</f>
        <v>585</v>
      </c>
      <c r="R11" s="198"/>
      <c r="S11" s="198"/>
      <c r="T11" s="198"/>
      <c r="U11" s="198"/>
      <c r="W11" s="127" t="s">
        <v>34</v>
      </c>
      <c r="X11" s="127"/>
      <c r="Y11" s="127"/>
      <c r="Z11" s="51">
        <v>0</v>
      </c>
      <c r="AB11" s="51">
        <v>3</v>
      </c>
      <c r="AC11" s="127" t="s">
        <v>20</v>
      </c>
      <c r="AD11" s="127"/>
      <c r="AE11" s="127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8"/>
      <c r="R12" s="198"/>
      <c r="S12" s="198"/>
      <c r="T12" s="198"/>
      <c r="U12" s="198"/>
      <c r="W12" s="127" t="s">
        <v>26</v>
      </c>
      <c r="X12" s="127"/>
      <c r="Y12" s="127"/>
      <c r="Z12" s="51">
        <v>2</v>
      </c>
      <c r="AB12" s="51">
        <v>0</v>
      </c>
      <c r="AC12" s="127" t="s">
        <v>55</v>
      </c>
      <c r="AD12" s="127"/>
      <c r="AE12" s="127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8"/>
      <c r="R13" s="198"/>
      <c r="S13" s="198"/>
      <c r="T13" s="198"/>
      <c r="U13" s="198"/>
      <c r="W13" s="127" t="s">
        <v>12</v>
      </c>
      <c r="X13" s="127"/>
      <c r="Y13" s="127"/>
      <c r="Z13" s="51">
        <v>2</v>
      </c>
      <c r="AB13" s="51">
        <v>1</v>
      </c>
      <c r="AC13" s="127" t="s">
        <v>23</v>
      </c>
      <c r="AD13" s="127"/>
      <c r="AE13" s="127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8"/>
      <c r="R14" s="198"/>
      <c r="S14" s="198"/>
      <c r="T14" s="198"/>
      <c r="U14" s="198"/>
      <c r="W14" s="127"/>
      <c r="X14" s="127"/>
      <c r="Y14" s="127"/>
      <c r="AC14" s="127"/>
      <c r="AD14" s="127"/>
      <c r="AE14" s="127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198"/>
      <c r="R15" s="198"/>
      <c r="S15" s="198"/>
      <c r="T15" s="198"/>
      <c r="U15" s="198"/>
      <c r="W15" s="127"/>
      <c r="X15" s="127"/>
      <c r="Y15" s="127"/>
      <c r="AC15" s="127"/>
      <c r="AD15" s="127"/>
      <c r="AE15" s="127"/>
    </row>
    <row r="16" spans="1:31" x14ac:dyDescent="0.25">
      <c r="A16" s="18" t="s">
        <v>5</v>
      </c>
      <c r="B16" s="16">
        <v>5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7"/>
      <c r="X16" s="127"/>
      <c r="Y16" s="127"/>
      <c r="AC16" s="127"/>
      <c r="AD16" s="127"/>
      <c r="AE16" s="127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7"/>
      <c r="X17" s="127"/>
      <c r="Y17" s="127"/>
      <c r="AC17" s="127"/>
      <c r="AD17" s="127"/>
      <c r="AE17" s="127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7"/>
      <c r="X18" s="127"/>
      <c r="Y18" s="127"/>
      <c r="AC18" s="127"/>
      <c r="AD18" s="127"/>
      <c r="AE18" s="127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4</v>
      </c>
      <c r="R19" s="22">
        <v>13</v>
      </c>
      <c r="S19" s="22">
        <v>19</v>
      </c>
      <c r="T19" s="22">
        <v>10</v>
      </c>
      <c r="U19" s="22">
        <v>17</v>
      </c>
      <c r="W19" s="127"/>
      <c r="X19" s="127"/>
      <c r="Y19" s="127"/>
      <c r="AC19" s="127"/>
      <c r="AD19" s="127"/>
      <c r="AE19" s="127"/>
    </row>
    <row r="20" spans="1:31" x14ac:dyDescent="0.25">
      <c r="A20" s="18" t="s">
        <v>26</v>
      </c>
      <c r="B20" s="16">
        <v>0</v>
      </c>
      <c r="C20" s="16" t="s">
        <v>53</v>
      </c>
      <c r="D20" s="16">
        <v>3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7"/>
      <c r="X20" s="127"/>
      <c r="Y20" s="127"/>
      <c r="AC20" s="127"/>
      <c r="AD20" s="127"/>
      <c r="AE20" s="127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202" t="s">
        <v>42</v>
      </c>
      <c r="R21" s="202"/>
      <c r="S21" s="199" t="s">
        <v>8</v>
      </c>
      <c r="T21" s="199"/>
      <c r="U21" s="199" t="s">
        <v>17</v>
      </c>
      <c r="V21" s="199"/>
      <c r="W21" s="127"/>
      <c r="X21" s="127"/>
      <c r="Y21" s="127"/>
      <c r="AC21" s="127"/>
      <c r="AD21" s="127"/>
      <c r="AE21" s="127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202" t="s">
        <v>41</v>
      </c>
      <c r="R22" s="202"/>
      <c r="S22" s="203" t="s">
        <v>126</v>
      </c>
      <c r="T22" s="203"/>
      <c r="U22" s="203" t="s">
        <v>127</v>
      </c>
      <c r="V22" s="203"/>
      <c r="W22" s="127"/>
      <c r="X22" s="127"/>
      <c r="Y22" s="127"/>
      <c r="AC22" s="127"/>
      <c r="AD22" s="127"/>
      <c r="AE22" s="127"/>
    </row>
    <row r="23" spans="1:31" x14ac:dyDescent="0.25">
      <c r="A23" s="18" t="s">
        <v>13</v>
      </c>
      <c r="B23" s="16">
        <v>3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7"/>
      <c r="X23" s="127"/>
      <c r="Y23" s="127"/>
      <c r="AC23" s="127"/>
      <c r="AD23" s="127"/>
      <c r="AE23" s="127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7"/>
      <c r="X24" s="127"/>
      <c r="Y24" s="127"/>
      <c r="AC24" s="127"/>
      <c r="AD24" s="127"/>
      <c r="AE24" s="127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7"/>
      <c r="X25" s="127"/>
      <c r="Y25" s="127"/>
      <c r="AC25" s="127"/>
      <c r="AD25" s="127"/>
      <c r="AE25" s="127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7"/>
      <c r="X26" s="127"/>
      <c r="Y26" s="127"/>
      <c r="AC26" s="127"/>
      <c r="AD26" s="127"/>
      <c r="AE26" s="127"/>
    </row>
    <row r="27" spans="1:31" x14ac:dyDescent="0.25">
      <c r="A27" s="18" t="s">
        <v>31</v>
      </c>
      <c r="B27" s="16">
        <v>0</v>
      </c>
      <c r="C27" s="16" t="s">
        <v>53</v>
      </c>
      <c r="D27" s="16">
        <v>4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7"/>
      <c r="X27" s="127"/>
      <c r="Y27" s="127"/>
      <c r="AC27" s="127"/>
      <c r="AD27" s="127"/>
      <c r="AE27" s="127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7"/>
      <c r="X28" s="127"/>
      <c r="Y28" s="127"/>
      <c r="AC28" s="127"/>
      <c r="AD28" s="127"/>
      <c r="AE28" s="127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7"/>
      <c r="X29" s="127"/>
      <c r="Y29" s="127"/>
      <c r="AC29" s="127"/>
      <c r="AD29" s="127"/>
      <c r="AE29" s="127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7"/>
      <c r="X30" s="127"/>
      <c r="Y30" s="127"/>
      <c r="AC30" s="127"/>
      <c r="AD30" s="127"/>
      <c r="AE30" s="127"/>
    </row>
    <row r="31" spans="1:31" x14ac:dyDescent="0.25">
      <c r="A31" s="18" t="s">
        <v>15</v>
      </c>
      <c r="B31" s="16">
        <v>4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5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2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1</v>
      </c>
      <c r="E54" s="19" t="s">
        <v>32</v>
      </c>
      <c r="H54" s="16">
        <v>10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4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172</v>
      </c>
    </row>
    <row r="58" spans="1:15" x14ac:dyDescent="0.25">
      <c r="A58" s="208" t="str">
        <f>_xlfn.CONCAT(W2,A57)</f>
        <v>Julio - Oitavas de Final</v>
      </c>
      <c r="B58" s="208"/>
      <c r="C58" s="208"/>
      <c r="D58" s="208"/>
      <c r="E58" s="208"/>
      <c r="K58" s="209" t="s">
        <v>170</v>
      </c>
      <c r="L58" s="209"/>
      <c r="M58" s="209"/>
      <c r="N58" s="209"/>
      <c r="O58" s="209"/>
    </row>
    <row r="59" spans="1:15" x14ac:dyDescent="0.25">
      <c r="A59" s="84" t="s">
        <v>19</v>
      </c>
      <c r="B59" s="85">
        <v>2</v>
      </c>
      <c r="C59" s="85" t="s">
        <v>53</v>
      </c>
      <c r="D59" s="85">
        <v>1</v>
      </c>
      <c r="E59" s="86" t="s">
        <v>165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0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166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1</v>
      </c>
      <c r="E63" s="86" t="s">
        <v>28</v>
      </c>
      <c r="H63" s="16">
        <v>10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2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173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Julio - Quartas de Final</v>
      </c>
      <c r="B68" s="208"/>
      <c r="C68" s="208"/>
      <c r="D68" s="208"/>
      <c r="E68" s="208"/>
      <c r="J68" s="17" t="str">
        <f>IF(Tabela!F41="","",Tabela!F41)</f>
        <v/>
      </c>
      <c r="K68" s="209" t="s">
        <v>138</v>
      </c>
      <c r="L68" s="209"/>
      <c r="M68" s="209"/>
      <c r="N68" s="209"/>
      <c r="O68" s="209"/>
    </row>
    <row r="69" spans="1:15" x14ac:dyDescent="0.25">
      <c r="A69" s="91" t="str">
        <f>Tabela!A42</f>
        <v>Holanda</v>
      </c>
      <c r="B69" s="92">
        <v>0</v>
      </c>
      <c r="C69" s="92" t="s">
        <v>53</v>
      </c>
      <c r="D69" s="92">
        <v>0</v>
      </c>
      <c r="E69" s="90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1" t="s">
        <v>12</v>
      </c>
      <c r="B70" s="92">
        <v>1</v>
      </c>
      <c r="C70" s="92" t="s">
        <v>53</v>
      </c>
      <c r="D70" s="92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1" t="s">
        <v>20</v>
      </c>
      <c r="B71" s="92">
        <v>1</v>
      </c>
      <c r="C71" s="92" t="s">
        <v>53</v>
      </c>
      <c r="D71" s="92">
        <v>1</v>
      </c>
      <c r="E71" s="90" t="s">
        <v>17</v>
      </c>
      <c r="H71" s="16">
        <v>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1" t="str">
        <f>Tabela!A45</f>
        <v>Marrocos</v>
      </c>
      <c r="B72" s="92">
        <v>0</v>
      </c>
      <c r="C72" s="92" t="s">
        <v>53</v>
      </c>
      <c r="D72" s="92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178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10" t="str">
        <f>_xlfn.CONCAT(W$2,A73)</f>
        <v>Julio - Semi Final</v>
      </c>
      <c r="B74" s="210"/>
      <c r="C74" s="210"/>
      <c r="D74" s="210"/>
      <c r="E74" s="210"/>
      <c r="J74" s="17" t="str">
        <f>IF(Tabela!F47="","",Tabela!F47)</f>
        <v/>
      </c>
      <c r="K74" s="209" t="s">
        <v>139</v>
      </c>
      <c r="L74" s="209"/>
      <c r="M74" s="209"/>
      <c r="N74" s="209"/>
      <c r="O74" s="209"/>
    </row>
    <row r="75" spans="1:15" x14ac:dyDescent="0.25">
      <c r="A75" s="18" t="str">
        <f>IF(Tabela!A48="","",Tabela!A48)</f>
        <v>Argentina</v>
      </c>
      <c r="B75" s="76">
        <v>2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10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179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10" t="str">
        <f>_xlfn.CONCAT(W$2,A77)</f>
        <v>Julio - Terceiro Lugar</v>
      </c>
      <c r="B78" s="210"/>
      <c r="C78" s="210"/>
      <c r="D78" s="210"/>
      <c r="E78" s="210"/>
      <c r="J78" s="17" t="str">
        <f>IF(Tabela!F51="","",Tabela!F51)</f>
        <v/>
      </c>
      <c r="K78" s="209" t="s">
        <v>140</v>
      </c>
      <c r="L78" s="209"/>
      <c r="M78" s="209"/>
      <c r="N78" s="209"/>
      <c r="O78" s="209"/>
    </row>
    <row r="79" spans="1:15" x14ac:dyDescent="0.25">
      <c r="A79" s="18" t="str">
        <f>IF(Tabela!A52="","",Tabela!A52)</f>
        <v>Croácia</v>
      </c>
      <c r="B79" s="76">
        <v>2</v>
      </c>
      <c r="C79" s="76" t="s">
        <v>53</v>
      </c>
      <c r="D79" s="76">
        <v>1</v>
      </c>
      <c r="E79" s="19" t="str">
        <f>IF(Tabela!E52="","",Tabela!E52)</f>
        <v>Marrocos</v>
      </c>
      <c r="H79" s="16">
        <v>25</v>
      </c>
      <c r="J79" s="17" t="str">
        <f>IF(Tabela!F52="","",Tabela!F52)</f>
        <v/>
      </c>
      <c r="K79" s="76" t="str">
        <f>IF(Tabela!A52="","",Tabela!A52)</f>
        <v>Croácia</v>
      </c>
      <c r="L79" s="76">
        <f>IF(Tabela!B52="","",Tabela!B52)</f>
        <v>2</v>
      </c>
      <c r="M79" s="76" t="str">
        <f>IF(Tabela!C52="","",Tabela!C52)</f>
        <v>X</v>
      </c>
      <c r="N79" s="76">
        <f>IF(Tabela!D52="","",Tabela!D52)</f>
        <v>1</v>
      </c>
      <c r="O79" s="76" t="str">
        <f>IF(Tabela!E52="","",Tabela!E52)</f>
        <v>Marrocos</v>
      </c>
    </row>
    <row r="80" spans="1:15" x14ac:dyDescent="0.25">
      <c r="A80" s="73" t="s">
        <v>180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10" t="str">
        <f>_xlfn.CONCAT(W$2,A80)</f>
        <v>Julio - Final</v>
      </c>
      <c r="B81" s="210"/>
      <c r="C81" s="210"/>
      <c r="D81" s="210"/>
      <c r="E81" s="210"/>
      <c r="J81" s="17" t="str">
        <f>IF(Tabela!F54="","",Tabela!F54)</f>
        <v/>
      </c>
      <c r="K81" s="209" t="s">
        <v>141</v>
      </c>
      <c r="L81" s="209"/>
      <c r="M81" s="209"/>
      <c r="N81" s="209"/>
      <c r="O81" s="209"/>
    </row>
    <row r="82" spans="1:15" x14ac:dyDescent="0.25">
      <c r="A82" s="18" t="str">
        <f>IF(Tabela!A55="","",Tabela!A55)</f>
        <v>Argentina</v>
      </c>
      <c r="B82" s="76">
        <v>1</v>
      </c>
      <c r="C82" s="76" t="s">
        <v>53</v>
      </c>
      <c r="D82" s="76">
        <v>2</v>
      </c>
      <c r="E82" s="19" t="str">
        <f>IF(Tabela!E55="","",Tabela!E55)</f>
        <v>França</v>
      </c>
      <c r="H82" s="16">
        <v>0</v>
      </c>
      <c r="J82" s="17" t="str">
        <f>IF(Tabela!F55="","",Tabela!F55)</f>
        <v/>
      </c>
      <c r="K82" s="76" t="str">
        <f>IF(Tabela!A55="","",Tabela!A55)</f>
        <v>Argentina</v>
      </c>
      <c r="L82" s="76">
        <f>IF(Tabela!B55="","",Tabela!B55)</f>
        <v>3</v>
      </c>
      <c r="M82" s="76" t="str">
        <f>IF(Tabela!C55="","",Tabela!C55)</f>
        <v>X</v>
      </c>
      <c r="N82" s="76">
        <f>IF(Tabela!D55="","",Tabela!D55)</f>
        <v>3</v>
      </c>
      <c r="O82" s="76" t="str">
        <f>IF(Tabela!E55="","",Tabela!E55)</f>
        <v>França</v>
      </c>
    </row>
    <row r="84" spans="1:15" x14ac:dyDescent="0.25">
      <c r="E84" s="19" t="s">
        <v>174</v>
      </c>
      <c r="H84" s="16">
        <v>0</v>
      </c>
    </row>
    <row r="85" spans="1:15" x14ac:dyDescent="0.25">
      <c r="E85" s="19" t="s">
        <v>125</v>
      </c>
      <c r="H85" s="16">
        <v>50</v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6" width="5.7109375" style="17" customWidth="1"/>
    <col min="37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2" t="s">
        <v>43</v>
      </c>
      <c r="B2" s="212"/>
      <c r="C2" s="212"/>
      <c r="D2" s="212"/>
      <c r="E2" s="212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0" t="s">
        <v>87</v>
      </c>
      <c r="X2" s="200"/>
      <c r="Y2" s="200"/>
      <c r="Z2" s="200"/>
      <c r="AA2" s="200"/>
      <c r="AB2" s="200"/>
      <c r="AC2" s="200"/>
      <c r="AD2" s="200"/>
      <c r="AE2" s="200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0"/>
      <c r="X3" s="200"/>
      <c r="Y3" s="200"/>
      <c r="Z3" s="200"/>
      <c r="AA3" s="200"/>
      <c r="AB3" s="200"/>
      <c r="AC3" s="200"/>
      <c r="AD3" s="200"/>
      <c r="AE3" s="200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0"/>
      <c r="X4" s="200"/>
      <c r="Y4" s="200"/>
      <c r="Z4" s="200"/>
      <c r="AA4" s="200"/>
      <c r="AB4" s="200"/>
      <c r="AC4" s="200"/>
      <c r="AD4" s="200"/>
      <c r="AE4" s="200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0"/>
      <c r="X5" s="200"/>
      <c r="Y5" s="200"/>
      <c r="Z5" s="200"/>
      <c r="AA5" s="200"/>
      <c r="AB5" s="200"/>
      <c r="AC5" s="200"/>
      <c r="AD5" s="200"/>
      <c r="AE5" s="200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0"/>
      <c r="X6" s="200"/>
      <c r="Y6" s="200"/>
      <c r="Z6" s="200"/>
      <c r="AA6" s="200"/>
      <c r="AB6" s="200"/>
      <c r="AC6" s="200"/>
      <c r="AD6" s="200"/>
      <c r="AE6" s="200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7" t="s">
        <v>66</v>
      </c>
      <c r="R9" s="197"/>
      <c r="S9" s="197"/>
      <c r="T9" s="197"/>
      <c r="U9" s="197"/>
      <c r="W9" s="127" t="s">
        <v>123</v>
      </c>
      <c r="X9" s="127"/>
      <c r="Y9" s="127"/>
      <c r="Z9" s="127"/>
      <c r="AA9" s="127"/>
      <c r="AB9" s="127"/>
      <c r="AC9" s="127"/>
      <c r="AD9" s="127"/>
      <c r="AE9" s="127"/>
    </row>
    <row r="10" spans="1:31" x14ac:dyDescent="0.25">
      <c r="A10" s="18" t="s">
        <v>54</v>
      </c>
      <c r="B10" s="16">
        <v>0</v>
      </c>
      <c r="C10" s="16" t="s">
        <v>53</v>
      </c>
      <c r="D10" s="16">
        <v>0</v>
      </c>
      <c r="E10" s="19" t="s">
        <v>34</v>
      </c>
      <c r="H10" s="16">
        <v>10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7"/>
      <c r="R10" s="197"/>
      <c r="S10" s="197"/>
      <c r="T10" s="197"/>
      <c r="U10" s="197"/>
      <c r="W10" s="127" t="s">
        <v>28</v>
      </c>
      <c r="X10" s="127"/>
      <c r="Y10" s="127"/>
      <c r="Z10" s="51">
        <v>0</v>
      </c>
      <c r="AB10" s="51">
        <v>2</v>
      </c>
      <c r="AC10" s="127" t="s">
        <v>19</v>
      </c>
      <c r="AD10" s="127"/>
      <c r="AE10" s="127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8">
        <f>SUM(H2:H85)</f>
        <v>570</v>
      </c>
      <c r="R11" s="198"/>
      <c r="S11" s="198"/>
      <c r="T11" s="198"/>
      <c r="U11" s="198"/>
      <c r="W11" s="127" t="s">
        <v>19</v>
      </c>
      <c r="X11" s="127"/>
      <c r="Y11" s="127"/>
      <c r="Z11" s="51">
        <v>1</v>
      </c>
      <c r="AB11" s="51">
        <v>1</v>
      </c>
      <c r="AC11" s="127" t="s">
        <v>14</v>
      </c>
      <c r="AD11" s="127"/>
      <c r="AE11" s="127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8"/>
      <c r="R12" s="198"/>
      <c r="S12" s="198"/>
      <c r="T12" s="198"/>
      <c r="U12" s="198"/>
      <c r="W12" s="127" t="s">
        <v>26</v>
      </c>
      <c r="X12" s="127"/>
      <c r="Y12" s="127"/>
      <c r="Z12" s="51">
        <v>0</v>
      </c>
      <c r="AB12" s="51">
        <v>2</v>
      </c>
      <c r="AC12" s="127" t="s">
        <v>5</v>
      </c>
      <c r="AD12" s="127"/>
      <c r="AE12" s="127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8"/>
      <c r="R13" s="198"/>
      <c r="S13" s="198"/>
      <c r="T13" s="198"/>
      <c r="U13" s="198"/>
      <c r="W13" s="127" t="s">
        <v>15</v>
      </c>
      <c r="X13" s="127"/>
      <c r="Y13" s="127"/>
      <c r="Z13" s="51">
        <v>1</v>
      </c>
      <c r="AB13" s="51">
        <v>1</v>
      </c>
      <c r="AC13" s="127" t="s">
        <v>4</v>
      </c>
      <c r="AD13" s="127"/>
      <c r="AE13" s="127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9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8"/>
      <c r="R14" s="198"/>
      <c r="S14" s="198"/>
      <c r="T14" s="198"/>
      <c r="U14" s="198"/>
      <c r="W14" s="127" t="s">
        <v>18</v>
      </c>
      <c r="X14" s="127"/>
      <c r="Y14" s="127"/>
      <c r="Z14" s="51">
        <v>0</v>
      </c>
      <c r="AB14" s="51">
        <v>2</v>
      </c>
      <c r="AC14" s="127" t="s">
        <v>32</v>
      </c>
      <c r="AD14" s="127"/>
      <c r="AE14" s="127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198"/>
      <c r="R15" s="198"/>
      <c r="S15" s="198"/>
      <c r="T15" s="198"/>
      <c r="U15" s="198"/>
      <c r="W15" s="127" t="s">
        <v>5</v>
      </c>
      <c r="X15" s="127"/>
      <c r="Y15" s="127"/>
      <c r="Z15" s="51">
        <v>2</v>
      </c>
      <c r="AB15" s="51">
        <v>1</v>
      </c>
      <c r="AC15" s="127" t="s">
        <v>6</v>
      </c>
      <c r="AD15" s="127"/>
      <c r="AE15" s="127"/>
    </row>
    <row r="16" spans="1:31" x14ac:dyDescent="0.25">
      <c r="A16" s="18" t="s">
        <v>5</v>
      </c>
      <c r="B16" s="16">
        <v>3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7"/>
      <c r="X16" s="127"/>
      <c r="Y16" s="127"/>
      <c r="AC16" s="127"/>
      <c r="AD16" s="127"/>
      <c r="AE16" s="127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7"/>
      <c r="X17" s="127"/>
      <c r="Y17" s="127"/>
      <c r="AC17" s="127"/>
      <c r="AD17" s="127"/>
      <c r="AE17" s="127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7"/>
      <c r="X18" s="127"/>
      <c r="Y18" s="127"/>
      <c r="AC18" s="127"/>
      <c r="AD18" s="127"/>
      <c r="AE18" s="127"/>
    </row>
    <row r="19" spans="1:31" x14ac:dyDescent="0.25">
      <c r="A19" s="18" t="s">
        <v>5</v>
      </c>
      <c r="B19" s="16">
        <v>1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10</v>
      </c>
      <c r="S19" s="22">
        <v>13</v>
      </c>
      <c r="T19" s="22">
        <v>18</v>
      </c>
      <c r="U19" s="22">
        <v>16</v>
      </c>
      <c r="W19" s="127"/>
      <c r="X19" s="127"/>
      <c r="Y19" s="127"/>
      <c r="AC19" s="127"/>
      <c r="AD19" s="127"/>
      <c r="AE19" s="127"/>
    </row>
    <row r="20" spans="1:31" x14ac:dyDescent="0.25">
      <c r="A20" s="18" t="s">
        <v>26</v>
      </c>
      <c r="B20" s="16">
        <v>0</v>
      </c>
      <c r="C20" s="16" t="s">
        <v>53</v>
      </c>
      <c r="D20" s="16">
        <v>2</v>
      </c>
      <c r="E20" s="19" t="s">
        <v>5</v>
      </c>
      <c r="H20" s="16">
        <v>25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7"/>
      <c r="X20" s="127"/>
      <c r="Y20" s="127"/>
      <c r="AC20" s="127"/>
      <c r="AD20" s="127"/>
      <c r="AE20" s="127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202" t="s">
        <v>42</v>
      </c>
      <c r="R21" s="202"/>
      <c r="S21" s="199" t="s">
        <v>8</v>
      </c>
      <c r="T21" s="199"/>
      <c r="U21" s="199" t="s">
        <v>27</v>
      </c>
      <c r="V21" s="199"/>
      <c r="W21" s="127"/>
      <c r="X21" s="127"/>
      <c r="Y21" s="127"/>
      <c r="AC21" s="127"/>
      <c r="AD21" s="127"/>
      <c r="AE21" s="127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202" t="s">
        <v>41</v>
      </c>
      <c r="R22" s="202"/>
      <c r="S22" s="203" t="s">
        <v>130</v>
      </c>
      <c r="T22" s="203"/>
      <c r="U22" s="203" t="s">
        <v>127</v>
      </c>
      <c r="V22" s="203"/>
      <c r="W22" s="127"/>
      <c r="X22" s="127"/>
      <c r="Y22" s="127"/>
      <c r="AC22" s="127"/>
      <c r="AD22" s="127"/>
      <c r="AE22" s="127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7"/>
      <c r="X23" s="127"/>
      <c r="Y23" s="127"/>
      <c r="AC23" s="127"/>
      <c r="AD23" s="127"/>
      <c r="AE23" s="127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7"/>
      <c r="X24" s="127"/>
      <c r="Y24" s="127"/>
      <c r="AC24" s="127"/>
      <c r="AD24" s="127"/>
      <c r="AE24" s="127"/>
    </row>
    <row r="25" spans="1:31" x14ac:dyDescent="0.25">
      <c r="A25" s="18" t="s">
        <v>31</v>
      </c>
      <c r="B25" s="16">
        <v>0</v>
      </c>
      <c r="C25" s="16" t="s">
        <v>53</v>
      </c>
      <c r="D25" s="16">
        <v>0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7"/>
      <c r="X25" s="127"/>
      <c r="Y25" s="127"/>
      <c r="AC25" s="127"/>
      <c r="AD25" s="127"/>
      <c r="AE25" s="127"/>
    </row>
    <row r="26" spans="1:31" x14ac:dyDescent="0.25">
      <c r="A26" s="18" t="s">
        <v>17</v>
      </c>
      <c r="B26" s="16">
        <v>2</v>
      </c>
      <c r="C26" s="16" t="s">
        <v>53</v>
      </c>
      <c r="D26" s="16">
        <v>2</v>
      </c>
      <c r="E26" s="19" t="s">
        <v>13</v>
      </c>
      <c r="H26" s="16">
        <v>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7"/>
      <c r="X26" s="127"/>
      <c r="Y26" s="127"/>
      <c r="AC26" s="127"/>
      <c r="AD26" s="127"/>
      <c r="AE26" s="127"/>
    </row>
    <row r="27" spans="1:31" x14ac:dyDescent="0.25">
      <c r="A27" s="18" t="s">
        <v>31</v>
      </c>
      <c r="B27" s="16">
        <v>1</v>
      </c>
      <c r="C27" s="16" t="s">
        <v>53</v>
      </c>
      <c r="D27" s="16">
        <v>2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7"/>
      <c r="X27" s="127"/>
      <c r="Y27" s="127"/>
      <c r="AC27" s="127"/>
      <c r="AD27" s="127"/>
      <c r="AE27" s="127"/>
    </row>
    <row r="28" spans="1:31" x14ac:dyDescent="0.25">
      <c r="A28" s="18" t="s">
        <v>6</v>
      </c>
      <c r="B28" s="16">
        <v>0</v>
      </c>
      <c r="C28" s="16" t="s">
        <v>53</v>
      </c>
      <c r="D28" s="16">
        <v>2</v>
      </c>
      <c r="E28" s="19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7"/>
      <c r="X28" s="127"/>
      <c r="Y28" s="127"/>
      <c r="AC28" s="127"/>
      <c r="AD28" s="127"/>
      <c r="AE28" s="127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7"/>
      <c r="X29" s="127"/>
      <c r="Y29" s="127"/>
      <c r="AC29" s="127"/>
      <c r="AD29" s="127"/>
      <c r="AE29" s="127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7"/>
      <c r="X30" s="127"/>
      <c r="Y30" s="127"/>
      <c r="AC30" s="127"/>
      <c r="AD30" s="127"/>
      <c r="AE30" s="127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0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3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0</v>
      </c>
      <c r="C37" s="16" t="s">
        <v>53</v>
      </c>
      <c r="D37" s="16">
        <v>3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0</v>
      </c>
      <c r="E38" s="19" t="s">
        <v>10</v>
      </c>
      <c r="H38" s="16">
        <v>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2</v>
      </c>
      <c r="C49" s="16" t="s">
        <v>53</v>
      </c>
      <c r="D49" s="16">
        <v>1</v>
      </c>
      <c r="E49" s="19" t="s">
        <v>30</v>
      </c>
      <c r="H49" s="16">
        <v>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172</v>
      </c>
    </row>
    <row r="58" spans="1:15" x14ac:dyDescent="0.25">
      <c r="A58" s="208" t="str">
        <f>_xlfn.CONCAT(W2,A57)</f>
        <v>Talita - Oitavas de Final</v>
      </c>
      <c r="B58" s="208"/>
      <c r="C58" s="208"/>
      <c r="D58" s="208"/>
      <c r="E58" s="208"/>
      <c r="K58" s="209" t="s">
        <v>170</v>
      </c>
      <c r="L58" s="209"/>
      <c r="M58" s="209"/>
      <c r="N58" s="209"/>
      <c r="O58" s="209"/>
    </row>
    <row r="59" spans="1:15" x14ac:dyDescent="0.25">
      <c r="A59" s="84" t="s">
        <v>19</v>
      </c>
      <c r="B59" s="85">
        <v>1</v>
      </c>
      <c r="C59" s="85" t="s">
        <v>53</v>
      </c>
      <c r="D59" s="85">
        <v>0</v>
      </c>
      <c r="E59" s="86" t="s">
        <v>165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166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1</v>
      </c>
      <c r="E64" s="86" t="s">
        <v>26</v>
      </c>
      <c r="H64" s="16">
        <v>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1</v>
      </c>
      <c r="E65" s="86" t="s">
        <v>15</v>
      </c>
      <c r="H65" s="16">
        <v>10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173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Talita - Quartas de Final</v>
      </c>
      <c r="B68" s="208"/>
      <c r="C68" s="208"/>
      <c r="D68" s="208"/>
      <c r="E68" s="208"/>
      <c r="J68" s="17" t="str">
        <f>IF(Tabela!F41="","",Tabela!F41)</f>
        <v/>
      </c>
      <c r="K68" s="209" t="s">
        <v>138</v>
      </c>
      <c r="L68" s="209"/>
      <c r="M68" s="209"/>
      <c r="N68" s="209"/>
      <c r="O68" s="209"/>
    </row>
    <row r="69" spans="1:15" x14ac:dyDescent="0.25">
      <c r="A69" s="91" t="str">
        <f>Tabela!A42</f>
        <v>Holanda</v>
      </c>
      <c r="B69" s="92">
        <v>1</v>
      </c>
      <c r="C69" s="92" t="s">
        <v>53</v>
      </c>
      <c r="D69" s="92">
        <v>1</v>
      </c>
      <c r="E69" s="90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1" t="s">
        <v>12</v>
      </c>
      <c r="B70" s="92">
        <v>1</v>
      </c>
      <c r="C70" s="92" t="s">
        <v>53</v>
      </c>
      <c r="D70" s="92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1" t="s">
        <v>20</v>
      </c>
      <c r="B71" s="92">
        <v>1</v>
      </c>
      <c r="C71" s="92" t="s">
        <v>53</v>
      </c>
      <c r="D71" s="92">
        <v>1</v>
      </c>
      <c r="E71" s="90" t="s">
        <v>17</v>
      </c>
      <c r="H71" s="16">
        <v>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1" t="str">
        <f>Tabela!A45</f>
        <v>Marrocos</v>
      </c>
      <c r="B72" s="92">
        <v>0</v>
      </c>
      <c r="C72" s="92" t="s">
        <v>53</v>
      </c>
      <c r="D72" s="92">
        <v>1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178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10" t="str">
        <f>_xlfn.CONCAT(W$2,A73)</f>
        <v>Talita - Semi Final</v>
      </c>
      <c r="B74" s="210"/>
      <c r="C74" s="210"/>
      <c r="D74" s="210"/>
      <c r="E74" s="210"/>
      <c r="J74" s="17" t="str">
        <f>IF(Tabela!F47="","",Tabela!F47)</f>
        <v/>
      </c>
      <c r="K74" s="209" t="s">
        <v>139</v>
      </c>
      <c r="L74" s="209"/>
      <c r="M74" s="209"/>
      <c r="N74" s="209"/>
      <c r="O74" s="209"/>
    </row>
    <row r="75" spans="1:15" x14ac:dyDescent="0.25">
      <c r="A75" s="18" t="str">
        <f>IF(Tabela!A48="","",Tabela!A48)</f>
        <v>Argentina</v>
      </c>
      <c r="B75" s="76">
        <v>0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0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179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10" t="str">
        <f>_xlfn.CONCAT(W$2,A77)</f>
        <v>Talita - Terceiro Lugar</v>
      </c>
      <c r="B78" s="210"/>
      <c r="C78" s="210"/>
      <c r="D78" s="210"/>
      <c r="E78" s="210"/>
      <c r="J78" s="17" t="str">
        <f>IF(Tabela!F51="","",Tabela!F51)</f>
        <v/>
      </c>
      <c r="K78" s="209" t="s">
        <v>140</v>
      </c>
      <c r="L78" s="209"/>
      <c r="M78" s="209"/>
      <c r="N78" s="209"/>
      <c r="O78" s="209"/>
    </row>
    <row r="79" spans="1:15" x14ac:dyDescent="0.25">
      <c r="A79" s="18" t="str">
        <f>IF(Tabela!A52="","",Tabela!A52)</f>
        <v>Croácia</v>
      </c>
      <c r="B79" s="76">
        <v>1</v>
      </c>
      <c r="C79" s="76" t="s">
        <v>53</v>
      </c>
      <c r="D79" s="76">
        <v>0</v>
      </c>
      <c r="E79" s="19" t="str">
        <f>IF(Tabela!E52="","",Tabela!E52)</f>
        <v>Marrocos</v>
      </c>
      <c r="H79" s="16">
        <v>10</v>
      </c>
      <c r="J79" s="17" t="str">
        <f>IF(Tabela!F52="","",Tabela!F52)</f>
        <v/>
      </c>
      <c r="K79" s="76" t="str">
        <f>IF(Tabela!A52="","",Tabela!A52)</f>
        <v>Croácia</v>
      </c>
      <c r="L79" s="76">
        <f>IF(Tabela!B52="","",Tabela!B52)</f>
        <v>2</v>
      </c>
      <c r="M79" s="76" t="str">
        <f>IF(Tabela!C52="","",Tabela!C52)</f>
        <v>X</v>
      </c>
      <c r="N79" s="76">
        <f>IF(Tabela!D52="","",Tabela!D52)</f>
        <v>1</v>
      </c>
      <c r="O79" s="76" t="str">
        <f>IF(Tabela!E52="","",Tabela!E52)</f>
        <v>Marrocos</v>
      </c>
    </row>
    <row r="80" spans="1:15" x14ac:dyDescent="0.25">
      <c r="A80" s="73" t="s">
        <v>180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10" t="str">
        <f>_xlfn.CONCAT(W$2,A80)</f>
        <v>Talita - Final</v>
      </c>
      <c r="B81" s="210"/>
      <c r="C81" s="210"/>
      <c r="D81" s="210"/>
      <c r="E81" s="210"/>
      <c r="J81" s="17" t="str">
        <f>IF(Tabela!F54="","",Tabela!F54)</f>
        <v/>
      </c>
      <c r="K81" s="209" t="s">
        <v>141</v>
      </c>
      <c r="L81" s="209"/>
      <c r="M81" s="209"/>
      <c r="N81" s="209"/>
      <c r="O81" s="209"/>
    </row>
    <row r="82" spans="1:15" x14ac:dyDescent="0.25">
      <c r="A82" s="18" t="str">
        <f>IF(Tabela!A55="","",Tabela!A55)</f>
        <v>Argentina</v>
      </c>
      <c r="B82" s="76">
        <v>2</v>
      </c>
      <c r="C82" s="76" t="s">
        <v>53</v>
      </c>
      <c r="D82" s="76">
        <v>2</v>
      </c>
      <c r="E82" s="19" t="str">
        <f>IF(Tabela!E55="","",Tabela!E55)</f>
        <v>França</v>
      </c>
      <c r="H82" s="16">
        <v>10</v>
      </c>
      <c r="J82" s="17" t="str">
        <f>IF(Tabela!F55="","",Tabela!F55)</f>
        <v/>
      </c>
      <c r="K82" s="76" t="str">
        <f>IF(Tabela!A55="","",Tabela!A55)</f>
        <v>Argentina</v>
      </c>
      <c r="L82" s="76">
        <f>IF(Tabela!B55="","",Tabela!B55)</f>
        <v>3</v>
      </c>
      <c r="M82" s="76" t="str">
        <f>IF(Tabela!C55="","",Tabela!C55)</f>
        <v>X</v>
      </c>
      <c r="N82" s="76">
        <f>IF(Tabela!D55="","",Tabela!D55)</f>
        <v>3</v>
      </c>
      <c r="O82" s="76" t="str">
        <f>IF(Tabela!E55="","",Tabela!E55)</f>
        <v>França</v>
      </c>
    </row>
    <row r="84" spans="1:15" x14ac:dyDescent="0.25">
      <c r="E84" s="19" t="s">
        <v>174</v>
      </c>
      <c r="H84" s="16">
        <v>0</v>
      </c>
    </row>
    <row r="85" spans="1:15" x14ac:dyDescent="0.25">
      <c r="E85" s="19" t="s">
        <v>125</v>
      </c>
      <c r="H85" s="16">
        <v>50</v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6" width="5.7109375" style="17" customWidth="1"/>
    <col min="47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2" t="s">
        <v>43</v>
      </c>
      <c r="B2" s="212"/>
      <c r="C2" s="212"/>
      <c r="D2" s="212"/>
      <c r="E2" s="212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0" t="s">
        <v>88</v>
      </c>
      <c r="X2" s="200"/>
      <c r="Y2" s="200"/>
      <c r="Z2" s="200"/>
      <c r="AA2" s="200"/>
      <c r="AB2" s="200"/>
      <c r="AC2" s="200"/>
      <c r="AD2" s="200"/>
      <c r="AE2" s="200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0"/>
      <c r="X3" s="200"/>
      <c r="Y3" s="200"/>
      <c r="Z3" s="200"/>
      <c r="AA3" s="200"/>
      <c r="AB3" s="200"/>
      <c r="AC3" s="200"/>
      <c r="AD3" s="200"/>
      <c r="AE3" s="200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0"/>
      <c r="X4" s="200"/>
      <c r="Y4" s="200"/>
      <c r="Z4" s="200"/>
      <c r="AA4" s="200"/>
      <c r="AB4" s="200"/>
      <c r="AC4" s="200"/>
      <c r="AD4" s="200"/>
      <c r="AE4" s="200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0"/>
      <c r="X5" s="200"/>
      <c r="Y5" s="200"/>
      <c r="Z5" s="200"/>
      <c r="AA5" s="200"/>
      <c r="AB5" s="200"/>
      <c r="AC5" s="200"/>
      <c r="AD5" s="200"/>
      <c r="AE5" s="200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0"/>
      <c r="X6" s="200"/>
      <c r="Y6" s="200"/>
      <c r="Z6" s="200"/>
      <c r="AA6" s="200"/>
      <c r="AB6" s="200"/>
      <c r="AC6" s="200"/>
      <c r="AD6" s="200"/>
      <c r="AE6" s="200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7" t="s">
        <v>66</v>
      </c>
      <c r="R9" s="197"/>
      <c r="S9" s="197"/>
      <c r="T9" s="197"/>
      <c r="U9" s="197"/>
      <c r="W9" s="127" t="s">
        <v>123</v>
      </c>
      <c r="X9" s="127"/>
      <c r="Y9" s="127"/>
      <c r="Z9" s="127"/>
      <c r="AA9" s="127"/>
      <c r="AB9" s="127"/>
      <c r="AC9" s="127"/>
      <c r="AD9" s="127"/>
      <c r="AE9" s="127"/>
    </row>
    <row r="10" spans="1:31" x14ac:dyDescent="0.25">
      <c r="A10" s="18" t="s">
        <v>54</v>
      </c>
      <c r="B10" s="16">
        <v>1</v>
      </c>
      <c r="C10" s="16" t="s">
        <v>53</v>
      </c>
      <c r="D10" s="16">
        <v>2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7"/>
      <c r="R10" s="197"/>
      <c r="S10" s="197"/>
      <c r="T10" s="197"/>
      <c r="U10" s="197"/>
      <c r="W10" s="127" t="s">
        <v>28</v>
      </c>
      <c r="X10" s="127"/>
      <c r="Y10" s="127"/>
      <c r="Z10" s="51">
        <v>0</v>
      </c>
      <c r="AB10" s="51">
        <v>2</v>
      </c>
      <c r="AC10" s="127" t="s">
        <v>19</v>
      </c>
      <c r="AD10" s="127"/>
      <c r="AE10" s="127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8">
        <f>SUM(H2:H85)</f>
        <v>570</v>
      </c>
      <c r="R11" s="198"/>
      <c r="S11" s="198"/>
      <c r="T11" s="198"/>
      <c r="U11" s="198"/>
      <c r="W11" s="127" t="s">
        <v>26</v>
      </c>
      <c r="X11" s="127"/>
      <c r="Y11" s="127"/>
      <c r="Z11" s="51">
        <v>2</v>
      </c>
      <c r="AB11" s="51">
        <v>0</v>
      </c>
      <c r="AC11" s="127" t="s">
        <v>55</v>
      </c>
      <c r="AD11" s="127"/>
      <c r="AE11" s="127"/>
    </row>
    <row r="12" spans="1:31" x14ac:dyDescent="0.25">
      <c r="A12" s="18" t="s">
        <v>20</v>
      </c>
      <c r="B12" s="16">
        <v>3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8"/>
      <c r="R12" s="198"/>
      <c r="S12" s="198"/>
      <c r="T12" s="198"/>
      <c r="U12" s="198"/>
      <c r="W12" s="127" t="s">
        <v>18</v>
      </c>
      <c r="X12" s="127"/>
      <c r="Y12" s="127"/>
      <c r="Z12" s="51">
        <v>0</v>
      </c>
      <c r="AB12" s="51">
        <v>2</v>
      </c>
      <c r="AC12" s="127" t="s">
        <v>32</v>
      </c>
      <c r="AD12" s="127"/>
      <c r="AE12" s="127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8"/>
      <c r="R13" s="198"/>
      <c r="S13" s="198"/>
      <c r="T13" s="198"/>
      <c r="U13" s="198"/>
      <c r="W13" s="127" t="s">
        <v>5</v>
      </c>
      <c r="X13" s="127"/>
      <c r="Y13" s="127"/>
      <c r="Z13" s="51">
        <v>2</v>
      </c>
      <c r="AB13" s="51">
        <v>1</v>
      </c>
      <c r="AC13" s="127" t="s">
        <v>6</v>
      </c>
      <c r="AD13" s="127"/>
      <c r="AE13" s="127"/>
    </row>
    <row r="14" spans="1:31" x14ac:dyDescent="0.25">
      <c r="A14" s="18" t="s">
        <v>34</v>
      </c>
      <c r="B14" s="16">
        <v>1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8"/>
      <c r="R14" s="198"/>
      <c r="S14" s="198"/>
      <c r="T14" s="198"/>
      <c r="U14" s="198"/>
      <c r="W14" s="127" t="s">
        <v>17</v>
      </c>
      <c r="X14" s="127"/>
      <c r="Y14" s="127"/>
      <c r="Z14" s="51">
        <v>2</v>
      </c>
      <c r="AB14" s="51">
        <v>0</v>
      </c>
      <c r="AC14" s="127" t="s">
        <v>23</v>
      </c>
      <c r="AD14" s="127"/>
      <c r="AE14" s="127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198"/>
      <c r="R15" s="198"/>
      <c r="S15" s="198"/>
      <c r="T15" s="198"/>
      <c r="U15" s="198"/>
      <c r="W15" s="127"/>
      <c r="X15" s="127"/>
      <c r="Y15" s="127"/>
      <c r="AC15" s="127"/>
      <c r="AD15" s="127"/>
      <c r="AE15" s="127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7"/>
      <c r="X16" s="127"/>
      <c r="Y16" s="127"/>
      <c r="AC16" s="127"/>
      <c r="AD16" s="127"/>
      <c r="AE16" s="127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7"/>
      <c r="X17" s="127"/>
      <c r="Y17" s="127"/>
      <c r="AC17" s="127"/>
      <c r="AD17" s="127"/>
      <c r="AE17" s="127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7"/>
      <c r="X18" s="127"/>
      <c r="Y18" s="127"/>
      <c r="AC18" s="127"/>
      <c r="AD18" s="127"/>
      <c r="AE18" s="127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5</v>
      </c>
      <c r="R19" s="22">
        <v>13</v>
      </c>
      <c r="S19" s="22">
        <v>13</v>
      </c>
      <c r="T19" s="22">
        <v>14</v>
      </c>
      <c r="U19" s="22">
        <v>18</v>
      </c>
      <c r="W19" s="127"/>
      <c r="X19" s="127"/>
      <c r="Y19" s="127"/>
      <c r="AC19" s="127"/>
      <c r="AD19" s="127"/>
      <c r="AE19" s="127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7"/>
      <c r="X20" s="127"/>
      <c r="Y20" s="127"/>
      <c r="AC20" s="127"/>
      <c r="AD20" s="127"/>
      <c r="AE20" s="127"/>
    </row>
    <row r="21" spans="1:31" x14ac:dyDescent="0.25">
      <c r="A21" s="18" t="s">
        <v>55</v>
      </c>
      <c r="B21" s="16">
        <v>1</v>
      </c>
      <c r="C21" s="16" t="s">
        <v>53</v>
      </c>
      <c r="D21" s="16">
        <v>1</v>
      </c>
      <c r="E21" s="19" t="s">
        <v>24</v>
      </c>
      <c r="H21" s="16">
        <v>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202" t="s">
        <v>42</v>
      </c>
      <c r="R21" s="202"/>
      <c r="S21" s="199" t="s">
        <v>8</v>
      </c>
      <c r="T21" s="199"/>
      <c r="U21" s="199" t="s">
        <v>17</v>
      </c>
      <c r="V21" s="199"/>
      <c r="W21" s="127"/>
      <c r="X21" s="127"/>
      <c r="Y21" s="127"/>
      <c r="AC21" s="127"/>
      <c r="AD21" s="127"/>
      <c r="AE21" s="127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202" t="s">
        <v>41</v>
      </c>
      <c r="R22" s="202"/>
      <c r="S22" s="203" t="s">
        <v>127</v>
      </c>
      <c r="T22" s="203"/>
      <c r="U22" s="203" t="s">
        <v>129</v>
      </c>
      <c r="V22" s="203"/>
      <c r="W22" s="127"/>
      <c r="X22" s="127"/>
      <c r="Y22" s="127"/>
      <c r="AC22" s="127"/>
      <c r="AD22" s="127"/>
      <c r="AE22" s="127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7"/>
      <c r="X23" s="127"/>
      <c r="Y23" s="127"/>
      <c r="AC23" s="127"/>
      <c r="AD23" s="127"/>
      <c r="AE23" s="127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7"/>
      <c r="X24" s="127"/>
      <c r="Y24" s="127"/>
      <c r="AC24" s="127"/>
      <c r="AD24" s="127"/>
      <c r="AE24" s="127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7"/>
      <c r="X25" s="127"/>
      <c r="Y25" s="127"/>
      <c r="AC25" s="127"/>
      <c r="AD25" s="127"/>
      <c r="AE25" s="127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7"/>
      <c r="X26" s="127"/>
      <c r="Y26" s="127"/>
      <c r="AC26" s="127"/>
      <c r="AD26" s="127"/>
      <c r="AE26" s="127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7"/>
      <c r="X27" s="127"/>
      <c r="Y27" s="127"/>
      <c r="AC27" s="127"/>
      <c r="AD27" s="127"/>
      <c r="AE27" s="127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7"/>
      <c r="X28" s="127"/>
      <c r="Y28" s="127"/>
      <c r="AC28" s="127"/>
      <c r="AD28" s="127"/>
      <c r="AE28" s="127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7"/>
      <c r="X29" s="127"/>
      <c r="Y29" s="127"/>
      <c r="AC29" s="127"/>
      <c r="AD29" s="127"/>
      <c r="AE29" s="127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7"/>
      <c r="X30" s="127"/>
      <c r="Y30" s="127"/>
      <c r="AC30" s="127"/>
      <c r="AD30" s="127"/>
      <c r="AE30" s="127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2</v>
      </c>
      <c r="C44" s="16" t="s">
        <v>53</v>
      </c>
      <c r="D44" s="16">
        <v>0</v>
      </c>
      <c r="E44" s="19" t="s">
        <v>9</v>
      </c>
      <c r="H44" s="16">
        <v>15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1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172</v>
      </c>
    </row>
    <row r="58" spans="1:15" x14ac:dyDescent="0.25">
      <c r="A58" s="208" t="str">
        <f>_xlfn.CONCAT(W2,A57)</f>
        <v>Anderson - Oitavas de Final</v>
      </c>
      <c r="B58" s="208"/>
      <c r="C58" s="208"/>
      <c r="D58" s="208"/>
      <c r="E58" s="208"/>
      <c r="K58" s="209" t="s">
        <v>170</v>
      </c>
      <c r="L58" s="209"/>
      <c r="M58" s="209"/>
      <c r="N58" s="209"/>
      <c r="O58" s="209"/>
    </row>
    <row r="59" spans="1:15" x14ac:dyDescent="0.25">
      <c r="A59" s="84" t="s">
        <v>19</v>
      </c>
      <c r="B59" s="85">
        <v>1</v>
      </c>
      <c r="C59" s="85" t="s">
        <v>53</v>
      </c>
      <c r="D59" s="85">
        <v>2</v>
      </c>
      <c r="E59" s="86" t="s">
        <v>165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0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166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0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0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173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Anderson - Quartas de Final</v>
      </c>
      <c r="B68" s="208"/>
      <c r="C68" s="208"/>
      <c r="D68" s="208"/>
      <c r="E68" s="208"/>
      <c r="J68" s="17" t="str">
        <f>IF(Tabela!F41="","",Tabela!F41)</f>
        <v/>
      </c>
      <c r="K68" s="209" t="s">
        <v>138</v>
      </c>
      <c r="L68" s="209"/>
      <c r="M68" s="209"/>
      <c r="N68" s="209"/>
      <c r="O68" s="209"/>
    </row>
    <row r="69" spans="1:15" x14ac:dyDescent="0.25">
      <c r="A69" s="91" t="str">
        <f>Tabela!A42</f>
        <v>Holanda</v>
      </c>
      <c r="B69" s="92">
        <v>2</v>
      </c>
      <c r="C69" s="92" t="s">
        <v>53</v>
      </c>
      <c r="D69" s="92">
        <v>1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1" t="s">
        <v>12</v>
      </c>
      <c r="B70" s="92">
        <v>0</v>
      </c>
      <c r="C70" s="92" t="s">
        <v>53</v>
      </c>
      <c r="D70" s="92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1" t="s">
        <v>20</v>
      </c>
      <c r="B71" s="92">
        <v>1</v>
      </c>
      <c r="C71" s="92" t="s">
        <v>53</v>
      </c>
      <c r="D71" s="92">
        <v>3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1" t="str">
        <f>Tabela!A45</f>
        <v>Marrocos</v>
      </c>
      <c r="B72" s="92">
        <v>1</v>
      </c>
      <c r="C72" s="92" t="s">
        <v>53</v>
      </c>
      <c r="D72" s="92">
        <v>2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178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10" t="str">
        <f>_xlfn.CONCAT(W$2,A73)</f>
        <v>Anderson - Semi Final</v>
      </c>
      <c r="B74" s="210"/>
      <c r="C74" s="210"/>
      <c r="D74" s="210"/>
      <c r="E74" s="210"/>
      <c r="J74" s="17" t="str">
        <f>IF(Tabela!F47="","",Tabela!F47)</f>
        <v/>
      </c>
      <c r="K74" s="209" t="s">
        <v>139</v>
      </c>
      <c r="L74" s="209"/>
      <c r="M74" s="209"/>
      <c r="N74" s="209"/>
      <c r="O74" s="209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25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179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10" t="str">
        <f>_xlfn.CONCAT(W$2,A77)</f>
        <v>Anderson - Terceiro Lugar</v>
      </c>
      <c r="B78" s="210"/>
      <c r="C78" s="210"/>
      <c r="D78" s="210"/>
      <c r="E78" s="210"/>
      <c r="J78" s="17" t="str">
        <f>IF(Tabela!F51="","",Tabela!F51)</f>
        <v/>
      </c>
      <c r="K78" s="209" t="s">
        <v>140</v>
      </c>
      <c r="L78" s="209"/>
      <c r="M78" s="209"/>
      <c r="N78" s="209"/>
      <c r="O78" s="209"/>
    </row>
    <row r="79" spans="1:15" x14ac:dyDescent="0.25">
      <c r="A79" s="18" t="str">
        <f>IF(Tabela!A52="","",Tabela!A52)</f>
        <v>Croácia</v>
      </c>
      <c r="B79" s="76">
        <v>1</v>
      </c>
      <c r="C79" s="76" t="s">
        <v>53</v>
      </c>
      <c r="D79" s="76">
        <v>1</v>
      </c>
      <c r="E79" s="19" t="str">
        <f>IF(Tabela!E52="","",Tabela!E52)</f>
        <v>Marrocos</v>
      </c>
      <c r="H79" s="16">
        <v>5</v>
      </c>
      <c r="J79" s="17" t="str">
        <f>IF(Tabela!F52="","",Tabela!F52)</f>
        <v/>
      </c>
      <c r="K79" s="76" t="str">
        <f>IF(Tabela!A52="","",Tabela!A52)</f>
        <v>Croácia</v>
      </c>
      <c r="L79" s="76">
        <f>IF(Tabela!B52="","",Tabela!B52)</f>
        <v>2</v>
      </c>
      <c r="M79" s="76" t="str">
        <f>IF(Tabela!C52="","",Tabela!C52)</f>
        <v>X</v>
      </c>
      <c r="N79" s="76">
        <f>IF(Tabela!D52="","",Tabela!D52)</f>
        <v>1</v>
      </c>
      <c r="O79" s="76" t="str">
        <f>IF(Tabela!E52="","",Tabela!E52)</f>
        <v>Marrocos</v>
      </c>
    </row>
    <row r="80" spans="1:15" x14ac:dyDescent="0.25">
      <c r="A80" s="73" t="s">
        <v>180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10" t="str">
        <f>_xlfn.CONCAT(W$2,A80)</f>
        <v>Anderson - Final</v>
      </c>
      <c r="B81" s="210"/>
      <c r="C81" s="210"/>
      <c r="D81" s="210"/>
      <c r="E81" s="210"/>
      <c r="J81" s="17" t="str">
        <f>IF(Tabela!F54="","",Tabela!F54)</f>
        <v/>
      </c>
      <c r="K81" s="209" t="s">
        <v>141</v>
      </c>
      <c r="L81" s="209"/>
      <c r="M81" s="209"/>
      <c r="N81" s="209"/>
      <c r="O81" s="209"/>
    </row>
    <row r="82" spans="1:15" x14ac:dyDescent="0.25">
      <c r="A82" s="18" t="str">
        <f>IF(Tabela!A55="","",Tabela!A55)</f>
        <v>Argentina</v>
      </c>
      <c r="B82" s="76">
        <v>1</v>
      </c>
      <c r="C82" s="76" t="s">
        <v>53</v>
      </c>
      <c r="D82" s="76">
        <v>0</v>
      </c>
      <c r="E82" s="19" t="str">
        <f>IF(Tabela!E55="","",Tabela!E55)</f>
        <v>França</v>
      </c>
      <c r="H82" s="16">
        <v>0</v>
      </c>
      <c r="J82" s="17" t="str">
        <f>IF(Tabela!F55="","",Tabela!F55)</f>
        <v/>
      </c>
      <c r="K82" s="76" t="str">
        <f>IF(Tabela!A55="","",Tabela!A55)</f>
        <v>Argentina</v>
      </c>
      <c r="L82" s="76">
        <f>IF(Tabela!B55="","",Tabela!B55)</f>
        <v>3</v>
      </c>
      <c r="M82" s="76" t="str">
        <f>IF(Tabela!C55="","",Tabela!C55)</f>
        <v>X</v>
      </c>
      <c r="N82" s="76">
        <f>IF(Tabela!D55="","",Tabela!D55)</f>
        <v>3</v>
      </c>
      <c r="O82" s="76" t="str">
        <f>IF(Tabela!E55="","",Tabela!E55)</f>
        <v>França</v>
      </c>
    </row>
    <row r="84" spans="1:15" x14ac:dyDescent="0.25">
      <c r="E84" s="19" t="s">
        <v>174</v>
      </c>
      <c r="H84" s="16">
        <v>0</v>
      </c>
    </row>
    <row r="85" spans="1:15" x14ac:dyDescent="0.25">
      <c r="E85" s="19" t="s">
        <v>125</v>
      </c>
      <c r="H85" s="16">
        <v>50</v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3" width="5.7109375" style="17" customWidth="1"/>
    <col min="44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2" t="s">
        <v>43</v>
      </c>
      <c r="B2" s="212"/>
      <c r="C2" s="212"/>
      <c r="D2" s="212"/>
      <c r="E2" s="212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0" t="s">
        <v>89</v>
      </c>
      <c r="X2" s="200"/>
      <c r="Y2" s="200"/>
      <c r="Z2" s="200"/>
      <c r="AA2" s="200"/>
      <c r="AB2" s="200"/>
      <c r="AC2" s="200"/>
      <c r="AD2" s="200"/>
      <c r="AE2" s="200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0"/>
      <c r="X3" s="200"/>
      <c r="Y3" s="200"/>
      <c r="Z3" s="200"/>
      <c r="AA3" s="200"/>
      <c r="AB3" s="200"/>
      <c r="AC3" s="200"/>
      <c r="AD3" s="200"/>
      <c r="AE3" s="200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0"/>
      <c r="X4" s="200"/>
      <c r="Y4" s="200"/>
      <c r="Z4" s="200"/>
      <c r="AA4" s="200"/>
      <c r="AB4" s="200"/>
      <c r="AC4" s="200"/>
      <c r="AD4" s="200"/>
      <c r="AE4" s="200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0"/>
      <c r="X5" s="200"/>
      <c r="Y5" s="200"/>
      <c r="Z5" s="200"/>
      <c r="AA5" s="200"/>
      <c r="AB5" s="200"/>
      <c r="AC5" s="200"/>
      <c r="AD5" s="200"/>
      <c r="AE5" s="200"/>
    </row>
    <row r="6" spans="1:31" x14ac:dyDescent="0.25">
      <c r="A6" s="18" t="s">
        <v>19</v>
      </c>
      <c r="B6" s="16">
        <v>3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0"/>
      <c r="X6" s="200"/>
      <c r="Y6" s="200"/>
      <c r="Z6" s="200"/>
      <c r="AA6" s="200"/>
      <c r="AB6" s="200"/>
      <c r="AC6" s="200"/>
      <c r="AD6" s="200"/>
      <c r="AE6" s="200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212" t="s">
        <v>43</v>
      </c>
      <c r="B9" s="212"/>
      <c r="C9" s="212"/>
      <c r="D9" s="212"/>
      <c r="E9" s="212"/>
      <c r="J9" s="17" t="s">
        <v>68</v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7" t="s">
        <v>66</v>
      </c>
      <c r="R9" s="197"/>
      <c r="S9" s="197"/>
      <c r="T9" s="197"/>
      <c r="U9" s="197"/>
      <c r="W9" s="127" t="s">
        <v>123</v>
      </c>
      <c r="X9" s="127"/>
      <c r="Y9" s="127"/>
      <c r="Z9" s="127"/>
      <c r="AA9" s="127"/>
      <c r="AB9" s="127"/>
      <c r="AC9" s="127"/>
      <c r="AD9" s="127"/>
      <c r="AE9" s="127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7"/>
      <c r="R10" s="197"/>
      <c r="S10" s="197"/>
      <c r="T10" s="197"/>
      <c r="U10" s="197"/>
      <c r="W10" s="127" t="s">
        <v>16</v>
      </c>
      <c r="X10" s="127"/>
      <c r="Y10" s="127"/>
      <c r="Z10" s="51">
        <v>1</v>
      </c>
      <c r="AB10" s="51">
        <v>1</v>
      </c>
      <c r="AC10" s="127" t="s">
        <v>34</v>
      </c>
      <c r="AD10" s="127"/>
      <c r="AE10" s="127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9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8">
        <f>SUM(H2:H85)</f>
        <v>525</v>
      </c>
      <c r="R11" s="198"/>
      <c r="S11" s="198"/>
      <c r="T11" s="198"/>
      <c r="U11" s="198"/>
      <c r="W11" s="127" t="s">
        <v>55</v>
      </c>
      <c r="X11" s="127"/>
      <c r="Y11" s="127"/>
      <c r="Z11" s="51">
        <v>1</v>
      </c>
      <c r="AB11" s="51">
        <v>2</v>
      </c>
      <c r="AC11" s="127" t="s">
        <v>24</v>
      </c>
      <c r="AD11" s="127"/>
      <c r="AE11" s="127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8"/>
      <c r="R12" s="198"/>
      <c r="S12" s="198"/>
      <c r="T12" s="198"/>
      <c r="U12" s="198"/>
      <c r="W12" s="127" t="s">
        <v>10</v>
      </c>
      <c r="X12" s="127"/>
      <c r="Y12" s="127"/>
      <c r="Z12" s="51">
        <v>1</v>
      </c>
      <c r="AB12" s="51">
        <v>2</v>
      </c>
      <c r="AC12" s="127" t="s">
        <v>23</v>
      </c>
      <c r="AD12" s="127"/>
      <c r="AE12" s="127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8"/>
      <c r="R13" s="198"/>
      <c r="S13" s="198"/>
      <c r="T13" s="198"/>
      <c r="U13" s="198"/>
      <c r="W13" s="127" t="s">
        <v>5</v>
      </c>
      <c r="X13" s="127"/>
      <c r="Y13" s="127"/>
      <c r="Z13" s="51">
        <v>2</v>
      </c>
      <c r="AB13" s="51">
        <v>1</v>
      </c>
      <c r="AC13" s="127" t="s">
        <v>6</v>
      </c>
      <c r="AD13" s="127"/>
      <c r="AE13" s="127"/>
    </row>
    <row r="14" spans="1:31" x14ac:dyDescent="0.25">
      <c r="A14" s="18" t="s">
        <v>34</v>
      </c>
      <c r="B14" s="16">
        <v>1</v>
      </c>
      <c r="C14" s="16" t="s">
        <v>53</v>
      </c>
      <c r="D14" s="16">
        <v>4</v>
      </c>
      <c r="E14" s="19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8"/>
      <c r="R14" s="198"/>
      <c r="S14" s="198"/>
      <c r="T14" s="198"/>
      <c r="U14" s="198"/>
      <c r="W14" s="127" t="s">
        <v>20</v>
      </c>
      <c r="X14" s="127"/>
      <c r="Y14" s="127"/>
      <c r="Z14" s="51">
        <v>1</v>
      </c>
      <c r="AB14" s="51">
        <v>2</v>
      </c>
      <c r="AC14" s="127" t="s">
        <v>17</v>
      </c>
      <c r="AD14" s="127"/>
      <c r="AE14" s="127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198"/>
      <c r="R15" s="198"/>
      <c r="S15" s="198"/>
      <c r="T15" s="198"/>
      <c r="U15" s="198"/>
      <c r="W15" s="127" t="s">
        <v>17</v>
      </c>
      <c r="X15" s="127"/>
      <c r="Y15" s="127"/>
      <c r="Z15" s="51">
        <v>2</v>
      </c>
      <c r="AB15" s="51">
        <v>0</v>
      </c>
      <c r="AC15" s="127" t="s">
        <v>23</v>
      </c>
      <c r="AD15" s="127"/>
      <c r="AE15" s="127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7"/>
      <c r="X16" s="127"/>
      <c r="Y16" s="127"/>
      <c r="AC16" s="127"/>
      <c r="AD16" s="127"/>
      <c r="AE16" s="127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7"/>
      <c r="X17" s="127"/>
      <c r="Y17" s="127"/>
      <c r="AC17" s="127"/>
      <c r="AD17" s="127"/>
      <c r="AE17" s="127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7"/>
      <c r="X18" s="127"/>
      <c r="Y18" s="127"/>
      <c r="AC18" s="127"/>
      <c r="AD18" s="127"/>
      <c r="AE18" s="127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9</v>
      </c>
      <c r="S19" s="22">
        <v>19</v>
      </c>
      <c r="T19" s="22">
        <v>10</v>
      </c>
      <c r="U19" s="22">
        <v>17</v>
      </c>
      <c r="W19" s="127"/>
      <c r="X19" s="127"/>
      <c r="Y19" s="127"/>
      <c r="AC19" s="127"/>
      <c r="AD19" s="127"/>
      <c r="AE19" s="127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7"/>
      <c r="X20" s="127"/>
      <c r="Y20" s="127"/>
      <c r="AC20" s="127"/>
      <c r="AD20" s="127"/>
      <c r="AE20" s="127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202" t="s">
        <v>42</v>
      </c>
      <c r="R21" s="202"/>
      <c r="S21" s="199" t="s">
        <v>8</v>
      </c>
      <c r="T21" s="199"/>
      <c r="U21" s="199" t="s">
        <v>15</v>
      </c>
      <c r="V21" s="199"/>
      <c r="W21" s="127"/>
      <c r="X21" s="127"/>
      <c r="Y21" s="127"/>
      <c r="AC21" s="127"/>
      <c r="AD21" s="127"/>
      <c r="AE21" s="127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202" t="s">
        <v>41</v>
      </c>
      <c r="R22" s="202"/>
      <c r="S22" s="203" t="s">
        <v>128</v>
      </c>
      <c r="T22" s="203"/>
      <c r="U22" s="203" t="s">
        <v>129</v>
      </c>
      <c r="V22" s="203"/>
      <c r="W22" s="127"/>
      <c r="X22" s="127"/>
      <c r="Y22" s="127"/>
      <c r="AC22" s="127"/>
      <c r="AD22" s="127"/>
      <c r="AE22" s="127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7"/>
      <c r="X23" s="127"/>
      <c r="Y23" s="127"/>
      <c r="AC23" s="127"/>
      <c r="AD23" s="127"/>
      <c r="AE23" s="127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7"/>
      <c r="X24" s="127"/>
      <c r="Y24" s="127"/>
      <c r="AC24" s="127"/>
      <c r="AD24" s="127"/>
      <c r="AE24" s="127"/>
    </row>
    <row r="25" spans="1:31" x14ac:dyDescent="0.25">
      <c r="A25" s="18" t="s">
        <v>31</v>
      </c>
      <c r="B25" s="16">
        <v>2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7"/>
      <c r="X25" s="127"/>
      <c r="Y25" s="127"/>
      <c r="AC25" s="127"/>
      <c r="AD25" s="127"/>
      <c r="AE25" s="127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7"/>
      <c r="X26" s="127"/>
      <c r="Y26" s="127"/>
      <c r="AC26" s="127"/>
      <c r="AD26" s="127"/>
      <c r="AE26" s="127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7"/>
      <c r="X27" s="127"/>
      <c r="Y27" s="127"/>
      <c r="AC27" s="127"/>
      <c r="AD27" s="127"/>
      <c r="AE27" s="127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7"/>
      <c r="X28" s="127"/>
      <c r="Y28" s="127"/>
      <c r="AC28" s="127"/>
      <c r="AD28" s="127"/>
      <c r="AE28" s="127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7"/>
      <c r="X29" s="127"/>
      <c r="Y29" s="127"/>
      <c r="AC29" s="127"/>
      <c r="AD29" s="127"/>
      <c r="AE29" s="127"/>
    </row>
    <row r="30" spans="1:31" x14ac:dyDescent="0.25">
      <c r="A30" s="18" t="s">
        <v>4</v>
      </c>
      <c r="B30" s="16">
        <v>3</v>
      </c>
      <c r="C30" s="16" t="s">
        <v>53</v>
      </c>
      <c r="D30" s="16">
        <v>1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7"/>
      <c r="X30" s="127"/>
      <c r="Y30" s="127"/>
      <c r="AC30" s="127"/>
      <c r="AD30" s="127"/>
      <c r="AE30" s="127"/>
    </row>
    <row r="31" spans="1:31" x14ac:dyDescent="0.25">
      <c r="A31" s="18" t="s">
        <v>15</v>
      </c>
      <c r="B31" s="16">
        <v>3</v>
      </c>
      <c r="C31" s="16" t="s">
        <v>53</v>
      </c>
      <c r="D31" s="16">
        <v>2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3</v>
      </c>
      <c r="C33" s="16" t="s">
        <v>53</v>
      </c>
      <c r="D33" s="16">
        <v>2</v>
      </c>
      <c r="E33" s="19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3</v>
      </c>
      <c r="E48" s="19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2</v>
      </c>
      <c r="E54" s="19" t="s">
        <v>32</v>
      </c>
      <c r="H54" s="16">
        <v>10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172</v>
      </c>
    </row>
    <row r="58" spans="1:15" x14ac:dyDescent="0.25">
      <c r="A58" s="208" t="str">
        <f>_xlfn.CONCAT(W2,A57)</f>
        <v>Cléofaz - Oitavas de Final</v>
      </c>
      <c r="B58" s="208"/>
      <c r="C58" s="208"/>
      <c r="D58" s="208"/>
      <c r="E58" s="208"/>
      <c r="K58" s="209" t="s">
        <v>170</v>
      </c>
      <c r="L58" s="209"/>
      <c r="M58" s="209"/>
      <c r="N58" s="209"/>
      <c r="O58" s="209"/>
    </row>
    <row r="59" spans="1:15" x14ac:dyDescent="0.25">
      <c r="A59" s="84" t="s">
        <v>19</v>
      </c>
      <c r="B59" s="85">
        <v>1</v>
      </c>
      <c r="C59" s="85" t="s">
        <v>53</v>
      </c>
      <c r="D59" s="85">
        <v>0</v>
      </c>
      <c r="E59" s="86" t="s">
        <v>165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2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166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0</v>
      </c>
      <c r="C66" s="85" t="s">
        <v>53</v>
      </c>
      <c r="D66" s="85">
        <v>1</v>
      </c>
      <c r="E66" s="8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173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Cléofaz - Quartas de Final</v>
      </c>
      <c r="B68" s="208"/>
      <c r="C68" s="208"/>
      <c r="D68" s="208"/>
      <c r="E68" s="208"/>
      <c r="J68" s="17" t="str">
        <f>IF(Tabela!F41="","",Tabela!F41)</f>
        <v/>
      </c>
      <c r="K68" s="209" t="s">
        <v>138</v>
      </c>
      <c r="L68" s="209"/>
      <c r="M68" s="209"/>
      <c r="N68" s="209"/>
      <c r="O68" s="209"/>
    </row>
    <row r="69" spans="1:15" x14ac:dyDescent="0.25">
      <c r="A69" s="91" t="str">
        <f>Tabela!A42</f>
        <v>Holanda</v>
      </c>
      <c r="B69" s="92">
        <v>2</v>
      </c>
      <c r="C69" s="92" t="s">
        <v>53</v>
      </c>
      <c r="D69" s="92">
        <v>1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1" t="s">
        <v>12</v>
      </c>
      <c r="B70" s="92">
        <v>0</v>
      </c>
      <c r="C70" s="92" t="s">
        <v>53</v>
      </c>
      <c r="D70" s="92">
        <v>1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1" t="s">
        <v>20</v>
      </c>
      <c r="B71" s="92">
        <v>1</v>
      </c>
      <c r="C71" s="92" t="s">
        <v>53</v>
      </c>
      <c r="D71" s="92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1" t="str">
        <f>Tabela!A45</f>
        <v>Marrocos</v>
      </c>
      <c r="B72" s="92">
        <v>0</v>
      </c>
      <c r="C72" s="92" t="s">
        <v>53</v>
      </c>
      <c r="D72" s="92">
        <v>0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178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10" t="str">
        <f>_xlfn.CONCAT(W$2,A73)</f>
        <v>Cléofaz - Semi Final</v>
      </c>
      <c r="B74" s="210"/>
      <c r="C74" s="210"/>
      <c r="D74" s="210"/>
      <c r="E74" s="210"/>
      <c r="J74" s="17" t="str">
        <f>IF(Tabela!F47="","",Tabela!F47)</f>
        <v/>
      </c>
      <c r="K74" s="209" t="s">
        <v>139</v>
      </c>
      <c r="L74" s="209"/>
      <c r="M74" s="209"/>
      <c r="N74" s="209"/>
      <c r="O74" s="209"/>
    </row>
    <row r="75" spans="1:15" x14ac:dyDescent="0.25">
      <c r="A75" s="18" t="str">
        <f>IF(Tabela!A48="","",Tabela!A48)</f>
        <v>Argentina</v>
      </c>
      <c r="B75" s="76">
        <v>0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25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179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10" t="str">
        <f>_xlfn.CONCAT(W$2,A77)</f>
        <v>Cléofaz - Terceiro Lugar</v>
      </c>
      <c r="B78" s="210"/>
      <c r="C78" s="210"/>
      <c r="D78" s="210"/>
      <c r="E78" s="210"/>
      <c r="J78" s="17" t="str">
        <f>IF(Tabela!F51="","",Tabela!F51)</f>
        <v/>
      </c>
      <c r="K78" s="209" t="s">
        <v>140</v>
      </c>
      <c r="L78" s="209"/>
      <c r="M78" s="209"/>
      <c r="N78" s="209"/>
      <c r="O78" s="209"/>
    </row>
    <row r="79" spans="1:15" x14ac:dyDescent="0.25">
      <c r="A79" s="18" t="str">
        <f>IF(Tabela!A52="","",Tabela!A52)</f>
        <v>Croácia</v>
      </c>
      <c r="B79" s="76" t="s">
        <v>220</v>
      </c>
      <c r="C79" s="76" t="s">
        <v>53</v>
      </c>
      <c r="D79" s="105" t="s">
        <v>220</v>
      </c>
      <c r="E79" s="19" t="str">
        <f>IF(Tabela!E52="","",Tabela!E52)</f>
        <v>Marrocos</v>
      </c>
      <c r="J79" s="17" t="s">
        <v>68</v>
      </c>
      <c r="K79" s="76" t="str">
        <f>IF(Tabela!A52="","",Tabela!A52)</f>
        <v>Croácia</v>
      </c>
      <c r="L79" s="76">
        <f>IF(Tabela!B52="","",Tabela!B52)</f>
        <v>2</v>
      </c>
      <c r="M79" s="76" t="str">
        <f>IF(Tabela!C52="","",Tabela!C52)</f>
        <v>X</v>
      </c>
      <c r="N79" s="76">
        <f>IF(Tabela!D52="","",Tabela!D52)</f>
        <v>1</v>
      </c>
      <c r="O79" s="76" t="str">
        <f>IF(Tabela!E52="","",Tabela!E52)</f>
        <v>Marrocos</v>
      </c>
    </row>
    <row r="80" spans="1:15" x14ac:dyDescent="0.25">
      <c r="A80" s="73" t="s">
        <v>180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10" t="str">
        <f>_xlfn.CONCAT(W$2,A80)</f>
        <v>Cléofaz - Final</v>
      </c>
      <c r="B81" s="210"/>
      <c r="C81" s="210"/>
      <c r="D81" s="210"/>
      <c r="E81" s="210"/>
      <c r="J81" s="17" t="str">
        <f>IF(Tabela!F54="","",Tabela!F54)</f>
        <v/>
      </c>
      <c r="K81" s="209" t="s">
        <v>141</v>
      </c>
      <c r="L81" s="209"/>
      <c r="M81" s="209"/>
      <c r="N81" s="209"/>
      <c r="O81" s="209"/>
    </row>
    <row r="82" spans="1:15" x14ac:dyDescent="0.25">
      <c r="A82" s="18" t="str">
        <f>IF(Tabela!A55="","",Tabela!A55)</f>
        <v>Argentina</v>
      </c>
      <c r="B82" s="76">
        <v>1</v>
      </c>
      <c r="C82" s="76" t="s">
        <v>53</v>
      </c>
      <c r="D82" s="76">
        <v>2</v>
      </c>
      <c r="E82" s="19" t="str">
        <f>IF(Tabela!E55="","",Tabela!E55)</f>
        <v>França</v>
      </c>
      <c r="H82" s="16">
        <v>0</v>
      </c>
      <c r="J82" s="17" t="str">
        <f>IF(Tabela!F55="","",Tabela!F55)</f>
        <v/>
      </c>
      <c r="K82" s="76" t="str">
        <f>IF(Tabela!A55="","",Tabela!A55)</f>
        <v>Argentina</v>
      </c>
      <c r="L82" s="76">
        <f>IF(Tabela!B55="","",Tabela!B55)</f>
        <v>3</v>
      </c>
      <c r="M82" s="76" t="str">
        <f>IF(Tabela!C55="","",Tabela!C55)</f>
        <v>X</v>
      </c>
      <c r="N82" s="76">
        <f>IF(Tabela!D55="","",Tabela!D55)</f>
        <v>3</v>
      </c>
      <c r="O82" s="76" t="str">
        <f>IF(Tabela!E55="","",Tabela!E55)</f>
        <v>França</v>
      </c>
    </row>
    <row r="84" spans="1:15" x14ac:dyDescent="0.25">
      <c r="E84" s="19" t="s">
        <v>174</v>
      </c>
      <c r="H84" s="16">
        <v>0</v>
      </c>
    </row>
    <row r="85" spans="1:15" x14ac:dyDescent="0.25">
      <c r="E85" s="19" t="s">
        <v>125</v>
      </c>
      <c r="H85" s="16">
        <v>0</v>
      </c>
    </row>
  </sheetData>
  <mergeCells count="80">
    <mergeCell ref="A74:E74"/>
    <mergeCell ref="A78:E78"/>
    <mergeCell ref="A81:E81"/>
    <mergeCell ref="K74:O74"/>
    <mergeCell ref="K78:O78"/>
    <mergeCell ref="K81:O81"/>
    <mergeCell ref="A68:E68"/>
    <mergeCell ref="K68:O68"/>
    <mergeCell ref="Q21:R21"/>
    <mergeCell ref="S21:T21"/>
    <mergeCell ref="U21:V21"/>
    <mergeCell ref="Q22:R22"/>
    <mergeCell ref="S22:T22"/>
    <mergeCell ref="U22:V22"/>
    <mergeCell ref="A29:E29"/>
    <mergeCell ref="A36:E36"/>
    <mergeCell ref="A50:E50"/>
    <mergeCell ref="K50:O50"/>
    <mergeCell ref="A22:E22"/>
    <mergeCell ref="A58:E58"/>
    <mergeCell ref="K58:O58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AC12:AE12"/>
    <mergeCell ref="AC11:AE11"/>
    <mergeCell ref="W16:Y16"/>
    <mergeCell ref="W17:Y17"/>
    <mergeCell ref="W18:Y18"/>
    <mergeCell ref="A1:E1"/>
    <mergeCell ref="A43:E43"/>
    <mergeCell ref="K1:O1"/>
    <mergeCell ref="K8:O8"/>
    <mergeCell ref="K15:O15"/>
    <mergeCell ref="K22:O22"/>
    <mergeCell ref="K29:O29"/>
    <mergeCell ref="K36:O36"/>
    <mergeCell ref="K43:O43"/>
    <mergeCell ref="A2:E2"/>
    <mergeCell ref="A9:E9"/>
    <mergeCell ref="A8:E8"/>
    <mergeCell ref="A15:E15"/>
    <mergeCell ref="W19:Y19"/>
    <mergeCell ref="W20:Y20"/>
    <mergeCell ref="W21:Y21"/>
    <mergeCell ref="W22:Y22"/>
    <mergeCell ref="W23:Y23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AC27:AE27"/>
    <mergeCell ref="AC26:AE26"/>
    <mergeCell ref="AC17:AE17"/>
    <mergeCell ref="AC16:AE16"/>
    <mergeCell ref="AC15:AE15"/>
    <mergeCell ref="AC14:AE14"/>
    <mergeCell ref="AC13:AE13"/>
    <mergeCell ref="AC22:AE22"/>
    <mergeCell ref="AC21:AE21"/>
    <mergeCell ref="AC20:AE20"/>
    <mergeCell ref="AC19:AE19"/>
    <mergeCell ref="AC18:AE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Placar Exato</vt:lpstr>
      <vt:lpstr>Classificação</vt:lpstr>
      <vt:lpstr>Oitavas</vt:lpstr>
      <vt:lpstr>Tabela</vt:lpstr>
      <vt:lpstr>Campeão</vt:lpstr>
      <vt:lpstr>Macélio</vt:lpstr>
      <vt:lpstr>Ivan Alex_1</vt:lpstr>
      <vt:lpstr>Bruno Flores</vt:lpstr>
      <vt:lpstr>Ivan Alex_2</vt:lpstr>
      <vt:lpstr>Gabriel</vt:lpstr>
      <vt:lpstr>Luis</vt:lpstr>
      <vt:lpstr>Juninho_1</vt:lpstr>
      <vt:lpstr>Juninho_2</vt:lpstr>
      <vt:lpstr>Luana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Ivani</vt:lpstr>
      <vt:lpstr>Josimar</vt:lpstr>
      <vt:lpstr>Julio</vt:lpstr>
      <vt:lpstr>Talita</vt:lpstr>
      <vt:lpstr>Anderson</vt:lpstr>
      <vt:lpstr>Cléofaz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2022-12-19T00:27:07Z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